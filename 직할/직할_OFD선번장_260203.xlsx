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한주원ALL\1. 광\1. 현황\26년 1분기 선번장\"/>
    </mc:Choice>
  </mc:AlternateContent>
  <bookViews>
    <workbookView xWindow="0" yWindow="0" windowWidth="28800" windowHeight="12255" activeTab="3"/>
  </bookViews>
  <sheets>
    <sheet name="종합표" sheetId="19" r:id="rId1"/>
    <sheet name="전송손실" sheetId="20" r:id="rId2"/>
    <sheet name="강원DD" sheetId="17" r:id="rId3"/>
    <sheet name="(구)춘천" sheetId="1" r:id="rId4"/>
    <sheet name="(신)춘천" sheetId="2" r:id="rId5"/>
    <sheet name="북춘천" sheetId="3" r:id="rId6"/>
    <sheet name="남춘천" sheetId="6" r:id="rId7"/>
    <sheet name="서홍천" sheetId="7" r:id="rId8"/>
    <sheet name="열병합" sheetId="8" r:id="rId9"/>
    <sheet name="인제" sheetId="13" r:id="rId10"/>
    <sheet name="양구" sheetId="14" r:id="rId11"/>
    <sheet name="철원" sheetId="10" r:id="rId12"/>
    <sheet name="화천" sheetId="11" r:id="rId13"/>
    <sheet name="화천HP" sheetId="12" r:id="rId14"/>
    <sheet name="춘천HP" sheetId="15" r:id="rId15"/>
    <sheet name="소양HP" sheetId="16" state="hidden" r:id="rId16"/>
  </sheets>
  <externalReferences>
    <externalReference r:id="rId17"/>
  </externalReferences>
  <definedNames>
    <definedName name="_Fill" hidden="1">#REF!</definedName>
    <definedName name="_Key1" hidden="1">'[1]#REF'!$A$9:$A$105</definedName>
    <definedName name="_Key2" hidden="1">#REF!</definedName>
    <definedName name="_Order1" hidden="1">255</definedName>
    <definedName name="_Order2" hidden="1">255</definedName>
    <definedName name="_q45" hidden="1">{"'용역비'!$A$4:$C$8"}</definedName>
    <definedName name="_Sort" hidden="1">'[1]#REF'!$A$9:$CO$105</definedName>
    <definedName name="Access_Button" hidden="1">"KT과금거리_지역좌표_970827_거리계산표_List"</definedName>
    <definedName name="AccessDatabase" hidden="1">"C:\keter\2003년 업무수첩.mdb"</definedName>
    <definedName name="anscount" hidden="1">1</definedName>
    <definedName name="cgmh" hidden="1">{"'용역비'!$A$4:$C$8"}</definedName>
    <definedName name="dhj" hidden="1">{"'용역비'!$A$4:$C$8"}</definedName>
    <definedName name="ej" hidden="1">{"'용역비'!$A$4:$C$8"}</definedName>
    <definedName name="ertyertye" hidden="1">{"'용역비'!$A$4:$C$8"}</definedName>
    <definedName name="etyj" hidden="1">{"'용역비'!$A$4:$C$8"}</definedName>
    <definedName name="etyjj" hidden="1">{"'용역비'!$A$4:$C$8"}</definedName>
    <definedName name="FK" hidden="1">{"'용역비'!$A$4:$C$8"}</definedName>
    <definedName name="HTML_" hidden="1">{"'선로집계'!$A$1:$G$68"}</definedName>
    <definedName name="HTML_CodePage" hidden="1">949</definedName>
    <definedName name="HTML_Control" hidden="1">{"'선로집계'!$A$1:$G$68"}</definedName>
    <definedName name="HTML_Description" hidden="1">""</definedName>
    <definedName name="HTML_Email" hidden="1">"cosmos@dava.kepco.co.kr"</definedName>
    <definedName name="HTML_Header" hidden="1">""</definedName>
    <definedName name="HTML_LastUpdate" hidden="1">"00-05-19"</definedName>
    <definedName name="HTML_LineAfter" hidden="1">TRUE</definedName>
    <definedName name="HTML_LineBefore" hidden="1">TRUE</definedName>
    <definedName name="HTML_Name" hidden="1">"현기욱"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"E:\Work\OPGW현황\OPGW2.htm"</definedName>
    <definedName name="HTML_PathTemplate" hidden="1">"C:\prt\My Documents\HTMLTemp.htm"</definedName>
    <definedName name="HTML_Title" hidden="1">"OPGW 현황 집계"</definedName>
    <definedName name="J" hidden="1">{"'용역비'!$A$4:$C$8"}</definedName>
    <definedName name="jkkk" hidden="1">{"'선로집계'!$A$1:$G$68"}</definedName>
    <definedName name="JUNG3" hidden="1">{#N/A,#N/A,FALSE,"QUOT_960527"}</definedName>
    <definedName name="letter" hidden="1">{#N/A,#N/A,FALSE,"QUOT_960527"}</definedName>
    <definedName name="li" hidden="1">{"'용역비'!$A$4:$C$8"}</definedName>
    <definedName name="MMM" hidden="1">{"'선로집계'!$A$1:$G$68"}</definedName>
    <definedName name="OIL" hidden="1">{"'용역비'!$A$4:$C$8"}</definedName>
    <definedName name="OPGW" hidden="1">{"'선로집계'!$A$1:$G$68"}</definedName>
    <definedName name="OPGW계통도" hidden="1">{"'선로집계'!$A$1:$G$68"}</definedName>
    <definedName name="_xlnm.Print_Area" localSheetId="3">'(구)춘천'!$A$1:$M$254</definedName>
    <definedName name="_xlnm.Print_Area" localSheetId="4">'(신)춘천'!$A$1:$M$54</definedName>
    <definedName name="_xlnm.Print_Area" localSheetId="2">강원DD!$A$1:$M$198</definedName>
    <definedName name="_xlnm.Print_Area" localSheetId="6">남춘천!$A$1:$M$111</definedName>
    <definedName name="_xlnm.Print_Area" localSheetId="5">북춘천!$A$1:$M$84</definedName>
    <definedName name="_xlnm.Print_Area" localSheetId="7">서홍천!$A$1:$M$32</definedName>
    <definedName name="_xlnm.Print_Area" localSheetId="15">소양HP!$A$1:$M$11</definedName>
    <definedName name="_xlnm.Print_Area" localSheetId="10">양구!$A$1:$M$132</definedName>
    <definedName name="_xlnm.Print_Area" localSheetId="8">열병합!$A$1:$M$108</definedName>
    <definedName name="_xlnm.Print_Area" localSheetId="9">인제!$A$1:$M$184</definedName>
    <definedName name="_xlnm.Print_Area" localSheetId="1">전송손실!$A$1:$N$52</definedName>
    <definedName name="_xlnm.Print_Area" localSheetId="0">종합표!$A$1:$M$29</definedName>
    <definedName name="_xlnm.Print_Area" localSheetId="11">철원!$A$1:$M$104</definedName>
    <definedName name="_xlnm.Print_Area" localSheetId="14">춘천HP!$A$1:$M$132</definedName>
    <definedName name="_xlnm.Print_Area" localSheetId="12">화천!$A$1:$M$104</definedName>
    <definedName name="_xlnm.Print_Area" localSheetId="13">화천HP!$A$1:$M$84</definedName>
    <definedName name="q234562456" hidden="1">{"'용역비'!$A$4:$C$8"}</definedName>
    <definedName name="qyk" hidden="1">{"'용역비'!$A$4:$C$8"}</definedName>
    <definedName name="RH" hidden="1">{"'용역비'!$A$4:$C$8"}</definedName>
    <definedName name="rth" hidden="1">{"'용역비'!$A$4:$C$8"}</definedName>
    <definedName name="rty" hidden="1">{"'용역비'!$A$4:$C$8"}</definedName>
    <definedName name="ryuk" hidden="1">{"'용역비'!$A$4:$C$8"}</definedName>
    <definedName name="sdryhj" hidden="1">{"'용역비'!$A$4:$C$8"}</definedName>
    <definedName name="SE" hidden="1">{"'용역비'!$A$4:$C$8"}</definedName>
    <definedName name="srth" hidden="1">{"'용역비'!$A$4:$C$8"}</definedName>
    <definedName name="STS" hidden="1">{"'용역비'!$A$4:$C$8"}</definedName>
    <definedName name="TFUI" hidden="1">{"'용역비'!$A$4:$C$8"}</definedName>
    <definedName name="tu" hidden="1">{"'용역비'!$A$4:$C$8"}</definedName>
    <definedName name="tuilol" hidden="1">{"'용역비'!$A$4:$C$8"}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u" hidden="1">{"'용역비'!$A$4:$C$8"}</definedName>
    <definedName name="U" hidden="1">{"'용역비'!$A$4:$C$8"}</definedName>
    <definedName name="ulo" hidden="1">{"'용역비'!$A$4:$C$8"}</definedName>
    <definedName name="uu" hidden="1">{"'용역비'!$A$4:$C$8"}</definedName>
    <definedName name="wrn.견적서." hidden="1">{#N/A,#N/A,FALSE,"QUOT_960527"}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uy" hidden="1">{"'용역비'!$A$4:$C$8"}</definedName>
    <definedName name="y" hidden="1">{"'용역비'!$A$4:$C$8"}</definedName>
    <definedName name="YFU" hidden="1">{"'용역비'!$A$4:$C$8"}</definedName>
    <definedName name="YL" hidden="1">{"'용역비'!$A$4:$C$8"}</definedName>
    <definedName name="yu" hidden="1">{"'용역비'!$A$4:$C$8"}</definedName>
    <definedName name="YUK" hidden="1">{"'용역비'!$A$4:$C$8"}</definedName>
    <definedName name="ㄱ" hidden="1">{"'용역비'!$A$4:$C$8"}</definedName>
    <definedName name="광코아" hidden="1">{"'선로집계'!$A$1:$G$68"}</definedName>
    <definedName name="ㄳㄳㄳㄳ" hidden="1">{"'용역비'!$A$4:$C$8"}</definedName>
    <definedName name="남춘천증설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내역" hidden="1">{"'선로집계'!$A$1:$G$68"}</definedName>
    <definedName name="ㄷ6ㅓ" hidden="1">{"'용역비'!$A$4:$C$8"}</definedName>
    <definedName name="ㄷㅍㅂ" hidden="1">{"'용역비'!$A$4:$C$8"}</definedName>
    <definedName name="다른이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ㄴㅇㅁ" hidden="1">{"'용역비'!$A$4:$C$8"}</definedName>
    <definedName name="ㅁㅁㅁㅁㅁ" hidden="1">{"'용역비'!$A$4:$C$8"}</definedName>
    <definedName name="망루폴기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ㅂㅂㅂㅂㅂㅂ" hidden="1">{"'용역비'!$A$4:$C$8"}</definedName>
    <definedName name="변2" hidden="1">"전체현황"</definedName>
    <definedName name="변경분" hidden="1">{"'선로집계'!$A$1:$G$68"}</definedName>
    <definedName name="변동" hidden="1">{"'선로집계'!$A$1:$G$68"}</definedName>
    <definedName name="소요물자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수정" hidden="1">{"'선로집계'!$A$1:$G$68"}</definedName>
    <definedName name="ㅇ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ㅇ" hidden="1">{"'Sheet1'!$A$4:$Y$100"}</definedName>
    <definedName name="우리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정호1" hidden="1">{#N/A,#N/A,FALSE,"QUOT_960527"}</definedName>
    <definedName name="ㅈㄷㄱㄷㄱㄷ" hidden="1">{"'용역비'!$A$4:$C$8"}</definedName>
    <definedName name="ㅈㅇ" hidden="1">{"'용역비'!$A$4:$C$8"}</definedName>
    <definedName name="ㅈㅈㅈㅈㅈㅈ" hidden="1">{"'용역비'!$A$4:$C$8"}</definedName>
    <definedName name="잠실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장비내역" hidden="1">#REF!</definedName>
    <definedName name="재료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청주원주합침" hidden="1">{"'선로집계'!$A$1:$G$68"}</definedName>
    <definedName name="ㅠㄱ" hidden="1">{"'용역비'!$A$4:$C$8"}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4" i="12" l="1"/>
  <c r="O84" i="12"/>
  <c r="P56" i="12"/>
  <c r="O56" i="12"/>
  <c r="O28" i="12"/>
  <c r="P28" i="12"/>
  <c r="M46" i="20" l="1"/>
  <c r="M48" i="20"/>
  <c r="L48" i="20"/>
  <c r="K48" i="20"/>
  <c r="J48" i="20"/>
  <c r="P56" i="11"/>
  <c r="O56" i="11"/>
  <c r="P28" i="11"/>
  <c r="O28" i="11"/>
  <c r="J6" i="19"/>
  <c r="I6" i="19"/>
  <c r="M5" i="20"/>
  <c r="L5" i="20"/>
  <c r="K31" i="20"/>
  <c r="J31" i="20"/>
  <c r="J5" i="20"/>
  <c r="K6" i="19"/>
  <c r="N8" i="11"/>
  <c r="N9" i="11"/>
  <c r="E26" i="19" l="1"/>
  <c r="D26" i="19"/>
  <c r="M17" i="19"/>
  <c r="P56" i="10"/>
  <c r="L17" i="19" s="1"/>
  <c r="O56" i="10"/>
  <c r="J17" i="19" s="1"/>
  <c r="H42" i="20"/>
  <c r="G16" i="20"/>
  <c r="G42" i="20" s="1"/>
  <c r="M14" i="19"/>
  <c r="P56" i="14"/>
  <c r="L14" i="19" s="1"/>
  <c r="O56" i="14"/>
  <c r="J14" i="19" s="1"/>
  <c r="H39" i="20"/>
  <c r="G13" i="20"/>
  <c r="G39" i="20" s="1"/>
  <c r="F17" i="19" l="1"/>
  <c r="F14" i="19"/>
  <c r="L42" i="20"/>
  <c r="K42" i="20"/>
  <c r="J42" i="20"/>
  <c r="L16" i="20"/>
  <c r="K16" i="20"/>
  <c r="J16" i="20"/>
  <c r="L13" i="20"/>
  <c r="K13" i="20"/>
  <c r="J13" i="20"/>
  <c r="L39" i="20"/>
  <c r="K39" i="20"/>
  <c r="M25" i="19"/>
  <c r="P84" i="14"/>
  <c r="O84" i="14"/>
  <c r="L25" i="19"/>
  <c r="J25" i="19"/>
  <c r="G24" i="20"/>
  <c r="M24" i="19"/>
  <c r="Q56" i="6"/>
  <c r="P56" i="6"/>
  <c r="P28" i="8"/>
  <c r="L24" i="19" s="1"/>
  <c r="O28" i="8"/>
  <c r="J24" i="19" s="1"/>
  <c r="G23" i="20"/>
  <c r="G49" i="20" s="1"/>
  <c r="M16" i="20" l="1"/>
  <c r="M42" i="20"/>
  <c r="M13" i="20"/>
  <c r="M20" i="19"/>
  <c r="P84" i="15"/>
  <c r="L20" i="19" s="1"/>
  <c r="O84" i="15"/>
  <c r="J20" i="19" s="1"/>
  <c r="P56" i="3"/>
  <c r="O56" i="3"/>
  <c r="G19" i="20"/>
  <c r="P56" i="15"/>
  <c r="O56" i="15"/>
  <c r="L22" i="19"/>
  <c r="J22" i="19"/>
  <c r="G21" i="20"/>
  <c r="M21" i="19"/>
  <c r="P28" i="15"/>
  <c r="L21" i="19" s="1"/>
  <c r="O28" i="15"/>
  <c r="J21" i="19" s="1"/>
  <c r="G20" i="20"/>
  <c r="I14" i="19" l="1"/>
  <c r="G31" i="14"/>
  <c r="K17" i="19"/>
  <c r="I31" i="10"/>
  <c r="I17" i="19"/>
  <c r="G31" i="10"/>
  <c r="M23" i="19"/>
  <c r="G22" i="20"/>
  <c r="M18" i="19"/>
  <c r="P56" i="1"/>
  <c r="L18" i="19" s="1"/>
  <c r="O56" i="1"/>
  <c r="J18" i="19" s="1"/>
  <c r="P28" i="3"/>
  <c r="O28" i="3"/>
  <c r="G17" i="20"/>
  <c r="M16" i="19" l="1"/>
  <c r="P28" i="10"/>
  <c r="L16" i="19" s="1"/>
  <c r="O28" i="10"/>
  <c r="J16" i="19" s="1"/>
  <c r="F8" i="19"/>
  <c r="F9" i="19"/>
  <c r="F10" i="19"/>
  <c r="F11" i="19"/>
  <c r="F12" i="19"/>
  <c r="F13" i="19"/>
  <c r="F15" i="19"/>
  <c r="F18" i="19"/>
  <c r="F19" i="19"/>
  <c r="F20" i="19"/>
  <c r="F24" i="19"/>
  <c r="F25" i="19"/>
  <c r="H41" i="20"/>
  <c r="G43" i="20"/>
  <c r="H43" i="20"/>
  <c r="G15" i="20"/>
  <c r="G41" i="20" s="1"/>
  <c r="M15" i="19"/>
  <c r="Q52" i="13"/>
  <c r="L15" i="19" s="1"/>
  <c r="P52" i="13"/>
  <c r="J15" i="19" s="1"/>
  <c r="G14" i="20"/>
  <c r="J39" i="20" s="1"/>
  <c r="M39" i="20" s="1"/>
  <c r="M13" i="19"/>
  <c r="P28" i="14"/>
  <c r="L13" i="19" s="1"/>
  <c r="O28" i="14"/>
  <c r="J13" i="19" s="1"/>
  <c r="Q108" i="13"/>
  <c r="P108" i="13"/>
  <c r="G12" i="20"/>
  <c r="G38" i="20" s="1"/>
  <c r="M12" i="19"/>
  <c r="L12" i="19"/>
  <c r="Q136" i="13"/>
  <c r="P136" i="13"/>
  <c r="J12" i="19" s="1"/>
  <c r="G11" i="20"/>
  <c r="G37" i="20" s="1"/>
  <c r="M11" i="19"/>
  <c r="M19" i="19" s="1"/>
  <c r="P28" i="1"/>
  <c r="L11" i="19" s="1"/>
  <c r="O28" i="1"/>
  <c r="J11" i="19" s="1"/>
  <c r="H36" i="20"/>
  <c r="G10" i="20"/>
  <c r="G36" i="20" s="1"/>
  <c r="M22" i="19"/>
  <c r="L23" i="19"/>
  <c r="J23" i="19"/>
  <c r="G47" i="20"/>
  <c r="M10" i="19"/>
  <c r="P44" i="8"/>
  <c r="L10" i="19" s="1"/>
  <c r="O44" i="8"/>
  <c r="J10" i="19" s="1"/>
  <c r="M9" i="19"/>
  <c r="K8" i="19"/>
  <c r="I8" i="19"/>
  <c r="P32" i="7"/>
  <c r="L9" i="19" s="1"/>
  <c r="O32" i="7"/>
  <c r="J9" i="19" s="1"/>
  <c r="H34" i="20"/>
  <c r="H35" i="20"/>
  <c r="H37" i="20"/>
  <c r="H38" i="20"/>
  <c r="H40" i="20"/>
  <c r="H44" i="20"/>
  <c r="H45" i="20"/>
  <c r="H46" i="20"/>
  <c r="H47" i="20"/>
  <c r="H48" i="20"/>
  <c r="H49" i="20"/>
  <c r="H50" i="20"/>
  <c r="H33" i="20"/>
  <c r="H32" i="20"/>
  <c r="H31" i="20"/>
  <c r="G44" i="20"/>
  <c r="G45" i="20"/>
  <c r="G46" i="20"/>
  <c r="G48" i="20"/>
  <c r="G50" i="20"/>
  <c r="G33" i="20"/>
  <c r="G31" i="20"/>
  <c r="G9" i="20"/>
  <c r="G35" i="20" s="1"/>
  <c r="I47" i="8"/>
  <c r="G47" i="8"/>
  <c r="I3" i="7"/>
  <c r="G3" i="7"/>
  <c r="I59" i="6"/>
  <c r="G59" i="6"/>
  <c r="I31" i="6"/>
  <c r="G8" i="20"/>
  <c r="G34" i="20" s="1"/>
  <c r="K14" i="19" l="1"/>
  <c r="I31" i="14"/>
  <c r="G40" i="20"/>
  <c r="J40" i="20" s="1"/>
  <c r="M8" i="19"/>
  <c r="Q80" i="13"/>
  <c r="L7" i="19" s="1"/>
  <c r="P80" i="13"/>
  <c r="J7" i="19" s="1"/>
  <c r="M7" i="19"/>
  <c r="G6" i="20"/>
  <c r="G32" i="20" s="1"/>
  <c r="J32" i="20" s="1"/>
  <c r="M6" i="19"/>
  <c r="Q28" i="6"/>
  <c r="L6" i="19" s="1"/>
  <c r="P28" i="6"/>
  <c r="L50" i="20"/>
  <c r="K50" i="20"/>
  <c r="J50" i="20"/>
  <c r="L49" i="20"/>
  <c r="K49" i="20"/>
  <c r="J49" i="20"/>
  <c r="L47" i="20"/>
  <c r="K47" i="20"/>
  <c r="J47" i="20"/>
  <c r="M47" i="20" s="1"/>
  <c r="L46" i="20"/>
  <c r="K46" i="20"/>
  <c r="J46" i="20"/>
  <c r="L45" i="20"/>
  <c r="K45" i="20"/>
  <c r="J45" i="20"/>
  <c r="L44" i="20"/>
  <c r="K44" i="20"/>
  <c r="J44" i="20"/>
  <c r="L43" i="20"/>
  <c r="K43" i="20"/>
  <c r="J43" i="20"/>
  <c r="L41" i="20"/>
  <c r="K41" i="20"/>
  <c r="J41" i="20"/>
  <c r="L40" i="20"/>
  <c r="K40" i="20"/>
  <c r="L38" i="20"/>
  <c r="K38" i="20"/>
  <c r="J38" i="20"/>
  <c r="L37" i="20"/>
  <c r="K37" i="20"/>
  <c r="J37" i="20"/>
  <c r="L36" i="20"/>
  <c r="K36" i="20"/>
  <c r="J36" i="20"/>
  <c r="L35" i="20"/>
  <c r="K35" i="20"/>
  <c r="J35" i="20"/>
  <c r="L34" i="20"/>
  <c r="K34" i="20"/>
  <c r="J34" i="20"/>
  <c r="L33" i="20"/>
  <c r="K33" i="20"/>
  <c r="J33" i="20"/>
  <c r="L32" i="20"/>
  <c r="K32" i="20"/>
  <c r="L31" i="20"/>
  <c r="L8" i="20"/>
  <c r="K8" i="20"/>
  <c r="J8" i="20"/>
  <c r="M8" i="20" l="1"/>
  <c r="G19" i="7"/>
  <c r="I9" i="19"/>
  <c r="M36" i="20"/>
  <c r="I3" i="1" s="1"/>
  <c r="M50" i="20"/>
  <c r="M45" i="20"/>
  <c r="K23" i="19"/>
  <c r="M43" i="20"/>
  <c r="M37" i="20"/>
  <c r="M41" i="20"/>
  <c r="M34" i="20"/>
  <c r="M38" i="20"/>
  <c r="K19" i="19"/>
  <c r="M35" i="20"/>
  <c r="M40" i="20"/>
  <c r="M49" i="20"/>
  <c r="M31" i="20"/>
  <c r="M32" i="20"/>
  <c r="K29" i="20"/>
  <c r="A29" i="20"/>
  <c r="L24" i="20"/>
  <c r="K24" i="20"/>
  <c r="J24" i="20"/>
  <c r="L23" i="20"/>
  <c r="K23" i="20"/>
  <c r="J23" i="20"/>
  <c r="L22" i="20"/>
  <c r="K22" i="20"/>
  <c r="J22" i="20"/>
  <c r="L21" i="20"/>
  <c r="K21" i="20"/>
  <c r="J21" i="20"/>
  <c r="L20" i="20"/>
  <c r="K20" i="20"/>
  <c r="J20" i="20"/>
  <c r="L19" i="20"/>
  <c r="K19" i="20"/>
  <c r="J19" i="20"/>
  <c r="L18" i="20"/>
  <c r="K18" i="20"/>
  <c r="J18" i="20"/>
  <c r="I19" i="19" s="1"/>
  <c r="L17" i="20"/>
  <c r="K17" i="20"/>
  <c r="J17" i="20"/>
  <c r="L15" i="20"/>
  <c r="K15" i="20"/>
  <c r="J15" i="20"/>
  <c r="L14" i="20"/>
  <c r="K14" i="20"/>
  <c r="J14" i="20"/>
  <c r="L12" i="20"/>
  <c r="K12" i="20"/>
  <c r="J12" i="20"/>
  <c r="L11" i="20"/>
  <c r="K11" i="20"/>
  <c r="J11" i="20"/>
  <c r="L10" i="20"/>
  <c r="K10" i="20"/>
  <c r="J10" i="20"/>
  <c r="L9" i="20"/>
  <c r="K9" i="20"/>
  <c r="J9" i="20"/>
  <c r="L7" i="20"/>
  <c r="K7" i="20"/>
  <c r="J7" i="20"/>
  <c r="L6" i="20"/>
  <c r="K6" i="20"/>
  <c r="J6" i="20"/>
  <c r="K5" i="20"/>
  <c r="F23" i="19"/>
  <c r="F22" i="19"/>
  <c r="F21" i="19"/>
  <c r="F16" i="19"/>
  <c r="F7" i="19"/>
  <c r="F6" i="19"/>
  <c r="K11" i="19" l="1"/>
  <c r="M19" i="20"/>
  <c r="M21" i="20"/>
  <c r="G3" i="12" s="1"/>
  <c r="F26" i="19"/>
  <c r="M22" i="20"/>
  <c r="I23" i="19" s="1"/>
  <c r="M11" i="20"/>
  <c r="I12" i="19" s="1"/>
  <c r="I3" i="10"/>
  <c r="I31" i="11"/>
  <c r="K16" i="19"/>
  <c r="K24" i="19"/>
  <c r="I3" i="8"/>
  <c r="I3" i="6"/>
  <c r="K18" i="19"/>
  <c r="I3" i="3"/>
  <c r="I31" i="1"/>
  <c r="K15" i="19"/>
  <c r="I3" i="13"/>
  <c r="I87" i="15"/>
  <c r="I59" i="3"/>
  <c r="G59" i="3"/>
  <c r="G87" i="15"/>
  <c r="K25" i="19"/>
  <c r="I59" i="12"/>
  <c r="I59" i="14"/>
  <c r="M10" i="20"/>
  <c r="I11" i="19" s="1"/>
  <c r="I19" i="7"/>
  <c r="K9" i="19"/>
  <c r="M24" i="20"/>
  <c r="I3" i="11"/>
  <c r="I3" i="12"/>
  <c r="I31" i="15"/>
  <c r="M23" i="20"/>
  <c r="G31" i="6"/>
  <c r="I31" i="8"/>
  <c r="K10" i="19"/>
  <c r="I59" i="15"/>
  <c r="I31" i="3"/>
  <c r="G59" i="15"/>
  <c r="G31" i="3"/>
  <c r="I20" i="19"/>
  <c r="K20" i="19"/>
  <c r="K21" i="19"/>
  <c r="I3" i="15"/>
  <c r="M20" i="20"/>
  <c r="M17" i="20"/>
  <c r="M15" i="20"/>
  <c r="K22" i="19"/>
  <c r="I31" i="12"/>
  <c r="M14" i="20"/>
  <c r="K13" i="19"/>
  <c r="I3" i="14"/>
  <c r="I83" i="13"/>
  <c r="M12" i="20"/>
  <c r="G111" i="13"/>
  <c r="K12" i="19"/>
  <c r="I111" i="13"/>
  <c r="K7" i="19"/>
  <c r="I55" i="13"/>
  <c r="M9" i="20"/>
  <c r="M6" i="20"/>
  <c r="R13" i="13"/>
  <c r="T81" i="14"/>
  <c r="U16" i="14"/>
  <c r="G31" i="15" l="1"/>
  <c r="G3" i="11"/>
  <c r="G31" i="12"/>
  <c r="I22" i="19"/>
  <c r="G3" i="1"/>
  <c r="I25" i="19"/>
  <c r="G59" i="12"/>
  <c r="G59" i="14"/>
  <c r="I16" i="19"/>
  <c r="G31" i="11"/>
  <c r="G3" i="10"/>
  <c r="I24" i="19"/>
  <c r="G3" i="8"/>
  <c r="G3" i="6"/>
  <c r="I18" i="19"/>
  <c r="G3" i="3"/>
  <c r="G31" i="1"/>
  <c r="I15" i="19"/>
  <c r="G3" i="13"/>
  <c r="G31" i="8"/>
  <c r="I10" i="19"/>
  <c r="I21" i="19"/>
  <c r="G3" i="15"/>
  <c r="I13" i="19"/>
  <c r="G3" i="14"/>
  <c r="G83" i="13"/>
  <c r="I7" i="19"/>
  <c r="G55" i="13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5" i="15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5" i="12"/>
  <c r="N6" i="11"/>
  <c r="N7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" i="11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" i="10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5" i="14"/>
  <c r="N5" i="6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5" i="13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9" i="8"/>
  <c r="N50" i="8"/>
  <c r="N51" i="8"/>
  <c r="N52" i="8"/>
  <c r="N53" i="8"/>
  <c r="N54" i="8"/>
  <c r="N55" i="8"/>
  <c r="N56" i="8"/>
  <c r="N57" i="8"/>
  <c r="N58" i="8"/>
  <c r="N59" i="8"/>
  <c r="N60" i="8"/>
  <c r="N5" i="8"/>
  <c r="N6" i="7"/>
  <c r="N7" i="7"/>
  <c r="N8" i="7"/>
  <c r="N9" i="7"/>
  <c r="N10" i="7"/>
  <c r="N11" i="7"/>
  <c r="N12" i="7"/>
  <c r="N13" i="7"/>
  <c r="N14" i="7"/>
  <c r="N15" i="7"/>
  <c r="N16" i="7"/>
  <c r="N21" i="7"/>
  <c r="N22" i="7"/>
  <c r="N23" i="7"/>
  <c r="N24" i="7"/>
  <c r="N25" i="7"/>
  <c r="N26" i="7"/>
  <c r="N27" i="7"/>
  <c r="N28" i="7"/>
  <c r="N29" i="7"/>
  <c r="N30" i="7"/>
  <c r="N31" i="7"/>
  <c r="N32" i="7"/>
  <c r="N5" i="7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5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4" i="2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5" i="1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4" i="17"/>
  <c r="N1" i="8" l="1"/>
  <c r="N1" i="7"/>
  <c r="N1" i="17"/>
  <c r="N1" i="2"/>
  <c r="N1" i="3"/>
  <c r="N1" i="13"/>
  <c r="N1" i="14"/>
  <c r="N1" i="6"/>
  <c r="N1" i="12"/>
  <c r="N1" i="11"/>
  <c r="N1" i="1"/>
  <c r="N1" i="15"/>
  <c r="N1" i="10"/>
  <c r="N1" i="16" l="1"/>
  <c r="F85" i="6" l="1"/>
</calcChain>
</file>

<file path=xl/sharedStrings.xml><?xml version="1.0" encoding="utf-8"?>
<sst xmlns="http://schemas.openxmlformats.org/spreadsheetml/2006/main" count="3481" uniqueCount="736">
  <si>
    <t>No.</t>
    <phoneticPr fontId="1" type="noConversion"/>
  </si>
  <si>
    <t>상대국명</t>
    <phoneticPr fontId="1" type="noConversion"/>
  </si>
  <si>
    <t>회선수용내역</t>
    <phoneticPr fontId="1" type="noConversion"/>
  </si>
  <si>
    <t>비고</t>
    <phoneticPr fontId="1" type="noConversion"/>
  </si>
  <si>
    <t>손실Data(dB)</t>
    <phoneticPr fontId="1" type="noConversion"/>
  </si>
  <si>
    <t>1310um</t>
    <phoneticPr fontId="1" type="noConversion"/>
  </si>
  <si>
    <t>측정거리</t>
    <phoneticPr fontId="1" type="noConversion"/>
  </si>
  <si>
    <t>1550um</t>
    <phoneticPr fontId="1" type="noConversion"/>
  </si>
  <si>
    <t>관리사업소</t>
    <phoneticPr fontId="1" type="noConversion"/>
  </si>
  <si>
    <t>강원본부 전자제어부</t>
    <phoneticPr fontId="1" type="noConversion"/>
  </si>
  <si>
    <t>선로명</t>
    <phoneticPr fontId="1" type="noConversion"/>
  </si>
  <si>
    <t>장소</t>
    <phoneticPr fontId="1" type="noConversion"/>
  </si>
  <si>
    <t>업데이트</t>
    <phoneticPr fontId="1" type="noConversion"/>
  </si>
  <si>
    <t>측정현황 (2022-08-10)</t>
    <phoneticPr fontId="1" type="noConversion"/>
  </si>
  <si>
    <t>홍천S/S</t>
    <phoneticPr fontId="1" type="noConversion"/>
  </si>
  <si>
    <t>차세대KepCIT</t>
  </si>
  <si>
    <t>송변전광단말1링(인제-신춘천패치)Tx</t>
  </si>
  <si>
    <t>송변전광단말1링(인제-신춘천패치)Rx</t>
  </si>
  <si>
    <t>송변전광단말2링(신춘천-남춘천패치)Rx</t>
  </si>
  <si>
    <t>송변전광단말2링(신춘천-남춘천패치)Tx</t>
  </si>
  <si>
    <t>배전자가망 본부직할#51링</t>
  </si>
  <si>
    <t>배전자가망 본부직할#50링</t>
  </si>
  <si>
    <t>송광치 PTPU 춘천-홍천(W)</t>
    <phoneticPr fontId="1" type="noConversion"/>
  </si>
  <si>
    <t>유형</t>
    <phoneticPr fontId="1" type="noConversion"/>
  </si>
  <si>
    <t>통합단말</t>
    <phoneticPr fontId="1" type="noConversion"/>
  </si>
  <si>
    <t>송광치</t>
    <phoneticPr fontId="1" type="noConversion"/>
  </si>
  <si>
    <t>소형광</t>
    <phoneticPr fontId="1" type="noConversion"/>
  </si>
  <si>
    <t>차세대KepCIT</t>
    <phoneticPr fontId="1" type="noConversion"/>
  </si>
  <si>
    <t>차세대KepCIT 권역망 중부#2링 강원DD-원주PO 패치</t>
    <phoneticPr fontId="1" type="noConversion"/>
  </si>
  <si>
    <t>KepCIT</t>
    <phoneticPr fontId="1" type="noConversion"/>
  </si>
  <si>
    <t>DAS</t>
    <phoneticPr fontId="1" type="noConversion"/>
  </si>
  <si>
    <t>북춘천S/S</t>
    <phoneticPr fontId="1" type="noConversion"/>
  </si>
  <si>
    <t>긍장/실장
(km)</t>
    <phoneticPr fontId="1" type="noConversion"/>
  </si>
  <si>
    <t>비금속
(km)</t>
    <phoneticPr fontId="1" type="noConversion"/>
  </si>
  <si>
    <t>송광치1링(신춘천-북춘천 패치)</t>
  </si>
  <si>
    <t>임대</t>
    <phoneticPr fontId="1" type="noConversion"/>
  </si>
  <si>
    <t>사택입구 CCTV</t>
    <phoneticPr fontId="1" type="noConversion"/>
  </si>
  <si>
    <t>사택진입로 CCTV</t>
    <phoneticPr fontId="1" type="noConversion"/>
  </si>
  <si>
    <t>지능형SCADA 후비~RTU연계용(차세대스카다L3)</t>
    <phoneticPr fontId="1" type="noConversion"/>
  </si>
  <si>
    <t>SCADA WIPS #1</t>
    <phoneticPr fontId="1" type="noConversion"/>
  </si>
  <si>
    <t>SCADA WIPS #2</t>
    <phoneticPr fontId="1" type="noConversion"/>
  </si>
  <si>
    <t>야적장 CCTV</t>
    <phoneticPr fontId="1" type="noConversion"/>
  </si>
  <si>
    <t>사내방송CATV</t>
    <phoneticPr fontId="1" type="noConversion"/>
  </si>
  <si>
    <t>중앙SCADA(예)</t>
    <phoneticPr fontId="1" type="noConversion"/>
  </si>
  <si>
    <t>감시정보 직할 메인 To.원주P/O</t>
    <phoneticPr fontId="1" type="noConversion"/>
  </si>
  <si>
    <t>2.5G 강원#2링 (강원D/D-횡성B/O) Tx</t>
    <phoneticPr fontId="1" type="noConversion"/>
  </si>
  <si>
    <t>2.5G 강원#2링 (강원D/D-횡성B/O) Rx</t>
    <phoneticPr fontId="1" type="noConversion"/>
  </si>
  <si>
    <t>KepCIT 임시#1(홍천계#3)패치</t>
    <phoneticPr fontId="1" type="noConversion"/>
  </si>
  <si>
    <t>KepCIT 임시#2(홍천계#4)패치</t>
    <phoneticPr fontId="1" type="noConversion"/>
  </si>
  <si>
    <t>KepCIT 임시#3(홍천계#13)패치</t>
    <phoneticPr fontId="1" type="noConversion"/>
  </si>
  <si>
    <t>KepCIT 임시#4(홍천계#14)패치</t>
    <phoneticPr fontId="1" type="noConversion"/>
  </si>
  <si>
    <t>차세대KepCIT 중부링 강원D/D-원주P/O 코어 확보</t>
    <phoneticPr fontId="1" type="noConversion"/>
  </si>
  <si>
    <t>배전자가망 본부직할#51링</t>
    <phoneticPr fontId="1" type="noConversion"/>
  </si>
  <si>
    <t>배전자가망 본부직할#50링</t>
    <phoneticPr fontId="1" type="noConversion"/>
  </si>
  <si>
    <t>RTU 주회선용 네트워크SW</t>
    <phoneticPr fontId="1" type="noConversion"/>
  </si>
  <si>
    <t>송변전광단말#2링 서홍천-신춘천(패치)</t>
    <phoneticPr fontId="1" type="noConversion"/>
  </si>
  <si>
    <t>10G 중부#2링(강원D/D-동서울) Rx</t>
    <phoneticPr fontId="1" type="noConversion"/>
  </si>
  <si>
    <t>10G 중부#2링(강원D/D-동서울) Tx</t>
    <phoneticPr fontId="1" type="noConversion"/>
  </si>
  <si>
    <t>2.5G 강원#1링(강원D/D-화천B/O) Tx</t>
    <phoneticPr fontId="1" type="noConversion"/>
  </si>
  <si>
    <t>2.5G 강원#1링(강원D/D-화천B/O) Rx</t>
    <phoneticPr fontId="1" type="noConversion"/>
  </si>
  <si>
    <t>사택계
(12C)</t>
    <phoneticPr fontId="1" type="noConversion"/>
  </si>
  <si>
    <t>강원D/D
#3</t>
    <phoneticPr fontId="1" type="noConversion"/>
  </si>
  <si>
    <t>기타</t>
    <phoneticPr fontId="1" type="noConversion"/>
  </si>
  <si>
    <t>SCADA</t>
    <phoneticPr fontId="1" type="noConversion"/>
  </si>
  <si>
    <t>DAS</t>
    <phoneticPr fontId="1" type="noConversion"/>
  </si>
  <si>
    <t>소형광</t>
    <phoneticPr fontId="1" type="noConversion"/>
  </si>
  <si>
    <t>송광치</t>
    <phoneticPr fontId="1" type="noConversion"/>
  </si>
  <si>
    <t>KepCIT</t>
    <phoneticPr fontId="1" type="noConversion"/>
  </si>
  <si>
    <t>강원D/D
#4</t>
    <phoneticPr fontId="1" type="noConversion"/>
  </si>
  <si>
    <t>강원D/D
#2</t>
    <phoneticPr fontId="1" type="noConversion"/>
  </si>
  <si>
    <t>ICT관제소(후비) SCADA망 KVM</t>
    <phoneticPr fontId="1" type="noConversion"/>
  </si>
  <si>
    <t>ICT관제소(후비) PSM5000 KVM</t>
    <phoneticPr fontId="1" type="noConversion"/>
  </si>
  <si>
    <t>송변전IP급전~강원본부KepCIT</t>
    <phoneticPr fontId="1" type="noConversion"/>
  </si>
  <si>
    <t>사택CCTV</t>
    <phoneticPr fontId="1" type="noConversion"/>
  </si>
  <si>
    <t>본부-춘천 PDAS L3S/W-통합단말</t>
    <phoneticPr fontId="1" type="noConversion"/>
  </si>
  <si>
    <t>2.5G 강원#1링 (강원D/D-화천B/O) Tx</t>
    <phoneticPr fontId="1" type="noConversion"/>
  </si>
  <si>
    <t>2.5G 강원#1링 (강원D/D-화천B/O) Rx</t>
    <phoneticPr fontId="1" type="noConversion"/>
  </si>
  <si>
    <t>춘천-송변전사업실 PNA 패치</t>
    <phoneticPr fontId="1" type="noConversion"/>
  </si>
  <si>
    <t>불량</t>
    <phoneticPr fontId="1" type="noConversion"/>
  </si>
  <si>
    <t>서홍천-춘천 통합단말 Tx</t>
    <phoneticPr fontId="1" type="noConversion"/>
  </si>
  <si>
    <t>서홍천-춘천 통합단말 Rx</t>
    <phoneticPr fontId="1" type="noConversion"/>
  </si>
  <si>
    <t>SCADA-DAS 자료연계 서버~배전센터(광컨버터)</t>
    <phoneticPr fontId="1" type="noConversion"/>
  </si>
  <si>
    <t>관리처 급전분소</t>
    <phoneticPr fontId="1" type="noConversion"/>
  </si>
  <si>
    <t>태그X</t>
    <phoneticPr fontId="1" type="noConversion"/>
  </si>
  <si>
    <t>송변전감시시스템(관리처-본부-춘천)</t>
    <phoneticPr fontId="1" type="noConversion"/>
  </si>
  <si>
    <t>출입통제보안장치</t>
    <phoneticPr fontId="1" type="noConversion"/>
  </si>
  <si>
    <t>DTRS 콘솔</t>
    <phoneticPr fontId="1" type="noConversion"/>
  </si>
  <si>
    <t>관리처 인터넷망 Rx</t>
    <phoneticPr fontId="1" type="noConversion"/>
  </si>
  <si>
    <t>관리처 인터넷망 Tx</t>
    <phoneticPr fontId="1" type="noConversion"/>
  </si>
  <si>
    <t>춘천-본부 IPT POE S/W</t>
    <phoneticPr fontId="1" type="noConversion"/>
  </si>
  <si>
    <t>차세대SCADA 광컨버터(본사-주)</t>
    <phoneticPr fontId="1" type="noConversion"/>
  </si>
  <si>
    <t>차세대SCADA 광컨버터(본사-예비)</t>
    <phoneticPr fontId="1" type="noConversion"/>
  </si>
  <si>
    <t>차세대SCADA 광컨버터(동해-주)</t>
    <phoneticPr fontId="1" type="noConversion"/>
  </si>
  <si>
    <t>차세대SCADA 광컨버터(동해-예비)</t>
    <phoneticPr fontId="1" type="noConversion"/>
  </si>
  <si>
    <t>중앙SCADA㈜</t>
    <phoneticPr fontId="1" type="noConversion"/>
  </si>
  <si>
    <t>SCADA용 본부-춘천(예)</t>
    <phoneticPr fontId="1" type="noConversion"/>
  </si>
  <si>
    <t>차세대
SCADA실
(12C)</t>
    <phoneticPr fontId="1" type="noConversion"/>
  </si>
  <si>
    <t>차세대SCADA 본사-주From본부계 OFD 43</t>
    <phoneticPr fontId="1" type="noConversion"/>
  </si>
  <si>
    <t>차세대SCADA 본사-주From본부계 OFD 44</t>
    <phoneticPr fontId="1" type="noConversion"/>
  </si>
  <si>
    <t>차세대SCADA 본사-주From본부계 OFD 45</t>
    <phoneticPr fontId="1" type="noConversion"/>
  </si>
  <si>
    <t>차세대SCADA 본사-주From본부계 OFD 46</t>
    <phoneticPr fontId="1" type="noConversion"/>
  </si>
  <si>
    <t>차세대SCADA WIPS #1</t>
    <phoneticPr fontId="1" type="noConversion"/>
  </si>
  <si>
    <t>차세대SCADA WIPS #2</t>
    <phoneticPr fontId="1" type="noConversion"/>
  </si>
  <si>
    <t>감시정보 테스트 본부-변전소</t>
    <phoneticPr fontId="1" type="noConversion"/>
  </si>
  <si>
    <t>강시정보 테스트 본부-변전소</t>
    <phoneticPr fontId="1" type="noConversion"/>
  </si>
  <si>
    <t>송광치 PTP WEST 춘천-본부</t>
    <phoneticPr fontId="1" type="noConversion"/>
  </si>
  <si>
    <t>송광치 PTP EAST 춘천-본부</t>
    <phoneticPr fontId="1" type="noConversion"/>
  </si>
  <si>
    <t>차세대KepCIT 중부링 강원D/D-원주P/O 패치</t>
    <phoneticPr fontId="1" type="noConversion"/>
  </si>
  <si>
    <t>전력구운영시스템 From 강릉T/P to 관리처</t>
    <phoneticPr fontId="1" type="noConversion"/>
  </si>
  <si>
    <t>차세대KepCIT 강원#1링 (화천B/O-본부)</t>
    <phoneticPr fontId="1" type="noConversion"/>
  </si>
  <si>
    <t>전력구감시</t>
    <phoneticPr fontId="1" type="noConversion"/>
  </si>
  <si>
    <t>신춘천
#1</t>
    <phoneticPr fontId="1" type="noConversion"/>
  </si>
  <si>
    <t>신춘천
#2</t>
    <phoneticPr fontId="1" type="noConversion"/>
  </si>
  <si>
    <t>신춘천FA망 From 구춘천 FA망 스위치</t>
    <phoneticPr fontId="1" type="noConversion"/>
  </si>
  <si>
    <t>서홍천-신춘천 송변전광단말 #2링 패치</t>
    <phoneticPr fontId="1" type="noConversion"/>
  </si>
  <si>
    <t>IP급전전화망</t>
    <phoneticPr fontId="1" type="noConversion"/>
  </si>
  <si>
    <t>춘천(신) PDAS망</t>
    <phoneticPr fontId="1" type="noConversion"/>
  </si>
  <si>
    <t>업무망</t>
    <phoneticPr fontId="1" type="noConversion"/>
  </si>
  <si>
    <t>SCADA(RTU)망</t>
    <phoneticPr fontId="1" type="noConversion"/>
  </si>
  <si>
    <t>감시정보시스템</t>
    <phoneticPr fontId="1" type="noConversion"/>
  </si>
  <si>
    <t>신춘천-북춘천 송변전광단말 #1링 패치</t>
    <phoneticPr fontId="1" type="noConversion"/>
  </si>
  <si>
    <t>신춘천-남춘천 송변전광단말 #2링 패치</t>
    <phoneticPr fontId="1" type="noConversion"/>
  </si>
  <si>
    <t>인터넷망 L2S/W</t>
    <phoneticPr fontId="1" type="noConversion"/>
  </si>
  <si>
    <t>IPT망 L2S/W</t>
    <phoneticPr fontId="1" type="noConversion"/>
  </si>
  <si>
    <t>춘천(신)-춘천(구) 송광치 SCADA 주회선용 L2 패치</t>
    <phoneticPr fontId="1" type="noConversion"/>
  </si>
  <si>
    <t>구춘천
#1</t>
    <phoneticPr fontId="1" type="noConversion"/>
  </si>
  <si>
    <t>구춘천
#2</t>
    <phoneticPr fontId="1" type="noConversion"/>
  </si>
  <si>
    <t>(신)춘천 변전소</t>
    <phoneticPr fontId="1" type="noConversion"/>
  </si>
  <si>
    <t>(구)춘천 변전소</t>
    <phoneticPr fontId="1" type="noConversion"/>
  </si>
  <si>
    <t>KepCIT</t>
  </si>
  <si>
    <t>소형광</t>
  </si>
  <si>
    <t>송광치</t>
  </si>
  <si>
    <t>춘천S/S</t>
    <phoneticPr fontId="1" type="noConversion"/>
  </si>
  <si>
    <t>송광PTP 북춘천-화천H/P EAST Tx/Rx</t>
    <phoneticPr fontId="1" type="noConversion"/>
  </si>
  <si>
    <t>송광PTP 북춘천-화천H/P WEST Tx/Rx</t>
    <phoneticPr fontId="1" type="noConversion"/>
  </si>
  <si>
    <t>통합PTP 북춘천-가평 WEST Rx</t>
    <phoneticPr fontId="1" type="noConversion"/>
  </si>
  <si>
    <t>통합PTP 북춘천-가평 WEST Tx</t>
    <phoneticPr fontId="1" type="noConversion"/>
  </si>
  <si>
    <t>I-MUX(A) Tx</t>
    <phoneticPr fontId="1" type="noConversion"/>
  </si>
  <si>
    <t>I-MUX(A) Rx</t>
    <phoneticPr fontId="1" type="noConversion"/>
  </si>
  <si>
    <t>송광치#1링 북춘천-춘천HP WEST(Tx)</t>
    <phoneticPr fontId="1" type="noConversion"/>
  </si>
  <si>
    <t>I-MUX(B) Tx</t>
    <phoneticPr fontId="1" type="noConversion"/>
  </si>
  <si>
    <t>I-MUX(B) Rx 5dB 감쇄기</t>
    <phoneticPr fontId="1" type="noConversion"/>
  </si>
  <si>
    <t>통합PTP 북춘천-가평 EAST Rx</t>
    <phoneticPr fontId="1" type="noConversion"/>
  </si>
  <si>
    <t>통합PTP 북춘천-가평 EAST Tx</t>
    <phoneticPr fontId="1" type="noConversion"/>
  </si>
  <si>
    <t>차세대KepCIT</t>
    <phoneticPr fontId="1" type="noConversion"/>
  </si>
  <si>
    <t>차세대KepCIT 강원#1링(화천B/O-본부)</t>
    <phoneticPr fontId="1" type="noConversion"/>
  </si>
  <si>
    <t>소형광</t>
    <phoneticPr fontId="1" type="noConversion"/>
  </si>
  <si>
    <t>송광치</t>
    <phoneticPr fontId="1" type="noConversion"/>
  </si>
  <si>
    <t>남춘천변전소</t>
    <phoneticPr fontId="1" type="noConversion"/>
  </si>
  <si>
    <t>열병합S/Y</t>
    <phoneticPr fontId="1" type="noConversion"/>
  </si>
  <si>
    <t>통합PTP 남춘천S/S-열병합S/Y WEST(Rx)</t>
    <phoneticPr fontId="1" type="noConversion"/>
  </si>
  <si>
    <t>통합PTP 남춘천S/S-열병합S/Y WEST(Tx)</t>
    <phoneticPr fontId="1" type="noConversion"/>
  </si>
  <si>
    <t>통합PTP 남춘천S/S-열병합S/Y EAST(Rx)</t>
    <phoneticPr fontId="1" type="noConversion"/>
  </si>
  <si>
    <t>통합PTP 남춘천S/S-열병합S/Y EAST(Tx)</t>
    <phoneticPr fontId="1" type="noConversion"/>
  </si>
  <si>
    <t>송변전광단말 남춘천-열병합 WEST(Rx)</t>
    <phoneticPr fontId="1" type="noConversion"/>
  </si>
  <si>
    <t>송변전광단말 남춘천-열병합 WEST(Tx)</t>
    <phoneticPr fontId="1" type="noConversion"/>
  </si>
  <si>
    <t>차세대KepCIT 권역망 중부#2링</t>
    <phoneticPr fontId="1" type="noConversion"/>
  </si>
  <si>
    <t>통합단말 서홍천-춘천 패치</t>
    <phoneticPr fontId="1" type="noConversion"/>
  </si>
  <si>
    <t>차세대KepCIT 강원#1링(본부-홍천D/O)</t>
    <phoneticPr fontId="1" type="noConversion"/>
  </si>
  <si>
    <t>동해전력구 화상감시L2S/W</t>
    <phoneticPr fontId="1" type="noConversion"/>
  </si>
  <si>
    <t>배전자가망 홍천지사#39링</t>
    <phoneticPr fontId="1" type="noConversion"/>
  </si>
  <si>
    <t>차세대KepCIT 권역망 중부#2링(강원D/D-원주P/O) 패치</t>
    <phoneticPr fontId="1" type="noConversion"/>
  </si>
  <si>
    <t>송변전광단말 춘천#2링 서홍천-신춘천 패치</t>
    <phoneticPr fontId="1" type="noConversion"/>
  </si>
  <si>
    <t>OMS-Plus 춘천-홍천 Rx(예) 패치</t>
    <phoneticPr fontId="1" type="noConversion"/>
  </si>
  <si>
    <t>OMS-Plus 춘천-홍천 Tx(예) 패치</t>
    <phoneticPr fontId="1" type="noConversion"/>
  </si>
  <si>
    <t>송변전광단말 춘천#2링 서홍천-신춘천(패치)</t>
    <phoneticPr fontId="1" type="noConversion"/>
  </si>
  <si>
    <t>22.06.09</t>
    <phoneticPr fontId="1" type="noConversion"/>
  </si>
  <si>
    <t xml:space="preserve"> </t>
    <phoneticPr fontId="1" type="noConversion"/>
  </si>
  <si>
    <t>송광치 춘천#2링 서홍천-춘천 WEST(Tx)</t>
    <phoneticPr fontId="1" type="noConversion"/>
  </si>
  <si>
    <t>송광치 춘천#2링 서홍천-춘천 WEST(Rx)</t>
    <phoneticPr fontId="1" type="noConversion"/>
  </si>
  <si>
    <t>청평P/P</t>
    <phoneticPr fontId="1" type="noConversion"/>
  </si>
  <si>
    <t>남춘천S/S</t>
    <phoneticPr fontId="1" type="noConversion"/>
  </si>
  <si>
    <t>청평P/P</t>
    <phoneticPr fontId="1" type="noConversion"/>
  </si>
  <si>
    <t>청평P/P-열병합 통합PTP EAST(Tx)</t>
    <phoneticPr fontId="1" type="noConversion"/>
  </si>
  <si>
    <t>청평P/P-열병합 통합PTP EAST(Rx)</t>
    <phoneticPr fontId="1" type="noConversion"/>
  </si>
  <si>
    <t>청평P/P-열병합 통합PTP WEST(Tx)</t>
    <phoneticPr fontId="1" type="noConversion"/>
  </si>
  <si>
    <t>청평P/P-열병합 통합PTP WEST(Rx)</t>
    <phoneticPr fontId="1" type="noConversion"/>
  </si>
  <si>
    <t>남춘천S/S-열병합 통합PTP WEST(Rx)</t>
    <phoneticPr fontId="1" type="noConversion"/>
  </si>
  <si>
    <t>남춘천S/S-열병합 통합PTP WEST(Tx)</t>
    <phoneticPr fontId="1" type="noConversion"/>
  </si>
  <si>
    <t>남춘천S/S-열병합 통합PTP EAST(Rx)</t>
    <phoneticPr fontId="1" type="noConversion"/>
  </si>
  <si>
    <t>남춘천S/S-열병합 통합PTP EAST(Tx)</t>
    <phoneticPr fontId="1" type="noConversion"/>
  </si>
  <si>
    <t>송광치 남춘천S/S-열병합 EAST(Rx)</t>
    <phoneticPr fontId="1" type="noConversion"/>
  </si>
  <si>
    <t>송광치 남춘천S/S-열병합 EAST(Tx)</t>
    <phoneticPr fontId="1" type="noConversion"/>
  </si>
  <si>
    <t>서홍천S/S</t>
    <phoneticPr fontId="1" type="noConversion"/>
  </si>
  <si>
    <t>남춘천S/S
비금속</t>
    <phoneticPr fontId="1" type="noConversion"/>
  </si>
  <si>
    <t>열병합-홍천B/O 1:1 패치</t>
    <phoneticPr fontId="1" type="noConversion"/>
  </si>
  <si>
    <t>홍천B/O
비금속</t>
    <phoneticPr fontId="1" type="noConversion"/>
  </si>
  <si>
    <t>간성S/S</t>
    <phoneticPr fontId="1" type="noConversion"/>
  </si>
  <si>
    <t>빙설해 풍향풍속(인성T/L No.87호)</t>
    <phoneticPr fontId="1" type="noConversion"/>
  </si>
  <si>
    <t>송광치 간성계 EAST(Tx)</t>
    <phoneticPr fontId="1" type="noConversion"/>
  </si>
  <si>
    <t>송광치 간성계 EAST(Rx)</t>
    <phoneticPr fontId="1" type="noConversion"/>
  </si>
  <si>
    <t>PTPU 인제-간성 WEST(Rx)</t>
    <phoneticPr fontId="1" type="noConversion"/>
  </si>
  <si>
    <t>PTPU 인제-간성 WEST(Tx)</t>
    <phoneticPr fontId="1" type="noConversion"/>
  </si>
  <si>
    <t>2.5G 강원#2링(고성B/O-인제B/O) Tx</t>
    <phoneticPr fontId="1" type="noConversion"/>
  </si>
  <si>
    <t>2.5G 강원#2링(고성B/O-인제B/O) Rx</t>
    <phoneticPr fontId="1" type="noConversion"/>
  </si>
  <si>
    <t>PTPU 인제-간성 EAST(Rx)</t>
    <phoneticPr fontId="1" type="noConversion"/>
  </si>
  <si>
    <t>PTPU 인제-간성 EAST(Tx)</t>
    <phoneticPr fontId="1" type="noConversion"/>
  </si>
  <si>
    <t>차세대 KepCIT 강원#2링</t>
    <phoneticPr fontId="1" type="noConversion"/>
  </si>
  <si>
    <t>U+ Oracle 10G</t>
    <phoneticPr fontId="1" type="noConversion"/>
  </si>
  <si>
    <t>Metro 강원#1링 양구상리~고성간</t>
    <phoneticPr fontId="1" type="noConversion"/>
  </si>
  <si>
    <t>Metro 강원#6링 원통간7호~OPGW</t>
    <phoneticPr fontId="1" type="noConversion"/>
  </si>
  <si>
    <t>상남S/S</t>
    <phoneticPr fontId="1" type="noConversion"/>
  </si>
  <si>
    <t>OMS-5116 인제-상남 Tx(주)</t>
    <phoneticPr fontId="1" type="noConversion"/>
  </si>
  <si>
    <t>OMS-5116 인제-상남 Rx(예)</t>
    <phoneticPr fontId="1" type="noConversion"/>
  </si>
  <si>
    <t>OMS-5116 인제-상남 Rx(주)</t>
    <phoneticPr fontId="1" type="noConversion"/>
  </si>
  <si>
    <t>OMS-5116 인제-상남 Tx(예)</t>
    <phoneticPr fontId="1" type="noConversion"/>
  </si>
  <si>
    <t>통합PTP 상남-인제 WEST(Rx)</t>
    <phoneticPr fontId="1" type="noConversion"/>
  </si>
  <si>
    <t>통합PTP 상남-인제 WEST(Tx)</t>
    <phoneticPr fontId="1" type="noConversion"/>
  </si>
  <si>
    <t>통합PTP 상남-인제 EAST(Tx)</t>
    <phoneticPr fontId="1" type="noConversion"/>
  </si>
  <si>
    <t>통합PTP 상남-인제 EAST(Rx)</t>
    <phoneticPr fontId="1" type="noConversion"/>
  </si>
  <si>
    <t>동해전력구 화상감시 L2S/W</t>
    <phoneticPr fontId="1" type="noConversion"/>
  </si>
  <si>
    <t>송광치 춘천#1링 인제S/S-춘천S/S WEST(Tx)</t>
    <phoneticPr fontId="1" type="noConversion"/>
  </si>
  <si>
    <t>송광치 춘천#1링 인제S/S-춘천S/S WEST(Rx)</t>
    <phoneticPr fontId="1" type="noConversion"/>
  </si>
  <si>
    <t>양구S/S</t>
    <phoneticPr fontId="1" type="noConversion"/>
  </si>
  <si>
    <t>송광치 PTPU 인제S/S-양구S/S EAST</t>
    <phoneticPr fontId="1" type="noConversion"/>
  </si>
  <si>
    <t>송광치 PTPU 인제S/S-양구S/S WEST</t>
    <phoneticPr fontId="1" type="noConversion"/>
  </si>
  <si>
    <t>차세대KepCIT 강원#2링</t>
    <phoneticPr fontId="1" type="noConversion"/>
  </si>
  <si>
    <t>송광치 춘천#1링 양구S/S-인제S/S EAST(Tx)</t>
    <phoneticPr fontId="1" type="noConversion"/>
  </si>
  <si>
    <t>송광치 춘천#1링 양구S/S-인제S/S EAST(Rx)</t>
    <phoneticPr fontId="1" type="noConversion"/>
  </si>
  <si>
    <t>신양양S/S</t>
    <phoneticPr fontId="1" type="noConversion"/>
  </si>
  <si>
    <t>통합PTP 인제-신양양 WEST(Tx)</t>
    <phoneticPr fontId="1" type="noConversion"/>
  </si>
  <si>
    <t>통합PTP 인제-신양양 WEST(Rx)</t>
    <phoneticPr fontId="1" type="noConversion"/>
  </si>
  <si>
    <t>통합PTP 인제-신양양 EAST(Tx)</t>
    <phoneticPr fontId="1" type="noConversion"/>
  </si>
  <si>
    <t>통합PTP 인제-신양양 EAST(Rx)</t>
    <phoneticPr fontId="1" type="noConversion"/>
  </si>
  <si>
    <t>송광치 신양양계 EAST(Tx)</t>
    <phoneticPr fontId="1" type="noConversion"/>
  </si>
  <si>
    <t>송광치 신양양계 EAST(Rx)</t>
    <phoneticPr fontId="1" type="noConversion"/>
  </si>
  <si>
    <t>신양양-인제 No.19호 빙설해 감시</t>
    <phoneticPr fontId="1" type="noConversion"/>
  </si>
  <si>
    <t>신양양-인제 No.38호 빙설해 감시</t>
    <phoneticPr fontId="1" type="noConversion"/>
  </si>
  <si>
    <t>DAS링 자가망</t>
    <phoneticPr fontId="1" type="noConversion"/>
  </si>
  <si>
    <t>송광치 PTPU 인제-양구 EAST</t>
    <phoneticPr fontId="1" type="noConversion"/>
  </si>
  <si>
    <t>송광치 PTPU 인제-양구 WEST</t>
    <phoneticPr fontId="1" type="noConversion"/>
  </si>
  <si>
    <t>차세대KepCIT 강원#2링</t>
    <phoneticPr fontId="1" type="noConversion"/>
  </si>
  <si>
    <t>송광치 춘천#1링 양구-인제 WEST(Rx)</t>
    <phoneticPr fontId="1" type="noConversion"/>
  </si>
  <si>
    <t>송광치 춘천#1링 양구-인제 WEST(Tx)</t>
    <phoneticPr fontId="1" type="noConversion"/>
  </si>
  <si>
    <t xml:space="preserve"> </t>
    <phoneticPr fontId="1" type="noConversion"/>
  </si>
  <si>
    <t>인제S/S</t>
    <phoneticPr fontId="1" type="noConversion"/>
  </si>
  <si>
    <t>상남S/S</t>
    <phoneticPr fontId="1" type="noConversion"/>
  </si>
  <si>
    <t>OMS 5116 양구-상남 Tx(주)</t>
    <phoneticPr fontId="1" type="noConversion"/>
  </si>
  <si>
    <t>OMS 5116 양구-상남 Rx(주)</t>
    <phoneticPr fontId="1" type="noConversion"/>
  </si>
  <si>
    <t>OMS 5116 양구-상남 Tx(예)</t>
    <phoneticPr fontId="1" type="noConversion"/>
  </si>
  <si>
    <t>OMS 5116 양구-상남 Rx(예)</t>
    <phoneticPr fontId="1" type="noConversion"/>
  </si>
  <si>
    <t>2.5G 강원#2링(양구B/O-홍천B/O) Tx</t>
    <phoneticPr fontId="1" type="noConversion"/>
  </si>
  <si>
    <t>양구-상남PTPU WEST Rx</t>
    <phoneticPr fontId="1" type="noConversion"/>
  </si>
  <si>
    <t>양구-상남PTPU WEST Tx</t>
    <phoneticPr fontId="1" type="noConversion"/>
  </si>
  <si>
    <t>양구-상남PTP EAST Rx</t>
    <phoneticPr fontId="1" type="noConversion"/>
  </si>
  <si>
    <t>양구-상남PTP EAST Tx</t>
    <phoneticPr fontId="1" type="noConversion"/>
  </si>
  <si>
    <t>화천H/P</t>
    <phoneticPr fontId="1" type="noConversion"/>
  </si>
  <si>
    <t>2.5G 강원#2링 (인제B/O-양구B/O) Rx</t>
    <phoneticPr fontId="1" type="noConversion"/>
  </si>
  <si>
    <t>DAS 자가망 #23</t>
    <phoneticPr fontId="1" type="noConversion"/>
  </si>
  <si>
    <t>DAS 자가망 #24</t>
    <phoneticPr fontId="1" type="noConversion"/>
  </si>
  <si>
    <t>화천S/S</t>
    <phoneticPr fontId="1" type="noConversion"/>
  </si>
  <si>
    <t>운천S/S</t>
    <phoneticPr fontId="1" type="noConversion"/>
  </si>
  <si>
    <t>차세대KepCIT 경기북부링 패치</t>
    <phoneticPr fontId="1" type="noConversion"/>
  </si>
  <si>
    <t>KepCIT 강원#1링 화천B/O-철원B/O Tx 패치</t>
    <phoneticPr fontId="1" type="noConversion"/>
  </si>
  <si>
    <t>KepCIT 강원#1링 화천B/O-철원B/O Rx 패치</t>
    <phoneticPr fontId="1" type="noConversion"/>
  </si>
  <si>
    <t>철원화천 빙설해</t>
    <phoneticPr fontId="1" type="noConversion"/>
  </si>
  <si>
    <t>운천계 OMS WEST(Tx) 주</t>
    <phoneticPr fontId="1" type="noConversion"/>
  </si>
  <si>
    <t>운천계 OMS WEST(Rx) 주</t>
    <phoneticPr fontId="1" type="noConversion"/>
  </si>
  <si>
    <t>운천계 OMS EAST(Tx) 주</t>
    <phoneticPr fontId="1" type="noConversion"/>
  </si>
  <si>
    <t>운천계 OMS EAST(Rx) 주</t>
    <phoneticPr fontId="1" type="noConversion"/>
  </si>
  <si>
    <t>차세대KepCIT 강원#1링(신가평-철원B/O)</t>
    <phoneticPr fontId="1" type="noConversion"/>
  </si>
  <si>
    <t>운천계 OMS WEST(Tx) 예</t>
    <phoneticPr fontId="1" type="noConversion"/>
  </si>
  <si>
    <t>운천계 OMS WEST(Rx) 예</t>
    <phoneticPr fontId="1" type="noConversion"/>
  </si>
  <si>
    <t>인터넷 망</t>
    <phoneticPr fontId="1" type="noConversion"/>
  </si>
  <si>
    <t>KepCIT 강원#1링 철원B/O-신가평S/S Tx 패치</t>
    <phoneticPr fontId="1" type="noConversion"/>
  </si>
  <si>
    <t>KepCIT 강원#1링 철원B/O-신가평S/S Rx 패치</t>
    <phoneticPr fontId="1" type="noConversion"/>
  </si>
  <si>
    <t>운천계 OMS EAST(Tx) 예</t>
    <phoneticPr fontId="1" type="noConversion"/>
  </si>
  <si>
    <t>운천계 OMS EAST(Rx) 예</t>
    <phoneticPr fontId="1" type="noConversion"/>
  </si>
  <si>
    <t>#23 DAS 자가망</t>
    <phoneticPr fontId="1" type="noConversion"/>
  </si>
  <si>
    <t>#24 DAS 자가망</t>
    <phoneticPr fontId="1" type="noConversion"/>
  </si>
  <si>
    <t>철원S/S</t>
    <phoneticPr fontId="1" type="noConversion"/>
  </si>
  <si>
    <t>송광치 직할#1링 화천H/P-철원S/S EAST(Tx)</t>
    <phoneticPr fontId="1" type="noConversion"/>
  </si>
  <si>
    <t>송광치 직할#1링 화천H/P-철원S/S EAST(Rx)</t>
    <phoneticPr fontId="1" type="noConversion"/>
  </si>
  <si>
    <t>차세대KepCIT 경기북부링</t>
    <phoneticPr fontId="1" type="noConversion"/>
  </si>
  <si>
    <t>차세대KepCIT 강원#1링(화천B/O-본부)</t>
    <phoneticPr fontId="1" type="noConversion"/>
  </si>
  <si>
    <t>송광치 직할#1링 철원-화천H/P Tx 패치</t>
    <phoneticPr fontId="1" type="noConversion"/>
  </si>
  <si>
    <t>송광치 직할#1링 철원-화천H/P Rx 패치</t>
    <phoneticPr fontId="1" type="noConversion"/>
  </si>
  <si>
    <t>송광치 직할#1링 화천-철원 WEST(Rx)</t>
    <phoneticPr fontId="1" type="noConversion"/>
  </si>
  <si>
    <t>송광치 직할#1링 화천-철원 WEST(Tx)</t>
    <phoneticPr fontId="1" type="noConversion"/>
  </si>
  <si>
    <t>KepCIT 2.5G 강원#1링 철원S/S계</t>
    <phoneticPr fontId="1" type="noConversion"/>
  </si>
  <si>
    <t>KepCIT 2.5G 강원#1링(화천B/O-화천H/P)</t>
    <phoneticPr fontId="1" type="noConversion"/>
  </si>
  <si>
    <t>DAS</t>
    <phoneticPr fontId="1" type="noConversion"/>
  </si>
  <si>
    <t>화천수력발전소</t>
    <phoneticPr fontId="1" type="noConversion"/>
  </si>
  <si>
    <t>춘천H/P</t>
    <phoneticPr fontId="1" type="noConversion"/>
  </si>
  <si>
    <t>화천S/S</t>
    <phoneticPr fontId="1" type="noConversion"/>
  </si>
  <si>
    <t>양구S/S</t>
    <phoneticPr fontId="1" type="noConversion"/>
  </si>
  <si>
    <t>송광PTP 화천H/P-북춘천S/S EAST</t>
    <phoneticPr fontId="1" type="noConversion"/>
  </si>
  <si>
    <t>송광PTP 화천H/P-북춘천S/S WEST</t>
    <phoneticPr fontId="1" type="noConversion"/>
  </si>
  <si>
    <t>송광치 가평연계링 춘천H/P-화천H/P WEST(Tx)</t>
    <phoneticPr fontId="1" type="noConversion"/>
  </si>
  <si>
    <t>송광치 가평연계링 춘천H/P-화천H/P WEST(Rx)</t>
    <phoneticPr fontId="1" type="noConversion"/>
  </si>
  <si>
    <t>송광치 춘천#1링 춘천H/P-화천 WEST 패치</t>
    <phoneticPr fontId="1" type="noConversion"/>
  </si>
  <si>
    <t>송광치 가평링 춘천H/P 패치(화천H/P-가평S/S) EAST(Tx)</t>
    <phoneticPr fontId="1" type="noConversion"/>
  </si>
  <si>
    <t>송광치 가평링 춘천H/P 패치(화천H/P-가평S/S) EAST(Rx)</t>
    <phoneticPr fontId="1" type="noConversion"/>
  </si>
  <si>
    <t>송광치 직할#1링 춘천H/P-화천 패치</t>
    <phoneticPr fontId="1" type="noConversion"/>
  </si>
  <si>
    <t>송광치 직할#1링 화천H/P-양구 WEST(Rx)</t>
    <phoneticPr fontId="1" type="noConversion"/>
  </si>
  <si>
    <t>양구계 PTPU EAST</t>
    <phoneticPr fontId="1" type="noConversion"/>
  </si>
  <si>
    <t>양구계 PTPU WEST</t>
    <phoneticPr fontId="1" type="noConversion"/>
  </si>
  <si>
    <t>춘천수력발전소</t>
    <phoneticPr fontId="1" type="noConversion"/>
  </si>
  <si>
    <t>북춘천S/S
(좌측 2열)</t>
    <phoneticPr fontId="1" type="noConversion"/>
  </si>
  <si>
    <t>북춘천S/S
(좌측 4열)</t>
    <phoneticPr fontId="1" type="noConversion"/>
  </si>
  <si>
    <t>MCR실
(좌측 2열)</t>
    <phoneticPr fontId="1" type="noConversion"/>
  </si>
  <si>
    <t>MCR실
(좌측 4열)</t>
    <phoneticPr fontId="1" type="noConversion"/>
  </si>
  <si>
    <t>가평S/S
(좌측 2열)</t>
    <phoneticPr fontId="1" type="noConversion"/>
  </si>
  <si>
    <t>송광치 가평연계링 가평-화천WEST 패치 가평WEST(Rx)</t>
    <phoneticPr fontId="1" type="noConversion"/>
  </si>
  <si>
    <t>송광치 가평연계링 가평-화천WEST 패치 가평WEST(Tx)</t>
    <phoneticPr fontId="1" type="noConversion"/>
  </si>
  <si>
    <t>차세대KepCIT 경기북부링 패치</t>
    <phoneticPr fontId="1" type="noConversion"/>
  </si>
  <si>
    <t>통합PTP 북춘천-가평 EAST(Tx)</t>
    <phoneticPr fontId="1" type="noConversion"/>
  </si>
  <si>
    <t>통합PTP 북춘천-가평 EAST(Rx)</t>
    <phoneticPr fontId="1" type="noConversion"/>
  </si>
  <si>
    <t>통합PTP 북춘천-가평 WEST(Rx)</t>
    <phoneticPr fontId="1" type="noConversion"/>
  </si>
  <si>
    <t>통합PTP 북춘천-가평 WEST(Tx)</t>
    <phoneticPr fontId="1" type="noConversion"/>
  </si>
  <si>
    <t>OMS 5116 춘천H/P-가평S/S EAST(Tx)</t>
    <phoneticPr fontId="1" type="noConversion"/>
  </si>
  <si>
    <t>OMS 5116 춘천H/P-가평S/S EAST(Rx)</t>
    <phoneticPr fontId="1" type="noConversion"/>
  </si>
  <si>
    <t>OMS 5116 춘천H/P-가평S/S WEST(Tx)</t>
    <phoneticPr fontId="1" type="noConversion"/>
  </si>
  <si>
    <t>OMS 5116 춘천H/P-가평S/S WEST(Rx)</t>
    <phoneticPr fontId="1" type="noConversion"/>
  </si>
  <si>
    <t>통합PTP 북춘천-춘천H/P EAST Tx(주)</t>
    <phoneticPr fontId="1" type="noConversion"/>
  </si>
  <si>
    <t>통합PTP 북춘천-춘천H/P EAST Rx(주)</t>
    <phoneticPr fontId="1" type="noConversion"/>
  </si>
  <si>
    <t>통합PTP 북춘천-화천H/P Tx(주)</t>
    <phoneticPr fontId="1" type="noConversion"/>
  </si>
  <si>
    <t>통합PTP 북춘천-화천H/P Rx(주)</t>
    <phoneticPr fontId="1" type="noConversion"/>
  </si>
  <si>
    <t>I-MUX 북춘천S/S-춘천H/P 주_Tx</t>
    <phoneticPr fontId="1" type="noConversion"/>
  </si>
  <si>
    <t>I-MUX 북춘천S/S-춘천H/P 주_Rx</t>
    <phoneticPr fontId="1" type="noConversion"/>
  </si>
  <si>
    <t>통합PTP 북춘천-춘천H/P Tx(예)</t>
    <phoneticPr fontId="1" type="noConversion"/>
  </si>
  <si>
    <t>통합PTP 북춘천-춘천H/P Rx(예)</t>
    <phoneticPr fontId="1" type="noConversion"/>
  </si>
  <si>
    <t>통합PTP 북춘천-가평 EAST Rx</t>
    <phoneticPr fontId="1" type="noConversion"/>
  </si>
  <si>
    <t>통합PTP 북춘천-가평 EAST Tx</t>
    <phoneticPr fontId="1" type="noConversion"/>
  </si>
  <si>
    <t>I-MUX 북춘천S/S-춘천H/P 예비_Tx</t>
    <phoneticPr fontId="1" type="noConversion"/>
  </si>
  <si>
    <t>I-MUX 북춘천S/S-춘천H/P 예비_Rx</t>
    <phoneticPr fontId="1" type="noConversion"/>
  </si>
  <si>
    <t>송광치 직할#1링 북춘천-춘천H/P EAST(Rx)</t>
    <phoneticPr fontId="1" type="noConversion"/>
  </si>
  <si>
    <t>PTP타입 송광치 북춘천-춘천H/P EAST(Tx)</t>
    <phoneticPr fontId="1" type="noConversion"/>
  </si>
  <si>
    <t>통합PTP 북춘천-가평 WEST(Tx)</t>
    <phoneticPr fontId="1" type="noConversion"/>
  </si>
  <si>
    <t>통합PTP 북춘천-가평 WEST(Rx)</t>
    <phoneticPr fontId="1" type="noConversion"/>
  </si>
  <si>
    <t>차세대KepCIT 코어 확보</t>
    <phoneticPr fontId="1" type="noConversion"/>
  </si>
  <si>
    <t>OMS-5116 가평S/S-춘천H/P WEST(Tx)</t>
    <phoneticPr fontId="1" type="noConversion"/>
  </si>
  <si>
    <t>OMS-5116 가평S/S-춘천H/P WEST(Rx)</t>
    <phoneticPr fontId="1" type="noConversion"/>
  </si>
  <si>
    <t>OMS-5116 가평S/S-춘천H/P EAST(Tx)</t>
    <phoneticPr fontId="1" type="noConversion"/>
  </si>
  <si>
    <t>OMS-5116 가평S/S-춘천H/P EAST(Rx)</t>
    <phoneticPr fontId="1" type="noConversion"/>
  </si>
  <si>
    <t>송광치 춘천H/P-화천H/P EAST Rx</t>
    <phoneticPr fontId="1" type="noConversion"/>
  </si>
  <si>
    <t>송광치 춘천H/P-화천H/P EAST Tx</t>
    <phoneticPr fontId="1" type="noConversion"/>
  </si>
  <si>
    <t>가평-춘천수력 송변전광단말장치 WEST(Rx)</t>
    <phoneticPr fontId="1" type="noConversion"/>
  </si>
  <si>
    <t>가평-춘천수력 송변전광단말장치 WEST(Tx)</t>
    <phoneticPr fontId="1" type="noConversion"/>
  </si>
  <si>
    <t>송광치 직할#1링 화천S/S-춘천H/P WEST(Tx)</t>
    <phoneticPr fontId="1" type="noConversion"/>
  </si>
  <si>
    <t>송광치 직할#1링 화천S/S-춘천H/P EAST(Rx)</t>
    <phoneticPr fontId="1" type="noConversion"/>
  </si>
  <si>
    <t>송광치 직할#1링 화천S/S-춘천H/P EAST(Tx)</t>
    <phoneticPr fontId="1" type="noConversion"/>
  </si>
  <si>
    <t>송광치 직할#1링 화천S/S-춘천H/P WEST(Rx)</t>
    <phoneticPr fontId="1" type="noConversion"/>
  </si>
  <si>
    <t>I-MUX 북춘천S/S-춘천H/P 예비(Tx)</t>
    <phoneticPr fontId="1" type="noConversion"/>
  </si>
  <si>
    <t>I-MUX 북춘천S/S-춘천H/P 예비(Rx)</t>
    <phoneticPr fontId="1" type="noConversion"/>
  </si>
  <si>
    <t>소양강수력발전소</t>
    <phoneticPr fontId="1" type="noConversion"/>
  </si>
  <si>
    <t>홍천S/S</t>
    <phoneticPr fontId="1" type="noConversion"/>
  </si>
  <si>
    <t>춘천S/S</t>
    <phoneticPr fontId="1" type="noConversion"/>
  </si>
  <si>
    <t>홍천-소양 OMS 주(Rx)</t>
    <phoneticPr fontId="1" type="noConversion"/>
  </si>
  <si>
    <t>홍천-소양 OMS 주(Tx)</t>
    <phoneticPr fontId="1" type="noConversion"/>
  </si>
  <si>
    <t>홍천-소양 OMS 예비(Rx)</t>
    <phoneticPr fontId="1" type="noConversion"/>
  </si>
  <si>
    <t>홍천-소양 OMS 예비(Tx)</t>
    <phoneticPr fontId="1" type="noConversion"/>
  </si>
  <si>
    <t>춘천-소양 OMS 주(Rx)</t>
    <phoneticPr fontId="1" type="noConversion"/>
  </si>
  <si>
    <t>춘천-소양 OMS 주(Tx)</t>
    <phoneticPr fontId="1" type="noConversion"/>
  </si>
  <si>
    <t>춘천-소양 OMS 예비(Rx)</t>
    <phoneticPr fontId="1" type="noConversion"/>
  </si>
  <si>
    <t>춘천-소양 OMS 예비(Tx)</t>
    <phoneticPr fontId="1" type="noConversion"/>
  </si>
  <si>
    <t>소형광</t>
    <phoneticPr fontId="1" type="noConversion"/>
  </si>
  <si>
    <t>송광치</t>
    <phoneticPr fontId="1" type="noConversion"/>
  </si>
  <si>
    <t>차세대KepCIT</t>
    <phoneticPr fontId="1" type="noConversion"/>
  </si>
  <si>
    <t>KepCIT</t>
    <phoneticPr fontId="1" type="noConversion"/>
  </si>
  <si>
    <t>기타</t>
    <phoneticPr fontId="1" type="noConversion"/>
  </si>
  <si>
    <t>DAS</t>
    <phoneticPr fontId="1" type="noConversion"/>
  </si>
  <si>
    <t>임대</t>
    <phoneticPr fontId="1" type="noConversion"/>
  </si>
  <si>
    <t>차세대KepCIT 강원#1링 철원B/O-화천B/O</t>
    <phoneticPr fontId="1" type="noConversion"/>
  </si>
  <si>
    <t>차세대KepCIT 강원#1링 화천B/O-강원D/D</t>
    <phoneticPr fontId="1" type="noConversion"/>
  </si>
  <si>
    <t>직할급전분소 UTM#1-L2-RCC Router#1</t>
    <phoneticPr fontId="1" type="noConversion"/>
  </si>
  <si>
    <t>직할급전분소 UTM#1-L2-RCC Router#2</t>
  </si>
  <si>
    <t>직할급전분소 EMS#2-직할급전분소 ENG#2</t>
    <phoneticPr fontId="1" type="noConversion"/>
  </si>
  <si>
    <t>직할급전분소 EMS#1-직할급전분소 ENG#1</t>
    <phoneticPr fontId="1" type="noConversion"/>
  </si>
  <si>
    <t>직할급전분소 변전소 연계L3#2_구춘천L2(SCC예비회선)</t>
    <phoneticPr fontId="1" type="noConversion"/>
  </si>
  <si>
    <t>인제-신춘천 송변전광단말장치 직할#1링 패치</t>
    <phoneticPr fontId="1" type="noConversion"/>
  </si>
  <si>
    <t>송광치 PTPU 춘천-홍천</t>
    <phoneticPr fontId="1" type="noConversion"/>
  </si>
  <si>
    <t>송변전IP급전~강원본부 IPT백본</t>
    <phoneticPr fontId="1" type="noConversion"/>
  </si>
  <si>
    <t>본부-신춘천 PDAS 패치</t>
    <phoneticPr fontId="1" type="noConversion"/>
  </si>
  <si>
    <t>기타</t>
    <phoneticPr fontId="1" type="noConversion"/>
  </si>
  <si>
    <t>Digital SCADA 예비회선</t>
    <phoneticPr fontId="1" type="noConversion"/>
  </si>
  <si>
    <t>춘천OA SW-본부 OA백본</t>
    <phoneticPr fontId="1" type="noConversion"/>
  </si>
  <si>
    <t>춘천OA SW-본부 FA백본</t>
    <phoneticPr fontId="1" type="noConversion"/>
  </si>
  <si>
    <t>춘천OA SW-본부 IPT백본</t>
    <phoneticPr fontId="1" type="noConversion"/>
  </si>
  <si>
    <t>춘천OA SW-신춘천 OA망</t>
    <phoneticPr fontId="1" type="noConversion"/>
  </si>
  <si>
    <t>춘천FA SW-신춘천 FA망</t>
    <phoneticPr fontId="1" type="noConversion"/>
  </si>
  <si>
    <t>춘천FA SW-신춘천 IP급전망</t>
    <phoneticPr fontId="1" type="noConversion"/>
  </si>
  <si>
    <t>송변전광단말 신춘천-남춘천 EAST(Rx)</t>
  </si>
  <si>
    <t>송변전광단말 신춘천-남춘천 EAST(Tx)</t>
  </si>
  <si>
    <t>송광치PTPU 남춘천-홍천S/S WEST</t>
  </si>
  <si>
    <t>송광치PTPU 남춘천-홍천S/S EAST</t>
  </si>
  <si>
    <t>기타</t>
  </si>
  <si>
    <t>동해전력구 화상감시L2S/W</t>
  </si>
  <si>
    <t>DAS</t>
  </si>
  <si>
    <t>배전자가망 홍천지사#39링</t>
  </si>
  <si>
    <t>OMS-Plus 춘천-홍천 Tx(예)</t>
  </si>
  <si>
    <t>OMS-Plus 춘천-홍천 Rx(예)</t>
  </si>
  <si>
    <t>홍천</t>
    <phoneticPr fontId="1" type="noConversion"/>
  </si>
  <si>
    <t>차세대KepCIT 권역망 중부#2링 (Tx)</t>
    <phoneticPr fontId="1" type="noConversion"/>
  </si>
  <si>
    <t>차세대KepCIT 권역망 중부#2링 (Rx)</t>
    <phoneticPr fontId="1" type="noConversion"/>
  </si>
  <si>
    <t>1:1 패치</t>
    <phoneticPr fontId="1" type="noConversion"/>
  </si>
  <si>
    <t>1:1 패치</t>
    <phoneticPr fontId="1" type="noConversion"/>
  </si>
  <si>
    <t>송광치 직할#2링 서홍천-신춘천 패치</t>
    <phoneticPr fontId="1" type="noConversion"/>
  </si>
  <si>
    <t>남춘천-홍천 OMS(W)</t>
    <phoneticPr fontId="1" type="noConversion"/>
  </si>
  <si>
    <t>소형광</t>
    <phoneticPr fontId="1" type="noConversion"/>
  </si>
  <si>
    <t>남춘천</t>
    <phoneticPr fontId="1" type="noConversion"/>
  </si>
  <si>
    <t>전력관리처</t>
    <phoneticPr fontId="1" type="noConversion"/>
  </si>
  <si>
    <t>본부-관리처 5층 OA #1</t>
    <phoneticPr fontId="1" type="noConversion"/>
  </si>
  <si>
    <t>본부-관리처 5층 보안스위치#1</t>
    <phoneticPr fontId="1" type="noConversion"/>
  </si>
  <si>
    <t>본부-관리처 5층 IPT #1</t>
    <phoneticPr fontId="1" type="noConversion"/>
  </si>
  <si>
    <t>본부-관리처 CATV</t>
    <phoneticPr fontId="1" type="noConversion"/>
  </si>
  <si>
    <t>동해 화상감시시스템 L2S/W</t>
    <phoneticPr fontId="1" type="noConversion"/>
  </si>
  <si>
    <t>강릉TP 전력구운영시스템 L2S/W</t>
    <phoneticPr fontId="1" type="noConversion"/>
  </si>
  <si>
    <t>계통운영부 신재생감시스위치</t>
    <phoneticPr fontId="1" type="noConversion"/>
  </si>
  <si>
    <t>4층 OA 스위치</t>
    <phoneticPr fontId="1" type="noConversion"/>
  </si>
  <si>
    <t>4층 인터넷 스위치</t>
    <phoneticPr fontId="1" type="noConversion"/>
  </si>
  <si>
    <t>4층 IPT 스위치</t>
    <phoneticPr fontId="1" type="noConversion"/>
  </si>
  <si>
    <t>본부 FA 백본</t>
    <phoneticPr fontId="1" type="noConversion"/>
  </si>
  <si>
    <t>3층 OA 스위치</t>
    <phoneticPr fontId="1" type="noConversion"/>
  </si>
  <si>
    <t>3층 인터넷 스위치</t>
    <phoneticPr fontId="1" type="noConversion"/>
  </si>
  <si>
    <t>3층 IPT 스위치</t>
    <phoneticPr fontId="1" type="noConversion"/>
  </si>
  <si>
    <t>PDAS</t>
    <phoneticPr fontId="1" type="noConversion"/>
  </si>
  <si>
    <t>강원본부 PNA PC</t>
    <phoneticPr fontId="1" type="noConversion"/>
  </si>
  <si>
    <t>급전소 비상벨</t>
    <phoneticPr fontId="1" type="noConversion"/>
  </si>
  <si>
    <t>강원본부 KepCIT-화상회의</t>
    <phoneticPr fontId="1" type="noConversion"/>
  </si>
  <si>
    <t>154kV 남춘천-춘천열병합 T/L
154kV 남춘천분기T/L</t>
    <phoneticPr fontId="1" type="noConversion"/>
  </si>
  <si>
    <t>강원D/D
비금속</t>
    <phoneticPr fontId="1" type="noConversion"/>
  </si>
  <si>
    <t>열병합S/Y
비금속</t>
    <phoneticPr fontId="1" type="noConversion"/>
  </si>
  <si>
    <t>154kV 인성T/L</t>
    <phoneticPr fontId="1" type="noConversion"/>
  </si>
  <si>
    <t>154kV 상제T/L</t>
    <phoneticPr fontId="1" type="noConversion"/>
  </si>
  <si>
    <t>154kV 양구T/L</t>
    <phoneticPr fontId="1" type="noConversion"/>
  </si>
  <si>
    <t>154kV 신양양-인제T/L</t>
    <phoneticPr fontId="1" type="noConversion"/>
  </si>
  <si>
    <t>154kV 화천수럭T/L</t>
    <phoneticPr fontId="1" type="noConversion"/>
  </si>
  <si>
    <t>154kV 철원-화천T/L</t>
    <phoneticPr fontId="1" type="noConversion"/>
  </si>
  <si>
    <t>154kV 춘천수력T/L</t>
    <phoneticPr fontId="1" type="noConversion"/>
  </si>
  <si>
    <t>154kV 한강분기T/L
154kV 화천T/L</t>
    <phoneticPr fontId="1" type="noConversion"/>
  </si>
  <si>
    <t>간성S/S</t>
    <phoneticPr fontId="1" type="noConversion"/>
  </si>
  <si>
    <t>154kV 인성T/L</t>
  </si>
  <si>
    <t>임대</t>
    <phoneticPr fontId="1" type="noConversion"/>
  </si>
  <si>
    <t>LG 헬로비전 전용회선 양구상리-간성S/S</t>
    <phoneticPr fontId="1" type="noConversion"/>
  </si>
  <si>
    <t>확인필요</t>
    <phoneticPr fontId="1" type="noConversion"/>
  </si>
  <si>
    <t>차세대KepCIT 강원#2링 (양구B/O-인제B/O 패치)</t>
    <phoneticPr fontId="1" type="noConversion"/>
  </si>
  <si>
    <t>화천B/O
#경로A</t>
    <phoneticPr fontId="1" type="noConversion"/>
  </si>
  <si>
    <t>화천B/O
#경로B</t>
    <phoneticPr fontId="1" type="noConversion"/>
  </si>
  <si>
    <t>철원B/O
#경로A</t>
    <phoneticPr fontId="1" type="noConversion"/>
  </si>
  <si>
    <t>철원B/O
#경로B</t>
    <phoneticPr fontId="1" type="noConversion"/>
  </si>
  <si>
    <t>양구B/O
#경로A</t>
    <phoneticPr fontId="1" type="noConversion"/>
  </si>
  <si>
    <t>양구B/O
#경로B</t>
    <phoneticPr fontId="1" type="noConversion"/>
  </si>
  <si>
    <t>인제B/O
#경로A</t>
    <phoneticPr fontId="1" type="noConversion"/>
  </si>
  <si>
    <t>인제B/O
#경로B</t>
    <phoneticPr fontId="1" type="noConversion"/>
  </si>
  <si>
    <t>실제 21~24코어는
사용불가.
그 아래 FDF의
3~6코어만
사용 가능</t>
    <phoneticPr fontId="1" type="noConversion"/>
  </si>
  <si>
    <t>전력관리처</t>
  </si>
  <si>
    <t>강원D/D
#1</t>
    <phoneticPr fontId="1" type="noConversion"/>
  </si>
  <si>
    <t>강원D/D
#1</t>
    <phoneticPr fontId="1" type="noConversion"/>
  </si>
  <si>
    <t>154kV 춘천-북춘천 T/L
154kV 춘천분기T/L</t>
    <phoneticPr fontId="1" type="noConversion"/>
  </si>
  <si>
    <t>154kV 춘천분기T/L
154kV 춘천-남춘천T/L
154kV 소양T/L</t>
    <phoneticPr fontId="1" type="noConversion"/>
  </si>
  <si>
    <t>154kV 춘천분기T/L
154kV 춘천-북춘천T/L</t>
    <phoneticPr fontId="1" type="noConversion"/>
  </si>
  <si>
    <t>춘천H/P
#1</t>
    <phoneticPr fontId="1" type="noConversion"/>
  </si>
  <si>
    <t>춘천H/P
#2</t>
    <phoneticPr fontId="1" type="noConversion"/>
  </si>
  <si>
    <t>154kV 홍천-남춘천T/L
154kV 남춘천분기T/L</t>
    <phoneticPr fontId="1" type="noConversion"/>
  </si>
  <si>
    <t>154kV 남춘천-열병합T/L
154kV 남춘천분기 T/L</t>
    <phoneticPr fontId="1" type="noConversion"/>
  </si>
  <si>
    <t>154kV 서홍천분기T/L
154kV 청평양수#3,4 T/L
154kV 서홍천-열병합T/L</t>
    <phoneticPr fontId="1" type="noConversion"/>
  </si>
  <si>
    <t>154kV 청평양수#3,4 T/L
154kV 서홍천-열병합 T/L</t>
    <phoneticPr fontId="1" type="noConversion"/>
  </si>
  <si>
    <t xml:space="preserve">35.231 /
</t>
    <phoneticPr fontId="1" type="noConversion"/>
  </si>
  <si>
    <t xml:space="preserve">154kV 화천수력T/L
</t>
    <phoneticPr fontId="1" type="noConversion"/>
  </si>
  <si>
    <t>154kV 양구-화천H/P T/L</t>
    <phoneticPr fontId="1" type="noConversion"/>
  </si>
  <si>
    <t>154kV 춘천수력T/L</t>
    <phoneticPr fontId="1" type="noConversion"/>
  </si>
  <si>
    <t>154kV 북춘천화천HP T/L</t>
    <phoneticPr fontId="1" type="noConversion"/>
  </si>
  <si>
    <t>154kV 춘천수력T/L
154kV 북춘천화천HP T/L</t>
    <phoneticPr fontId="1" type="noConversion"/>
  </si>
  <si>
    <t>154kV 운천-철원T/L</t>
    <phoneticPr fontId="1" type="noConversion"/>
  </si>
  <si>
    <t>16.94 /</t>
    <phoneticPr fontId="1" type="noConversion"/>
  </si>
  <si>
    <t>154kV 소양T/L</t>
    <phoneticPr fontId="1" type="noConversion"/>
  </si>
  <si>
    <t>154kV 춘천소양강HP T/L</t>
    <phoneticPr fontId="1" type="noConversion"/>
  </si>
  <si>
    <t>31.92 /</t>
    <phoneticPr fontId="1" type="noConversion"/>
  </si>
  <si>
    <t>7.93 /</t>
    <phoneticPr fontId="1" type="noConversion"/>
  </si>
  <si>
    <t>차세대KepCIT 강원#2링(본부-홍천D/O)</t>
    <phoneticPr fontId="1" type="noConversion"/>
  </si>
  <si>
    <t>2.5G 강원#2링 (인제B/O-양구B/O) Tx</t>
  </si>
  <si>
    <t>2.5G 강원#2링(양구B/O-홍천B/O) Rx</t>
  </si>
  <si>
    <t>기타</t>
    <phoneticPr fontId="1" type="noConversion"/>
  </si>
  <si>
    <t>신춘천S/S CATV 패치</t>
    <phoneticPr fontId="1" type="noConversion"/>
  </si>
  <si>
    <t>기타</t>
    <phoneticPr fontId="1" type="noConversion"/>
  </si>
  <si>
    <t>신춘천 직할급전분소 CATV 패치</t>
    <phoneticPr fontId="1" type="noConversion"/>
  </si>
  <si>
    <t>신춘천-구춘천 통합PTP #1 EAST</t>
    <phoneticPr fontId="1" type="noConversion"/>
  </si>
  <si>
    <t>신춘천-구춘천 통합PTP #1 WEST</t>
    <phoneticPr fontId="1" type="noConversion"/>
  </si>
  <si>
    <t>신춘천-구춘천 통합PTP #2 EAST</t>
    <phoneticPr fontId="1" type="noConversion"/>
  </si>
  <si>
    <t>신춘천-구춘천 통합PTP #2 WEST</t>
    <phoneticPr fontId="1" type="noConversion"/>
  </si>
  <si>
    <t>춘천-남춘천 PTP EAST (1Core)</t>
    <phoneticPr fontId="1" type="noConversion"/>
  </si>
  <si>
    <t>춘천-남춘천 PTP WEST (1Core)</t>
    <phoneticPr fontId="1" type="noConversion"/>
  </si>
  <si>
    <t>본부-춘천 통합PTP #1 EAST (1Core)</t>
    <phoneticPr fontId="1" type="noConversion"/>
  </si>
  <si>
    <t>본부-춘천 통합PTP #1 WEST (1Core)</t>
    <phoneticPr fontId="1" type="noConversion"/>
  </si>
  <si>
    <t>본부-춘천 통합PTP #2 EAST (1Core)</t>
    <phoneticPr fontId="1" type="noConversion"/>
  </si>
  <si>
    <t>본부-춘천 통합PTP #2 WEST (1Core)</t>
    <phoneticPr fontId="1" type="noConversion"/>
  </si>
  <si>
    <t>PTP(춘천-북춘천) EAST</t>
    <phoneticPr fontId="1" type="noConversion"/>
  </si>
  <si>
    <t>PTP(춘천-북춘천) WEST</t>
    <phoneticPr fontId="1" type="noConversion"/>
  </si>
  <si>
    <t>통합PTP 북춘천-춘천H/P WEST Rx㈜</t>
    <phoneticPr fontId="1" type="noConversion"/>
  </si>
  <si>
    <t>통합PTP 북춘천-춘천H/P WEST Tx㈜</t>
    <phoneticPr fontId="1" type="noConversion"/>
  </si>
  <si>
    <t>통합PTP 북춘천-춘천H/P EAST Tx(예)</t>
    <phoneticPr fontId="1" type="noConversion"/>
  </si>
  <si>
    <t>통합PTP 북춘천-춘천H/P EAST Rx(예)</t>
    <phoneticPr fontId="1" type="noConversion"/>
  </si>
  <si>
    <t>RTU 예비회선용 광스위치(본부향)</t>
    <phoneticPr fontId="1" type="noConversion"/>
  </si>
  <si>
    <t>RTU 예비회선용 광스위치(신춘천향)</t>
    <phoneticPr fontId="1" type="noConversion"/>
  </si>
  <si>
    <t>RTU 예비회선용 광스위치(북춘천향 13번/구춘천 중계)</t>
    <phoneticPr fontId="1" type="noConversion"/>
  </si>
  <si>
    <t>SCADA</t>
    <phoneticPr fontId="1" type="noConversion"/>
  </si>
  <si>
    <t>RTU 예비회선용 광스위치 북춘천-철원(화천수력-화천 중계)</t>
    <phoneticPr fontId="1" type="noConversion"/>
  </si>
  <si>
    <t>RTU 예비회선용 광스위치 화천-양구(화천수력 중계)</t>
    <phoneticPr fontId="1" type="noConversion"/>
  </si>
  <si>
    <t>통합PTP 철원S/S-화천S/S WEST</t>
    <phoneticPr fontId="1" type="noConversion"/>
  </si>
  <si>
    <t>통합PTP 철원S/S-화천S/S EAST</t>
    <phoneticPr fontId="1" type="noConversion"/>
  </si>
  <si>
    <t>통합PTP 홍천S/S-남춘천 EAST</t>
    <phoneticPr fontId="1" type="noConversion"/>
  </si>
  <si>
    <t>통합PTP 홍천S/S-남춘천 WEST</t>
    <phoneticPr fontId="1" type="noConversion"/>
  </si>
  <si>
    <t>SCADA</t>
    <phoneticPr fontId="1" type="noConversion"/>
  </si>
  <si>
    <t>RTU 광스위치 인제-양구</t>
    <phoneticPr fontId="1" type="noConversion"/>
  </si>
  <si>
    <t>RTU 광스위치 인제-상남</t>
    <phoneticPr fontId="1" type="noConversion"/>
  </si>
  <si>
    <t>측정거리(km)</t>
    <phoneticPr fontId="1" type="noConversion"/>
  </si>
  <si>
    <t>154kV 북춘천-
화천HPT/L</t>
    <phoneticPr fontId="1" type="noConversion"/>
  </si>
  <si>
    <t>빙설해카메라 양구T/L No.35</t>
    <phoneticPr fontId="1" type="noConversion"/>
  </si>
  <si>
    <t>154kV 인제양구1,2T/L</t>
    <phoneticPr fontId="1" type="noConversion"/>
  </si>
  <si>
    <t>154kV 인제양구T/L
154kV 상제T/L</t>
    <phoneticPr fontId="1" type="noConversion"/>
  </si>
  <si>
    <t>RTU 예비회선용 광스위치 화천-철원</t>
    <phoneticPr fontId="1" type="noConversion"/>
  </si>
  <si>
    <t>RTU 예비회선용 광스위치 북춘천-철원(춘천수력-화천수력 중계)</t>
    <phoneticPr fontId="1" type="noConversion"/>
  </si>
  <si>
    <t>단선</t>
    <phoneticPr fontId="1" type="noConversion"/>
  </si>
  <si>
    <t>RTU 예비회선용 광스위치 서홍천-열병합</t>
    <phoneticPr fontId="1" type="noConversion"/>
  </si>
  <si>
    <t>RTU 예비회선용 광스위치 본부-서홍천(남춘천-열병합 중계)</t>
    <phoneticPr fontId="1" type="noConversion"/>
  </si>
  <si>
    <t>서홍천 변전소</t>
    <phoneticPr fontId="1" type="noConversion"/>
  </si>
  <si>
    <t>RTU 예비회선용 광스위치 열병합-남춘천</t>
    <phoneticPr fontId="1" type="noConversion"/>
  </si>
  <si>
    <t>북춘천 변전소</t>
    <phoneticPr fontId="1" type="noConversion"/>
  </si>
  <si>
    <t>남춘천 변전소</t>
    <phoneticPr fontId="1" type="noConversion"/>
  </si>
  <si>
    <t>RTU 예비회선용 광스위치 남춘천-홍천</t>
    <phoneticPr fontId="1" type="noConversion"/>
  </si>
  <si>
    <t>단선(융착) / 춘천계1,2-춘천HP계 11,12</t>
    <phoneticPr fontId="1" type="noConversion"/>
  </si>
  <si>
    <t>(구) KEPCIT 10G</t>
    <phoneticPr fontId="1" type="noConversion"/>
  </si>
  <si>
    <t>단선(융착) / 춘천계7,8-춘천HP계 23,24</t>
    <phoneticPr fontId="1" type="noConversion"/>
  </si>
  <si>
    <t>(구) KEPCIT 2.5G</t>
    <phoneticPr fontId="1" type="noConversion"/>
  </si>
  <si>
    <t>2024.11.21</t>
    <phoneticPr fontId="1" type="noConversion"/>
  </si>
  <si>
    <t>측정현황 (미실시) / 선번확인자 최준영</t>
    <phoneticPr fontId="1" type="noConversion"/>
  </si>
  <si>
    <t>비금속광케이블</t>
    <phoneticPr fontId="1" type="noConversion"/>
  </si>
  <si>
    <t>신태백 정보보안 이더넷용 스위치</t>
    <phoneticPr fontId="1" type="noConversion"/>
  </si>
  <si>
    <t>본부-춘천 PTP EAST (1Core)</t>
    <phoneticPr fontId="1" type="noConversion"/>
  </si>
  <si>
    <t>SCADA</t>
    <phoneticPr fontId="1" type="noConversion"/>
  </si>
  <si>
    <t>남춘천 SA 화면공유</t>
    <phoneticPr fontId="1" type="noConversion"/>
  </si>
  <si>
    <t>직할급전분소 직결콘솔용</t>
    <phoneticPr fontId="1" type="noConversion"/>
  </si>
  <si>
    <t>FA_감시정보망 임시</t>
    <phoneticPr fontId="1" type="noConversion"/>
  </si>
  <si>
    <t>광컨버터_ 신춘천-계통운영센터 직결 콘솔용</t>
    <phoneticPr fontId="1" type="noConversion"/>
  </si>
  <si>
    <t>급전분소 L3 S/W #1</t>
    <phoneticPr fontId="1" type="noConversion"/>
  </si>
  <si>
    <t>급전분소 L3 S/W #2</t>
    <phoneticPr fontId="1" type="noConversion"/>
  </si>
  <si>
    <t>출입통제망</t>
    <phoneticPr fontId="1" type="noConversion"/>
  </si>
  <si>
    <t>본부 4층 ICT실</t>
    <phoneticPr fontId="1" type="noConversion"/>
  </si>
  <si>
    <t>비금속광케이블</t>
    <phoneticPr fontId="1" type="noConversion"/>
  </si>
  <si>
    <t>SCADA</t>
    <phoneticPr fontId="1" type="noConversion"/>
  </si>
  <si>
    <t>남춘천 SA 화면공유</t>
    <phoneticPr fontId="1" type="noConversion"/>
  </si>
  <si>
    <t>구춘천
#3</t>
    <phoneticPr fontId="1" type="noConversion"/>
  </si>
  <si>
    <t>구춘천
#4</t>
    <phoneticPr fontId="1" type="noConversion"/>
  </si>
  <si>
    <t>측정현황 (2024-10-08) / 측정자 박근호</t>
    <phoneticPr fontId="1" type="noConversion"/>
  </si>
  <si>
    <t>측정현황 (2024-10-11) / 측정자 박근호</t>
    <phoneticPr fontId="1" type="noConversion"/>
  </si>
  <si>
    <t>점 검 일</t>
    <phoneticPr fontId="9" type="noConversion"/>
  </si>
  <si>
    <t>1.3㎛</t>
    <phoneticPr fontId="9" type="noConversion"/>
  </si>
  <si>
    <t>1.5㎛</t>
    <phoneticPr fontId="9" type="noConversion"/>
  </si>
  <si>
    <t>7 / 0 / 0</t>
    <phoneticPr fontId="9" type="noConversion"/>
  </si>
  <si>
    <t>3 / 0 / 0</t>
    <phoneticPr fontId="9" type="noConversion"/>
  </si>
  <si>
    <t>11 / 0 / 0</t>
    <phoneticPr fontId="9" type="noConversion"/>
  </si>
  <si>
    <t>합   계</t>
    <phoneticPr fontId="9" type="noConversion"/>
  </si>
  <si>
    <t xml:space="preserve"> </t>
    <phoneticPr fontId="9" type="noConversion"/>
  </si>
  <si>
    <t>OPGW 선로손실표 (기준파장: 1.31㎛)</t>
    <phoneticPr fontId="9" type="noConversion"/>
  </si>
  <si>
    <t>T/L 명</t>
    <phoneticPr fontId="9" type="noConversion"/>
  </si>
  <si>
    <t>구 간</t>
    <phoneticPr fontId="9" type="noConversion"/>
  </si>
  <si>
    <t>기준
(㏈/㎞)</t>
    <phoneticPr fontId="9" type="noConversion"/>
  </si>
  <si>
    <t>접속손실
(dB/개소)</t>
    <phoneticPr fontId="9" type="noConversion"/>
  </si>
  <si>
    <t>콘넥타손실
(dB/개)</t>
    <phoneticPr fontId="9" type="noConversion"/>
  </si>
  <si>
    <t>거리(km)</t>
    <phoneticPr fontId="9" type="noConversion"/>
  </si>
  <si>
    <t>접속개소수</t>
    <phoneticPr fontId="9" type="noConversion"/>
  </si>
  <si>
    <t>콘넥타수</t>
    <phoneticPr fontId="9" type="noConversion"/>
  </si>
  <si>
    <t>선로손실
(dB)</t>
    <phoneticPr fontId="9" type="noConversion"/>
  </si>
  <si>
    <t>접속손실
(dB)</t>
    <phoneticPr fontId="9" type="noConversion"/>
  </si>
  <si>
    <t>콘넥타손실
(dB)</t>
    <phoneticPr fontId="9" type="noConversion"/>
  </si>
  <si>
    <t>총손실(dB)</t>
    <phoneticPr fontId="9" type="noConversion"/>
  </si>
  <si>
    <t>OPGW 선로손실표 (기준파장: 1.55㎛)</t>
    <phoneticPr fontId="9" type="noConversion"/>
  </si>
  <si>
    <t>강원본부 직할 OPGW 광코어 점검 종합표</t>
    <phoneticPr fontId="9" type="noConversion"/>
  </si>
  <si>
    <t>총코어수</t>
    <phoneticPr fontId="9" type="noConversion"/>
  </si>
  <si>
    <t>사용코어</t>
    <phoneticPr fontId="9" type="noConversion"/>
  </si>
  <si>
    <t>미사용코어</t>
    <phoneticPr fontId="9" type="noConversion"/>
  </si>
  <si>
    <t xml:space="preserve">                   강원본부 직할 관내</t>
    <phoneticPr fontId="9" type="noConversion"/>
  </si>
  <si>
    <t>154KV 화천T/L</t>
    <phoneticPr fontId="9" type="noConversion"/>
  </si>
  <si>
    <t>화천H/P ∼ 춘천H/P</t>
    <phoneticPr fontId="9" type="noConversion"/>
  </si>
  <si>
    <t>154kV 남춘천분기T/L</t>
    <phoneticPr fontId="9" type="noConversion"/>
  </si>
  <si>
    <t>남춘천S/S ∼ 홍천S/S</t>
    <phoneticPr fontId="9" type="noConversion"/>
  </si>
  <si>
    <t>남춘천S/S~남춘천열병합#14~남춘천분기T/L~홍천소양강#74~홍천S/S</t>
    <phoneticPr fontId="9" type="noConversion"/>
  </si>
  <si>
    <t>154kV 상제T/L</t>
    <phoneticPr fontId="9" type="noConversion"/>
  </si>
  <si>
    <t>상남S/S ~ 인제S/S</t>
    <phoneticPr fontId="9" type="noConversion"/>
  </si>
  <si>
    <t>154kV 서홍천분기T/L</t>
    <phoneticPr fontId="9" type="noConversion"/>
  </si>
  <si>
    <t>서홍천S/S ~ 청평P/P</t>
    <phoneticPr fontId="9" type="noConversion"/>
  </si>
  <si>
    <t>서홍천S/S~서홍천분기T/L~신가평포천LNGCC#26~청평PP열병합#19~청평P/P</t>
    <phoneticPr fontId="1" type="noConversion"/>
  </si>
  <si>
    <t>154kV 청평양수#3,4T/L</t>
    <phoneticPr fontId="9" type="noConversion"/>
  </si>
  <si>
    <t>춘천열병합 ~ 청평P/P</t>
    <phoneticPr fontId="9" type="noConversion"/>
  </si>
  <si>
    <t>경  로</t>
    <phoneticPr fontId="9" type="noConversion"/>
  </si>
  <si>
    <t>상남S/S~인제S/S</t>
    <phoneticPr fontId="1" type="noConversion"/>
  </si>
  <si>
    <t>춘천열병합~청평P/P</t>
    <phoneticPr fontId="1" type="noConversion"/>
  </si>
  <si>
    <t>서홍천S/S~서홍천분기T/L~신가평포천LNGCC#26~청평PP열병합#19~춘천열병합</t>
    <phoneticPr fontId="1" type="noConversion"/>
  </si>
  <si>
    <t>154kV 소양T/L</t>
    <phoneticPr fontId="9" type="noConversion"/>
  </si>
  <si>
    <t>소양강H/P ~ 홍천S/S</t>
    <phoneticPr fontId="9" type="noConversion"/>
  </si>
  <si>
    <t>소양강H/P~홍천S/S</t>
    <phoneticPr fontId="1" type="noConversion"/>
  </si>
  <si>
    <t>154KV 신양양-인제T/L</t>
    <phoneticPr fontId="9" type="noConversion"/>
  </si>
  <si>
    <t>신양양S/S ∼ 인제S/S</t>
    <phoneticPr fontId="9" type="noConversion"/>
  </si>
  <si>
    <t>신양양S/S~신양양분기T/L~양양양수#5~신양양인제T/L~인제S/S</t>
    <phoneticPr fontId="1" type="noConversion"/>
  </si>
  <si>
    <t>154KV 양구T/L</t>
    <phoneticPr fontId="9" type="noConversion"/>
  </si>
  <si>
    <t>양구S/S ~ 인제S/S</t>
    <phoneticPr fontId="9" type="noConversion"/>
  </si>
  <si>
    <t>양구S/S~양구T/L~상제#125~인제S/S</t>
    <phoneticPr fontId="9" type="noConversion"/>
  </si>
  <si>
    <t>154KV 인성T/L</t>
    <phoneticPr fontId="9" type="noConversion"/>
  </si>
  <si>
    <t>인제S/S ∼ 간성S/S</t>
    <phoneticPr fontId="9" type="noConversion"/>
  </si>
  <si>
    <t>인제S/S~간성S/S</t>
    <phoneticPr fontId="9" type="noConversion"/>
  </si>
  <si>
    <t>154KV 철원-화천T/L</t>
    <phoneticPr fontId="9" type="noConversion"/>
  </si>
  <si>
    <t>철원S/S ∼ 화천S/S</t>
    <phoneticPr fontId="9" type="noConversion"/>
  </si>
  <si>
    <t>철원S/S~철원화천#100~화천수력#45~화천S/S</t>
    <phoneticPr fontId="9" type="noConversion"/>
  </si>
  <si>
    <t>154KV 춘천-북춘천T/L</t>
    <phoneticPr fontId="9" type="noConversion"/>
  </si>
  <si>
    <t>춘천S/S ∼ 북춘천S/S</t>
    <phoneticPr fontId="9" type="noConversion"/>
  </si>
  <si>
    <t>154KV 춘천분기T/L</t>
    <phoneticPr fontId="9" type="noConversion"/>
  </si>
  <si>
    <t>춘천S/S ~ 소양H/P</t>
    <phoneticPr fontId="9" type="noConversion"/>
  </si>
  <si>
    <t>춘천S/S~춘천분기#11~춘천북춘천T/L~북춘천S/S</t>
    <phoneticPr fontId="9" type="noConversion"/>
  </si>
  <si>
    <t>춘천S/S~춘천분기#15~소양#23~소양강H/P</t>
    <phoneticPr fontId="9" type="noConversion"/>
  </si>
  <si>
    <t>154KV 춘천수력T/L</t>
    <phoneticPr fontId="9" type="noConversion"/>
  </si>
  <si>
    <t>북춘천S/S ∼ 춘천H/P</t>
    <phoneticPr fontId="9" type="noConversion"/>
  </si>
  <si>
    <t>북춘천S/S~춘천수력T/L~춘천H/P</t>
    <phoneticPr fontId="9" type="noConversion"/>
  </si>
  <si>
    <t>154KV 한강분기T/L</t>
    <phoneticPr fontId="9" type="noConversion"/>
  </si>
  <si>
    <t>춘천H/P~한강분기T/L~가평화천HP#53~가평S/S</t>
    <phoneticPr fontId="9" type="noConversion"/>
  </si>
  <si>
    <t>화천H/P~가평화천HP#53~한강분기T/L~춘천H/P</t>
    <phoneticPr fontId="1" type="noConversion"/>
  </si>
  <si>
    <t>154kV 화천수력T/L</t>
    <phoneticPr fontId="9" type="noConversion"/>
  </si>
  <si>
    <t>화천S/S ∼ 화천H/P</t>
    <phoneticPr fontId="9" type="noConversion"/>
  </si>
  <si>
    <t>화천S/S~화천H/P</t>
    <phoneticPr fontId="1" type="noConversion"/>
  </si>
  <si>
    <t>154kV 남춘천-열병합T/L</t>
    <phoneticPr fontId="9" type="noConversion"/>
  </si>
  <si>
    <t>서홍천S/S ~ 열병합S/S</t>
    <phoneticPr fontId="9" type="noConversion"/>
  </si>
  <si>
    <t>남춘천S/S ~ 열병합S/S</t>
    <phoneticPr fontId="9" type="noConversion"/>
  </si>
  <si>
    <t>남춘천S/S~남춘천열병합T/L~청평PP열병합#71~열병합S/S</t>
    <phoneticPr fontId="1" type="noConversion"/>
  </si>
  <si>
    <t>154kV 양구-화천HP T/L</t>
    <phoneticPr fontId="9" type="noConversion"/>
  </si>
  <si>
    <t>양구S/S ~ 화천H/P</t>
    <phoneticPr fontId="9" type="noConversion"/>
  </si>
  <si>
    <t>양구S/S~화천H/P</t>
    <phoneticPr fontId="1" type="noConversion"/>
  </si>
  <si>
    <t>부적합</t>
    <phoneticPr fontId="1" type="noConversion"/>
  </si>
  <si>
    <t>적 합</t>
    <phoneticPr fontId="1" type="noConversion"/>
  </si>
  <si>
    <r>
      <t xml:space="preserve">결 과
</t>
    </r>
    <r>
      <rPr>
        <b/>
        <sz val="10"/>
        <color theme="1"/>
        <rFont val="맑은 고딕"/>
        <family val="3"/>
        <charset val="129"/>
        <scheme val="minor"/>
      </rPr>
      <t>[표준손실 기준]</t>
    </r>
    <phoneticPr fontId="1" type="noConversion"/>
  </si>
  <si>
    <t>점검결과
(적합/부적합/측정불가)</t>
    <phoneticPr fontId="9" type="noConversion"/>
  </si>
  <si>
    <t>기준손실
(dB)</t>
    <phoneticPr fontId="9" type="noConversion"/>
  </si>
  <si>
    <t>평균접속손실
(dB)</t>
    <phoneticPr fontId="9" type="noConversion"/>
  </si>
  <si>
    <t>상남 측 광점퍼코드 연장</t>
    <phoneticPr fontId="1" type="noConversion"/>
  </si>
  <si>
    <t>2 / 8 / 0</t>
    <phoneticPr fontId="9" type="noConversion"/>
  </si>
  <si>
    <t>10 / 0 / 0</t>
    <phoneticPr fontId="9" type="noConversion"/>
  </si>
  <si>
    <t>10 / 0 / 2</t>
    <phoneticPr fontId="9" type="noConversion"/>
  </si>
  <si>
    <t>미측정</t>
    <phoneticPr fontId="1" type="noConversion"/>
  </si>
  <si>
    <t>0 / 0 / 0</t>
    <phoneticPr fontId="9" type="noConversion"/>
  </si>
  <si>
    <t>표준손실(dB)</t>
    <phoneticPr fontId="1" type="noConversion"/>
  </si>
  <si>
    <t>인제 변전소</t>
    <phoneticPr fontId="1" type="noConversion"/>
  </si>
  <si>
    <t>미측정</t>
    <phoneticPr fontId="1" type="noConversion"/>
  </si>
  <si>
    <t>적 합</t>
    <phoneticPr fontId="1" type="noConversion"/>
  </si>
  <si>
    <t>6 / 0 / 0</t>
    <phoneticPr fontId="1" type="noConversion"/>
  </si>
  <si>
    <t>8 / 0 / 0</t>
    <phoneticPr fontId="1" type="noConversion"/>
  </si>
  <si>
    <t>7 / 1/ 0</t>
    <phoneticPr fontId="1" type="noConversion"/>
  </si>
  <si>
    <t>춘천S/S ~ 홍천S/S</t>
    <phoneticPr fontId="9" type="noConversion"/>
  </si>
  <si>
    <t>춘천S/S~춘천분기#15~소양#23~홍천S/S</t>
    <phoneticPr fontId="9" type="noConversion"/>
  </si>
  <si>
    <t>화천 변전소</t>
    <phoneticPr fontId="1" type="noConversion"/>
  </si>
  <si>
    <t>측정불가(연장)</t>
    <phoneticPr fontId="1" type="noConversion"/>
  </si>
  <si>
    <t>측정불가</t>
    <phoneticPr fontId="1" type="noConversion"/>
  </si>
  <si>
    <t>9 / 0 / 0</t>
    <phoneticPr fontId="1" type="noConversion"/>
  </si>
  <si>
    <t>15 / 0 / 0</t>
    <phoneticPr fontId="1" type="noConversion"/>
  </si>
  <si>
    <t>양구 변전소</t>
    <phoneticPr fontId="1" type="noConversion"/>
  </si>
  <si>
    <t>12 / 0 / 0</t>
    <phoneticPr fontId="1" type="noConversion"/>
  </si>
  <si>
    <t>측정불가(간성 연장)</t>
    <phoneticPr fontId="1" type="noConversion"/>
  </si>
  <si>
    <t>단선</t>
    <phoneticPr fontId="1" type="noConversion"/>
  </si>
  <si>
    <t>25 / 0 / 5</t>
    <phoneticPr fontId="1" type="noConversion"/>
  </si>
  <si>
    <t>철원 변전소</t>
    <phoneticPr fontId="1" type="noConversion"/>
  </si>
  <si>
    <t>단선(융착) / 북춘천변전소 OFD 내 융착으로 인한 단선 / (구)kepcit 10G</t>
    <phoneticPr fontId="1" type="noConversion"/>
  </si>
  <si>
    <t>단선(융착) / 북춘천변전소 OFD 내 융착으로 인한 단선 / (구)kepcit 2.5G</t>
    <phoneticPr fontId="1" type="noConversion"/>
  </si>
  <si>
    <t>적 합</t>
    <phoneticPr fontId="1" type="noConversion"/>
  </si>
  <si>
    <t>5 / 0 / 4</t>
    <phoneticPr fontId="9" type="noConversion"/>
  </si>
  <si>
    <t>춘천H/P ∼ 가평S/S</t>
    <phoneticPr fontId="9" type="noConversion"/>
  </si>
  <si>
    <t>측정현황 (2024-11-27) / 측정자 최준영</t>
    <phoneticPr fontId="1" type="noConversion"/>
  </si>
  <si>
    <t>적 합</t>
    <phoneticPr fontId="1" type="noConversion"/>
  </si>
  <si>
    <t>6 / 0 / 0</t>
    <phoneticPr fontId="9" type="noConversion"/>
  </si>
  <si>
    <t>17 / 0 / 4</t>
    <phoneticPr fontId="9" type="noConversion"/>
  </si>
  <si>
    <t>15 / 0 / 0</t>
    <phoneticPr fontId="9" type="noConversion"/>
  </si>
  <si>
    <t>비 고</t>
    <phoneticPr fontId="1" type="noConversion"/>
  </si>
  <si>
    <t>양구S/S ~ 상남S/S</t>
    <phoneticPr fontId="9" type="noConversion"/>
  </si>
  <si>
    <t>양구S/S~양구T/L~상제#125~상남S/S</t>
    <phoneticPr fontId="9" type="noConversion"/>
  </si>
  <si>
    <t>154KV 운천-철원T/L</t>
    <phoneticPr fontId="9" type="noConversion"/>
  </si>
  <si>
    <t>운천S/S ∼ 철원S/S</t>
    <phoneticPr fontId="9" type="noConversion"/>
  </si>
  <si>
    <t>운천S/S~철원S/S</t>
    <phoneticPr fontId="9" type="noConversion"/>
  </si>
  <si>
    <t>14 / 0 / 0</t>
    <phoneticPr fontId="1" type="noConversion"/>
  </si>
  <si>
    <t>측정불가(운천 연장)</t>
    <phoneticPr fontId="1" type="noConversion"/>
  </si>
  <si>
    <t>4 / 1 / 4</t>
    <phoneticPr fontId="1" type="noConversion"/>
  </si>
  <si>
    <t>T/L   명</t>
    <phoneticPr fontId="9" type="noConversion"/>
  </si>
  <si>
    <t>구        간</t>
    <phoneticPr fontId="9" type="noConversion"/>
  </si>
  <si>
    <t>3 / 4 / 1</t>
    <phoneticPr fontId="9" type="noConversion"/>
  </si>
  <si>
    <t>7 / 0 / 1</t>
    <phoneticPr fontId="9" type="noConversion"/>
  </si>
  <si>
    <t>185 / 0 / 20</t>
    <phoneticPr fontId="9" type="noConversion"/>
  </si>
  <si>
    <t>171 / 14 / 20</t>
    <phoneticPr fontId="9" type="noConversion"/>
  </si>
  <si>
    <t>154kV 남춘천-소양T/L</t>
    <phoneticPr fontId="9" type="noConversion"/>
  </si>
  <si>
    <t>송광치 가평연계링 가평-화천H/P 패치 가평EAST 패치(Tx)</t>
    <phoneticPr fontId="1" type="noConversion"/>
  </si>
  <si>
    <t>송광치 가평연계링 가평-화천H/P 패치 가평EAST 패치(Rx)</t>
    <phoneticPr fontId="1" type="noConversion"/>
  </si>
  <si>
    <t>구KepCIt(철거X)</t>
    <phoneticPr fontId="1" type="noConversion"/>
  </si>
  <si>
    <t>2025.12.30</t>
    <phoneticPr fontId="1" type="noConversion"/>
  </si>
  <si>
    <t>(라벨링필요)</t>
    <phoneticPr fontId="1" type="noConversion"/>
  </si>
  <si>
    <t>송광치 가평연계링 춘천H/P-화천H/P EAST(Tx)</t>
    <phoneticPr fontId="1" type="noConversion"/>
  </si>
  <si>
    <t>송광치 가평연계링 춘천H/P-화천H/P EAST(Rx)</t>
    <phoneticPr fontId="1" type="noConversion"/>
  </si>
  <si>
    <t>차세대KepCIT 강원#1링(화천B/O-본부) 패치</t>
    <phoneticPr fontId="1" type="noConversion"/>
  </si>
  <si>
    <t>통합PTP 화천S/S-화천H/P WEST Tx</t>
    <phoneticPr fontId="1" type="noConversion"/>
  </si>
  <si>
    <t>통합PTP 화천S/S-화천H/P WEST Rx</t>
    <phoneticPr fontId="1" type="noConversion"/>
  </si>
  <si>
    <t>통합PTP 철원S/S-화천S/S EAST Tx</t>
    <phoneticPr fontId="1" type="noConversion"/>
  </si>
  <si>
    <t>통합PTP 철원S/S-화천S/S EAST Rx</t>
    <phoneticPr fontId="1" type="noConversion"/>
  </si>
  <si>
    <t>통합PTP 화천S/S-화천H/P EAST (Rx)</t>
    <phoneticPr fontId="1" type="noConversion"/>
  </si>
  <si>
    <t>통합PTP 화천S/S-화천H/P EAST (Tx)</t>
    <phoneticPr fontId="1" type="noConversion"/>
  </si>
  <si>
    <t>송광치 직할#1링 화천H/P-양구 WEST(Tx)</t>
    <phoneticPr fontId="1" type="noConversion"/>
  </si>
  <si>
    <t>라벨링필요</t>
    <phoneticPr fontId="1" type="noConversion"/>
  </si>
  <si>
    <t>남춘천SA 시험용</t>
    <phoneticPr fontId="1" type="noConversion"/>
  </si>
  <si>
    <t>RTU 광스위치 본부 서홍천 중계</t>
    <phoneticPr fontId="1" type="noConversion"/>
  </si>
  <si>
    <t>RTU 광스위치 본부-서홍천 중계</t>
    <phoneticPr fontId="1" type="noConversion"/>
  </si>
  <si>
    <t>2025.12.30</t>
    <phoneticPr fontId="1" type="noConversion"/>
  </si>
  <si>
    <t>송변전광단말 #2링 WEST(Tx)</t>
    <phoneticPr fontId="1" type="noConversion"/>
  </si>
  <si>
    <t>송변전광단말 #2링 WEST(Rx)</t>
    <phoneticPr fontId="1" type="noConversion"/>
  </si>
  <si>
    <t>송광치 PTPU 서홍천-열병합 EAST</t>
    <phoneticPr fontId="1" type="noConversion"/>
  </si>
  <si>
    <t>송광치 PTPU 서홍천-열병합 WEST</t>
    <phoneticPr fontId="1" type="noConversion"/>
  </si>
  <si>
    <t>송광치 직할#1링 화천H/P-양구 EAST(Tx)</t>
    <phoneticPr fontId="1" type="noConversion"/>
  </si>
  <si>
    <t>송광치 직할#1링 화천H/P-양구 EAST(Rx)</t>
    <phoneticPr fontId="1" type="noConversion"/>
  </si>
  <si>
    <t>화천계 PTPU WEST(Tx)</t>
    <phoneticPr fontId="1" type="noConversion"/>
  </si>
  <si>
    <t>화천계 PTPU EAST(Tx)</t>
    <phoneticPr fontId="1" type="noConversion"/>
  </si>
  <si>
    <t>송광치1링(신춘천-북춘천 패치) EAST Tx</t>
    <phoneticPr fontId="1" type="noConversion"/>
  </si>
  <si>
    <t>송광치1링(신춘천-북춘천 패치) EAST Rx</t>
    <phoneticPr fontId="1" type="noConversion"/>
  </si>
  <si>
    <t>라벨링 필요</t>
    <phoneticPr fontId="1" type="noConversion"/>
  </si>
  <si>
    <t>송광치#1링 북춘천-춘천HP WEST(Rx)</t>
    <phoneticPr fontId="1" type="noConversion"/>
  </si>
  <si>
    <t xml:space="preserve"> </t>
    <phoneticPr fontId="1" type="noConversion"/>
  </si>
  <si>
    <t>라벨링 다시</t>
    <phoneticPr fontId="1" type="noConversion"/>
  </si>
  <si>
    <t>청평계 PTPU WEST</t>
    <phoneticPr fontId="1" type="noConversion"/>
  </si>
  <si>
    <t>청평계 PTPU EAST</t>
    <phoneticPr fontId="1" type="noConversion"/>
  </si>
  <si>
    <t>송변전광단말 #2링 EAST Rx</t>
    <phoneticPr fontId="1" type="noConversion"/>
  </si>
  <si>
    <t>송변전광단말 #2링 EAST Tx</t>
    <phoneticPr fontId="1" type="noConversion"/>
  </si>
  <si>
    <t>측정현황 (2024-10-17) / 측정자 유상민</t>
  </si>
  <si>
    <t>측정현황 (2024-10-10) / 측정자 유상민</t>
  </si>
  <si>
    <t>측정현황 (2024-10-14) / 측정자 유상민</t>
  </si>
  <si>
    <t>측정현황 (2025-12-30) / 측정자 유상민</t>
  </si>
  <si>
    <t>측정현황 (2025-12-30) / 측정자 박근호</t>
  </si>
  <si>
    <t>측정현황 (2024-09-25) / 측정자 유상민</t>
  </si>
  <si>
    <t>측정현황 (2025-12-30) / 측정자 유상민</t>
    <phoneticPr fontId="1" type="noConversion"/>
  </si>
  <si>
    <t>측정현황 (미실시) / 선번확인자 유상민</t>
    <phoneticPr fontId="1" type="noConversion"/>
  </si>
  <si>
    <t>측정현황 (2024-10-21) / 측정자 박근호</t>
    <phoneticPr fontId="1" type="noConversion"/>
  </si>
  <si>
    <t>기존 빙설해</t>
    <phoneticPr fontId="1" type="noConversion"/>
  </si>
  <si>
    <t>소형광</t>
    <phoneticPr fontId="1" type="noConversion"/>
  </si>
  <si>
    <t xml:space="preserve">송광치 PTPU 춘천-소양(W) </t>
    <phoneticPr fontId="1" type="noConversion"/>
  </si>
  <si>
    <t xml:space="preserve">송광치 PTPU 춘천-소양(E) </t>
    <phoneticPr fontId="1" type="noConversion"/>
  </si>
  <si>
    <t>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</si>
</sst>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#,##0.000_ "/>
    <numFmt numFmtId="178" formatCode="0.00_ "/>
    <numFmt numFmtId="179" formatCode="0.000_);[Red]\(0.000\)"/>
    <numFmt numFmtId="180" formatCode="0_);[Red]\(0\)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color rgb="FFFFFF00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b/>
      <sz val="16"/>
      <name val="돋움체"/>
      <family val="3"/>
      <charset val="129"/>
    </font>
    <font>
      <sz val="13"/>
      <name val="HY중고딕"/>
      <family val="1"/>
      <charset val="129"/>
    </font>
    <font>
      <sz val="12"/>
      <name val="돋움"/>
      <family val="3"/>
      <charset val="129"/>
    </font>
    <font>
      <b/>
      <sz val="13"/>
      <name val="HY중고딕"/>
      <family val="1"/>
      <charset val="129"/>
    </font>
    <font>
      <sz val="11"/>
      <name val="궁서체"/>
      <family val="1"/>
      <charset val="129"/>
    </font>
    <font>
      <b/>
      <sz val="11"/>
      <name val="궁서체"/>
      <family val="1"/>
      <charset val="129"/>
    </font>
    <font>
      <u/>
      <sz val="25"/>
      <name val="HY헤드라인M"/>
      <family val="1"/>
      <charset val="129"/>
    </font>
    <font>
      <sz val="25"/>
      <name val="HY헤드라인M"/>
      <family val="1"/>
      <charset val="129"/>
    </font>
    <font>
      <sz val="11"/>
      <name val="굴림체"/>
      <family val="3"/>
      <charset val="129"/>
    </font>
    <font>
      <sz val="14"/>
      <name val="HY중고딕"/>
      <family val="1"/>
      <charset val="129"/>
    </font>
    <font>
      <u/>
      <sz val="18"/>
      <name val="HY중고딕"/>
      <family val="1"/>
      <charset val="129"/>
    </font>
    <font>
      <sz val="10"/>
      <name val="HY중고딕"/>
      <family val="1"/>
      <charset val="129"/>
    </font>
    <font>
      <sz val="10"/>
      <name val="굴림체"/>
      <family val="3"/>
      <charset val="129"/>
    </font>
    <font>
      <sz val="11"/>
      <name val="HY중고딕"/>
      <family val="1"/>
      <charset val="129"/>
    </font>
    <font>
      <b/>
      <sz val="11"/>
      <name val="HY중고딕"/>
      <family val="1"/>
      <charset val="129"/>
    </font>
    <font>
      <b/>
      <sz val="10"/>
      <color theme="1"/>
      <name val="맑은 고딕"/>
      <family val="3"/>
      <charset val="129"/>
      <scheme val="minor"/>
    </font>
    <font>
      <u/>
      <sz val="28"/>
      <name val="HY헤드라인M"/>
      <family val="1"/>
      <charset val="129"/>
    </font>
    <font>
      <sz val="12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</cellStyleXfs>
  <cellXfs count="4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NumberFormat="1" applyBorder="1" applyAlignment="1">
      <alignment horizontal="right" vertical="center"/>
    </xf>
    <xf numFmtId="0" fontId="0" fillId="0" borderId="10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" xfId="0" applyBorder="1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indent="1"/>
    </xf>
    <xf numFmtId="0" fontId="0" fillId="4" borderId="3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7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" xfId="0" applyNumberForma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inden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NumberForma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indent="1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right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right" vertical="center"/>
    </xf>
    <xf numFmtId="176" fontId="13" fillId="0" borderId="14" xfId="0" applyNumberFormat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1"/>
    </xf>
    <xf numFmtId="176" fontId="12" fillId="4" borderId="6" xfId="0" applyNumberFormat="1" applyFont="1" applyFill="1" applyBorder="1" applyAlignment="1">
      <alignment horizontal="center" vertical="center"/>
    </xf>
    <xf numFmtId="176" fontId="12" fillId="0" borderId="10" xfId="0" applyNumberFormat="1" applyFont="1" applyBorder="1" applyAlignment="1">
      <alignment horizontal="center" vertical="center"/>
    </xf>
    <xf numFmtId="176" fontId="12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left" vertical="center" indent="1"/>
    </xf>
    <xf numFmtId="177" fontId="12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left" vertical="center" indent="1"/>
    </xf>
    <xf numFmtId="177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left" vertical="center" indent="1"/>
    </xf>
    <xf numFmtId="177" fontId="12" fillId="4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indent="1"/>
    </xf>
    <xf numFmtId="177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left" vertical="center" indent="1"/>
    </xf>
    <xf numFmtId="176" fontId="12" fillId="4" borderId="10" xfId="0" applyNumberFormat="1" applyFont="1" applyFill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vertical="center" indent="1"/>
    </xf>
    <xf numFmtId="176" fontId="12" fillId="4" borderId="1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right" vertical="center" shrinkToFit="1"/>
    </xf>
    <xf numFmtId="0" fontId="0" fillId="4" borderId="10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indent="1"/>
    </xf>
    <xf numFmtId="0" fontId="0" fillId="0" borderId="1" xfId="0" applyFill="1" applyBorder="1">
      <alignment vertical="center"/>
    </xf>
    <xf numFmtId="176" fontId="13" fillId="0" borderId="3" xfId="0" applyNumberFormat="1" applyFont="1" applyBorder="1" applyAlignment="1">
      <alignment horizontal="right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176" fontId="13" fillId="4" borderId="3" xfId="0" applyNumberFormat="1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right" vertical="center" shrinkToFit="1"/>
    </xf>
    <xf numFmtId="0" fontId="0" fillId="0" borderId="1" xfId="0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 indent="1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2" applyFont="1">
      <alignment vertical="center"/>
    </xf>
    <xf numFmtId="0" fontId="17" fillId="0" borderId="39" xfId="2" applyFont="1" applyBorder="1" applyAlignment="1">
      <alignment horizontal="center" vertical="center" wrapText="1"/>
    </xf>
    <xf numFmtId="0" fontId="18" fillId="0" borderId="0" xfId="2" applyFont="1">
      <alignment vertical="center"/>
    </xf>
    <xf numFmtId="0" fontId="17" fillId="0" borderId="1" xfId="2" applyFont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/>
    </xf>
    <xf numFmtId="0" fontId="17" fillId="0" borderId="17" xfId="2" applyFont="1" applyFill="1" applyBorder="1" applyAlignment="1">
      <alignment horizontal="center" vertical="center" wrapText="1"/>
    </xf>
    <xf numFmtId="0" fontId="18" fillId="0" borderId="32" xfId="2" applyFont="1" applyBorder="1">
      <alignment vertical="center"/>
    </xf>
    <xf numFmtId="0" fontId="20" fillId="0" borderId="0" xfId="2" applyFont="1">
      <alignment vertical="center"/>
    </xf>
    <xf numFmtId="0" fontId="21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5" fillId="0" borderId="35" xfId="2" quotePrefix="1" applyFont="1" applyBorder="1" applyAlignment="1">
      <alignment horizontal="left"/>
    </xf>
    <xf numFmtId="0" fontId="26" fillId="0" borderId="35" xfId="2" applyFont="1" applyBorder="1" applyAlignment="1">
      <alignment vertical="center"/>
    </xf>
    <xf numFmtId="0" fontId="27" fillId="0" borderId="23" xfId="2" applyFont="1" applyBorder="1" applyAlignment="1">
      <alignment horizontal="center" vertical="center" shrinkToFit="1"/>
    </xf>
    <xf numFmtId="0" fontId="27" fillId="0" borderId="6" xfId="2" applyFont="1" applyBorder="1" applyAlignment="1">
      <alignment horizontal="center" vertical="center" wrapText="1" shrinkToFit="1"/>
    </xf>
    <xf numFmtId="0" fontId="27" fillId="0" borderId="6" xfId="2" applyFont="1" applyBorder="1" applyAlignment="1">
      <alignment horizontal="center" vertical="center" shrinkToFit="1"/>
    </xf>
    <xf numFmtId="0" fontId="27" fillId="0" borderId="7" xfId="2" applyFont="1" applyBorder="1" applyAlignment="1">
      <alignment horizontal="center" vertical="center" shrinkToFit="1"/>
    </xf>
    <xf numFmtId="0" fontId="28" fillId="0" borderId="0" xfId="2" applyFont="1" applyAlignment="1">
      <alignment horizontal="center" vertical="center"/>
    </xf>
    <xf numFmtId="0" fontId="29" fillId="0" borderId="18" xfId="2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/>
    </xf>
    <xf numFmtId="0" fontId="29" fillId="0" borderId="17" xfId="2" applyFont="1" applyFill="1" applyBorder="1" applyAlignment="1">
      <alignment horizontal="center" vertical="center" shrinkToFit="1"/>
    </xf>
    <xf numFmtId="179" fontId="29" fillId="0" borderId="1" xfId="2" applyNumberFormat="1" applyFont="1" applyFill="1" applyBorder="1" applyAlignment="1">
      <alignment horizontal="center" vertical="center" shrinkToFit="1"/>
    </xf>
    <xf numFmtId="0" fontId="20" fillId="0" borderId="0" xfId="2" applyFont="1" applyAlignment="1">
      <alignment vertical="center" shrinkToFit="1"/>
    </xf>
    <xf numFmtId="0" fontId="30" fillId="0" borderId="0" xfId="2" applyFont="1" applyAlignment="1">
      <alignment horizontal="center" vertical="center" shrinkToFit="1"/>
    </xf>
    <xf numFmtId="0" fontId="0" fillId="0" borderId="0" xfId="2" applyFont="1" applyAlignment="1">
      <alignment vertical="center" shrinkToFit="1"/>
    </xf>
    <xf numFmtId="0" fontId="5" fillId="0" borderId="1" xfId="0" applyFont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8" fontId="29" fillId="0" borderId="1" xfId="2" applyNumberFormat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176" fontId="12" fillId="5" borderId="10" xfId="0" applyNumberFormat="1" applyFont="1" applyFill="1" applyBorder="1" applyAlignment="1">
      <alignment horizontal="center" vertical="center"/>
    </xf>
    <xf numFmtId="176" fontId="17" fillId="0" borderId="34" xfId="2" applyNumberFormat="1" applyFont="1" applyFill="1" applyBorder="1" applyAlignment="1">
      <alignment horizontal="center" vertical="center" wrapText="1"/>
    </xf>
    <xf numFmtId="176" fontId="29" fillId="0" borderId="1" xfId="2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17" fillId="0" borderId="22" xfId="2" applyFont="1" applyFill="1" applyBorder="1" applyAlignment="1">
      <alignment horizontal="center" vertical="center"/>
    </xf>
    <xf numFmtId="49" fontId="17" fillId="0" borderId="22" xfId="2" applyNumberFormat="1" applyFont="1" applyFill="1" applyBorder="1" applyAlignment="1">
      <alignment horizontal="center" vertical="center"/>
    </xf>
    <xf numFmtId="0" fontId="19" fillId="0" borderId="22" xfId="2" applyFont="1" applyFill="1" applyBorder="1" applyAlignment="1">
      <alignment horizontal="center" vertical="center"/>
    </xf>
    <xf numFmtId="0" fontId="17" fillId="0" borderId="28" xfId="2" applyFont="1" applyFill="1" applyBorder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indent="1" shrinkToFit="1"/>
    </xf>
    <xf numFmtId="176" fontId="13" fillId="4" borderId="10" xfId="0" applyNumberFormat="1" applyFont="1" applyFill="1" applyBorder="1" applyAlignment="1">
      <alignment horizontal="right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 wrapText="1"/>
    </xf>
    <xf numFmtId="176" fontId="17" fillId="0" borderId="34" xfId="2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8" xfId="2" applyFont="1" applyFill="1" applyBorder="1" applyAlignment="1">
      <alignment horizontal="center" vertical="center" wrapText="1"/>
    </xf>
    <xf numFmtId="49" fontId="17" fillId="0" borderId="1" xfId="2" applyNumberFormat="1" applyFont="1" applyFill="1" applyBorder="1" applyAlignment="1">
      <alignment horizontal="center" vertical="center"/>
    </xf>
    <xf numFmtId="49" fontId="17" fillId="0" borderId="1" xfId="2" applyNumberFormat="1" applyFont="1" applyFill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 shrinkToFit="1"/>
    </xf>
    <xf numFmtId="0" fontId="25" fillId="0" borderId="41" xfId="2" applyFont="1" applyFill="1" applyBorder="1" applyAlignment="1">
      <alignment horizontal="center" vertical="center" shrinkToFit="1"/>
    </xf>
    <xf numFmtId="0" fontId="17" fillId="0" borderId="42" xfId="2" applyFont="1" applyFill="1" applyBorder="1" applyAlignment="1">
      <alignment horizontal="center" vertical="center"/>
    </xf>
    <xf numFmtId="176" fontId="17" fillId="0" borderId="43" xfId="2" applyNumberFormat="1" applyFont="1" applyFill="1" applyBorder="1" applyAlignment="1">
      <alignment horizontal="center" vertical="center" wrapText="1"/>
    </xf>
    <xf numFmtId="176" fontId="17" fillId="0" borderId="43" xfId="2" quotePrefix="1" applyNumberFormat="1" applyFont="1" applyFill="1" applyBorder="1" applyAlignment="1">
      <alignment horizontal="center" vertical="center" wrapText="1"/>
    </xf>
    <xf numFmtId="0" fontId="17" fillId="0" borderId="44" xfId="2" applyFont="1" applyFill="1" applyBorder="1" applyAlignment="1">
      <alignment horizontal="center" vertical="center" wrapText="1"/>
    </xf>
    <xf numFmtId="180" fontId="17" fillId="0" borderId="1" xfId="2" quotePrefix="1" applyNumberFormat="1" applyFont="1" applyFill="1" applyBorder="1" applyAlignment="1">
      <alignment horizontal="center" vertical="center"/>
    </xf>
    <xf numFmtId="176" fontId="17" fillId="6" borderId="34" xfId="2" applyNumberFormat="1" applyFont="1" applyFill="1" applyBorder="1" applyAlignment="1">
      <alignment horizontal="center" vertical="center" wrapText="1"/>
    </xf>
    <xf numFmtId="0" fontId="17" fillId="0" borderId="1" xfId="2" quotePrefix="1" applyFont="1" applyFill="1" applyBorder="1" applyAlignment="1">
      <alignment horizontal="center" vertical="center"/>
    </xf>
    <xf numFmtId="0" fontId="29" fillId="0" borderId="18" xfId="2" applyFont="1" applyFill="1" applyBorder="1" applyAlignment="1">
      <alignment horizontal="center" vertical="center" wrapText="1"/>
    </xf>
    <xf numFmtId="0" fontId="29" fillId="0" borderId="18" xfId="2" applyFont="1" applyFill="1" applyBorder="1" applyAlignment="1">
      <alignment horizontal="center" vertical="center" shrinkToFit="1"/>
    </xf>
    <xf numFmtId="0" fontId="29" fillId="0" borderId="21" xfId="2" applyFont="1" applyFill="1" applyBorder="1" applyAlignment="1">
      <alignment horizontal="center" vertical="center" shrinkToFit="1"/>
    </xf>
    <xf numFmtId="0" fontId="29" fillId="0" borderId="10" xfId="2" applyFont="1" applyFill="1" applyBorder="1" applyAlignment="1">
      <alignment horizontal="center" vertical="center"/>
    </xf>
    <xf numFmtId="0" fontId="29" fillId="0" borderId="10" xfId="2" applyFont="1" applyFill="1" applyBorder="1" applyAlignment="1">
      <alignment horizontal="center" vertical="center" shrinkToFit="1"/>
    </xf>
    <xf numFmtId="179" fontId="29" fillId="0" borderId="10" xfId="2" applyNumberFormat="1" applyFont="1" applyFill="1" applyBorder="1" applyAlignment="1">
      <alignment horizontal="center" vertical="center" shrinkToFit="1"/>
    </xf>
    <xf numFmtId="178" fontId="29" fillId="0" borderId="10" xfId="2" applyNumberFormat="1" applyFont="1" applyFill="1" applyBorder="1" applyAlignment="1">
      <alignment horizontal="center" vertical="center" shrinkToFit="1"/>
    </xf>
    <xf numFmtId="176" fontId="29" fillId="0" borderId="10" xfId="2" applyNumberFormat="1" applyFont="1" applyFill="1" applyBorder="1" applyAlignment="1">
      <alignment horizontal="center" vertical="center" shrinkToFit="1"/>
    </xf>
    <xf numFmtId="0" fontId="29" fillId="0" borderId="11" xfId="2" applyFont="1" applyFill="1" applyBorder="1" applyAlignment="1">
      <alignment horizontal="center" vertical="center" shrinkToFit="1"/>
    </xf>
    <xf numFmtId="176" fontId="13" fillId="0" borderId="15" xfId="0" applyNumberFormat="1" applyFont="1" applyBorder="1" applyAlignment="1">
      <alignment horizontal="right" vertical="center" shrinkToFit="1"/>
    </xf>
    <xf numFmtId="0" fontId="5" fillId="2" borderId="48" xfId="0" applyFont="1" applyFill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 shrinkToFit="1"/>
    </xf>
    <xf numFmtId="0" fontId="33" fillId="4" borderId="3" xfId="0" applyFont="1" applyFill="1" applyBorder="1" applyAlignment="1">
      <alignment horizontal="left" vertical="center" indent="1"/>
    </xf>
    <xf numFmtId="177" fontId="12" fillId="4" borderId="1" xfId="0" applyNumberFormat="1" applyFont="1" applyFill="1" applyBorder="1" applyAlignment="1">
      <alignment horizontal="right" vertical="center"/>
    </xf>
    <xf numFmtId="177" fontId="15" fillId="4" borderId="1" xfId="0" applyNumberFormat="1" applyFont="1" applyFill="1" applyBorder="1" applyAlignment="1">
      <alignment horizontal="center" vertical="center"/>
    </xf>
    <xf numFmtId="177" fontId="4" fillId="4" borderId="10" xfId="0" applyNumberFormat="1" applyFont="1" applyFill="1" applyBorder="1" applyAlignment="1">
      <alignment horizontal="center" vertical="center"/>
    </xf>
    <xf numFmtId="177" fontId="4" fillId="4" borderId="10" xfId="0" applyNumberFormat="1" applyFont="1" applyFill="1" applyBorder="1" applyAlignment="1">
      <alignment horizontal="left" vertical="center" indent="1"/>
    </xf>
    <xf numFmtId="177" fontId="12" fillId="4" borderId="10" xfId="0" applyNumberFormat="1" applyFont="1" applyFill="1" applyBorder="1" applyAlignment="1">
      <alignment horizontal="center" vertical="center"/>
    </xf>
    <xf numFmtId="177" fontId="12" fillId="4" borderId="10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176" fontId="12" fillId="4" borderId="1" xfId="0" applyNumberFormat="1" applyFon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176" fontId="12" fillId="4" borderId="14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right" vertical="center"/>
    </xf>
    <xf numFmtId="176" fontId="13" fillId="4" borderId="14" xfId="0" applyNumberFormat="1" applyFont="1" applyFill="1" applyBorder="1" applyAlignment="1">
      <alignment horizontal="center" vertical="center"/>
    </xf>
    <xf numFmtId="176" fontId="13" fillId="4" borderId="14" xfId="0" applyNumberFormat="1" applyFont="1" applyFill="1" applyBorder="1" applyAlignment="1">
      <alignment horizontal="right" vertical="center"/>
    </xf>
    <xf numFmtId="176" fontId="13" fillId="4" borderId="10" xfId="0" applyNumberFormat="1" applyFont="1" applyFill="1" applyBorder="1" applyAlignment="1">
      <alignment horizontal="center" vertical="center"/>
    </xf>
    <xf numFmtId="176" fontId="13" fillId="4" borderId="10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76" fontId="34" fillId="0" borderId="1" xfId="0" applyNumberFormat="1" applyFont="1" applyFill="1" applyBorder="1" applyAlignment="1">
      <alignment horizontal="center" vertical="center"/>
    </xf>
    <xf numFmtId="176" fontId="12" fillId="4" borderId="10" xfId="0" applyNumberFormat="1" applyFont="1" applyFill="1" applyBorder="1" applyAlignment="1">
      <alignment horizontal="right" vertical="center"/>
    </xf>
    <xf numFmtId="0" fontId="25" fillId="0" borderId="1" xfId="2" applyFont="1" applyFill="1" applyBorder="1" applyAlignment="1">
      <alignment horizontal="center" vertical="center" shrinkToFit="1"/>
    </xf>
    <xf numFmtId="0" fontId="25" fillId="0" borderId="1" xfId="2" applyFont="1" applyFill="1" applyBorder="1" applyAlignment="1">
      <alignment horizontal="center" vertical="center" wrapText="1" shrinkToFit="1"/>
    </xf>
    <xf numFmtId="0" fontId="17" fillId="0" borderId="45" xfId="2" applyFont="1" applyBorder="1" applyAlignment="1">
      <alignment horizontal="center" vertical="center"/>
    </xf>
    <xf numFmtId="0" fontId="17" fillId="0" borderId="35" xfId="2" applyFont="1" applyBorder="1" applyAlignment="1">
      <alignment horizontal="center" vertical="center"/>
    </xf>
    <xf numFmtId="0" fontId="17" fillId="0" borderId="46" xfId="2" applyFont="1" applyBorder="1" applyAlignment="1">
      <alignment horizontal="center" vertical="center"/>
    </xf>
    <xf numFmtId="0" fontId="25" fillId="0" borderId="42" xfId="2" applyFont="1" applyFill="1" applyBorder="1" applyAlignment="1">
      <alignment horizontal="center" vertical="center" shrinkToFit="1"/>
    </xf>
    <xf numFmtId="0" fontId="17" fillId="0" borderId="34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25" fillId="0" borderId="34" xfId="2" applyFont="1" applyFill="1" applyBorder="1" applyAlignment="1">
      <alignment horizontal="center" vertical="center" shrinkToFit="1"/>
    </xf>
    <xf numFmtId="0" fontId="25" fillId="0" borderId="2" xfId="2" applyFont="1" applyFill="1" applyBorder="1" applyAlignment="1">
      <alignment horizontal="center" vertical="center" shrinkToFit="1"/>
    </xf>
    <xf numFmtId="0" fontId="32" fillId="0" borderId="0" xfId="2" applyFont="1" applyBorder="1" applyAlignment="1">
      <alignment horizontal="center" vertical="center"/>
    </xf>
    <xf numFmtId="0" fontId="16" fillId="0" borderId="35" xfId="2" quotePrefix="1" applyFont="1" applyBorder="1" applyAlignment="1">
      <alignment horizontal="right" vertical="center"/>
    </xf>
    <xf numFmtId="0" fontId="16" fillId="0" borderId="35" xfId="2" applyFont="1" applyBorder="1" applyAlignment="1">
      <alignment horizontal="right" vertical="center"/>
    </xf>
    <xf numFmtId="0" fontId="17" fillId="0" borderId="36" xfId="2" applyFont="1" applyBorder="1" applyAlignment="1">
      <alignment horizontal="center" vertical="center" wrapText="1"/>
    </xf>
    <xf numFmtId="0" fontId="17" fillId="0" borderId="30" xfId="2" applyFont="1" applyBorder="1" applyAlignment="1">
      <alignment horizontal="center" vertical="center"/>
    </xf>
    <xf numFmtId="0" fontId="17" fillId="0" borderId="37" xfId="2" applyFont="1" applyBorder="1" applyAlignment="1">
      <alignment horizontal="center" vertical="center" wrapText="1"/>
    </xf>
    <xf numFmtId="0" fontId="17" fillId="0" borderId="38" xfId="2" applyFont="1" applyBorder="1" applyAlignment="1">
      <alignment horizontal="center" vertical="center"/>
    </xf>
    <xf numFmtId="0" fontId="17" fillId="0" borderId="40" xfId="2" applyFont="1" applyBorder="1" applyAlignment="1">
      <alignment horizontal="center" vertical="center"/>
    </xf>
    <xf numFmtId="0" fontId="17" fillId="0" borderId="33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/>
    </xf>
    <xf numFmtId="0" fontId="29" fillId="0" borderId="1" xfId="2" applyFont="1" applyFill="1" applyBorder="1" applyAlignment="1">
      <alignment horizontal="center" vertical="center" shrinkToFit="1"/>
    </xf>
    <xf numFmtId="0" fontId="29" fillId="0" borderId="10" xfId="2" applyFont="1" applyFill="1" applyBorder="1" applyAlignment="1">
      <alignment horizontal="center" vertical="center" shrinkToFit="1"/>
    </xf>
    <xf numFmtId="0" fontId="29" fillId="0" borderId="1" xfId="2" applyFont="1" applyFill="1" applyBorder="1" applyAlignment="1">
      <alignment horizontal="center" vertical="center" wrapText="1" shrinkToFit="1"/>
    </xf>
    <xf numFmtId="0" fontId="27" fillId="0" borderId="6" xfId="2" applyFont="1" applyBorder="1" applyAlignment="1">
      <alignment horizontal="center" vertical="center" shrinkToFit="1"/>
    </xf>
    <xf numFmtId="0" fontId="25" fillId="0" borderId="35" xfId="2" applyFont="1" applyBorder="1" applyAlignment="1">
      <alignment horizontal="right" vertical="center" wrapText="1"/>
    </xf>
    <xf numFmtId="0" fontId="25" fillId="0" borderId="35" xfId="2" applyFont="1" applyBorder="1" applyAlignment="1">
      <alignment horizontal="right" vertical="center"/>
    </xf>
    <xf numFmtId="0" fontId="22" fillId="0" borderId="0" xfId="2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176" fontId="12" fillId="7" borderId="1" xfId="0" applyNumberFormat="1" applyFont="1" applyFill="1" applyBorder="1" applyAlignment="1">
      <alignment horizontal="center" vertical="center"/>
    </xf>
    <xf numFmtId="176" fontId="12" fillId="7" borderId="1" xfId="0" applyNumberFormat="1" applyFont="1" applyFill="1" applyBorder="1" applyAlignment="1">
      <alignment horizontal="right" vertical="center"/>
    </xf>
  </cellXfs>
  <cellStyles count="4">
    <cellStyle name="백분율" xfId="1" builtinId="5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2384;&#44396;/&#44060;&#51064;&#51088;&#47308;/&#51452;&#50976;&#44592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유기록"/>
      <sheetName val="산출내역"/>
      <sheetName val="#REF"/>
      <sheetName val="변경명세"/>
      <sheetName val="설계명세서"/>
      <sheetName val="상승노임"/>
      <sheetName val="노임"/>
      <sheetName val="변경당시노임단가표"/>
      <sheetName val="광주"/>
      <sheetName val="대전"/>
      <sheetName val="부산"/>
      <sheetName val="서울"/>
      <sheetName val="수원"/>
      <sheetName val="제주"/>
      <sheetName val="창원"/>
      <sheetName val="설계서"/>
      <sheetName val="준공정산"/>
      <sheetName val="설계명세,97품셈"/>
      <sheetName val="공사설명서"/>
      <sheetName val="LANGUAGE"/>
      <sheetName val="PART_DISCOUNT"/>
      <sheetName val="환율"/>
      <sheetName val="rate"/>
      <sheetName val="OPGW기별"/>
      <sheetName val="노임단가"/>
      <sheetName val="소운반"/>
      <sheetName val="257A1"/>
      <sheetName val="품셈"/>
      <sheetName val="간이설계(4-15)"/>
      <sheetName val="노임단가표"/>
      <sheetName val="적용기준표(98년상반기)"/>
      <sheetName val="예산내역서"/>
      <sheetName val="일위대가"/>
      <sheetName val="예산내역서(총괄)"/>
      <sheetName val="공제대산출"/>
      <sheetName val="운반공사,공구손료"/>
      <sheetName val="정산"/>
      <sheetName val="인부임"/>
      <sheetName val="기별"/>
      <sheetName val="아파트기별"/>
      <sheetName val="공리일"/>
      <sheetName val="Sheet7"/>
      <sheetName val="공리공제"/>
      <sheetName val="정산설계"/>
      <sheetName val="기준자료"/>
      <sheetName val="교환노무"/>
      <sheetName val="노무단가산정"/>
      <sheetName val="기초자료입력"/>
      <sheetName val="수량총괄"/>
      <sheetName val="9.설치품셈"/>
      <sheetName val="품셈총괄"/>
      <sheetName val="기본DATA Sheet"/>
      <sheetName val="Studio"/>
      <sheetName val="8.설치품셈"/>
      <sheetName val="성단물량"/>
      <sheetName val="소요자재"/>
      <sheetName val="노무산출서"/>
      <sheetName val="공사설명서외"/>
      <sheetName val="일위대가표"/>
      <sheetName val="수량산출1"/>
      <sheetName val="자재단가표"/>
      <sheetName val="총괄집계표"/>
      <sheetName val="정산내역서"/>
      <sheetName val="소요자재명세서2"/>
      <sheetName val="기별명세서"/>
      <sheetName val="입찰서"/>
      <sheetName val="지시서"/>
      <sheetName val="기별명세"/>
      <sheetName val="표지"/>
      <sheetName val="정산서(을)"/>
      <sheetName val="설계"/>
      <sheetName val="Upgrades pricing"/>
      <sheetName val="Supplement2"/>
      <sheetName val="투자효율분석"/>
      <sheetName val="내역서"/>
      <sheetName val="소요자재명세서"/>
      <sheetName val="노무비명세서"/>
      <sheetName val="공사내역(총괄)"/>
      <sheetName val="색달~중문"/>
      <sheetName val="중문~삼일"/>
      <sheetName val="미악분기~913"/>
      <sheetName val="넉시~922"/>
      <sheetName val="대수산분기~LG918"/>
      <sheetName val="신서귀~고근산"/>
      <sheetName val="한눌~상록"/>
      <sheetName val="고내분기~한림"/>
      <sheetName val="세기~광령"/>
      <sheetName val="광령~경마장"/>
      <sheetName val="우주~로베로"/>
      <sheetName val="경동~상록"/>
      <sheetName val="대보~세기"/>
      <sheetName val="EVO WS Units"/>
      <sheetName val="PriceMaster"/>
      <sheetName val="노임단가(2000하반기)"/>
      <sheetName val="11설계명세서"/>
      <sheetName val="설계내역"/>
      <sheetName val="12품셈표"/>
      <sheetName val="총공사비"/>
      <sheetName val="예산서"/>
      <sheetName val="설계명세"/>
      <sheetName val="변전소"/>
      <sheetName val="산출명세서"/>
      <sheetName val="기별종합"/>
      <sheetName val="Sheet1"/>
      <sheetName val="Sheet2"/>
      <sheetName val="Sheet3"/>
      <sheetName val="20_10_100"/>
      <sheetName val="품셈표"/>
      <sheetName val="5차설계"/>
      <sheetName val="공사통보서"/>
      <sheetName val="소요물자명세서"/>
      <sheetName val="노임단가(전기·통신)"/>
      <sheetName val="종합기별"/>
      <sheetName val="정산내역서(선로)"/>
      <sheetName val="설계명세서(전송장비분)"/>
      <sheetName val="주요설비내역"/>
      <sheetName val="망계통도(위치)"/>
      <sheetName val="설계서SC"/>
      <sheetName val="설계서(8)"/>
      <sheetName val="예산서(7)"/>
      <sheetName val="품셈TABLE"/>
      <sheetName val="견적서"/>
      <sheetName val="VXXX"/>
      <sheetName val="종합표지"/>
      <sheetName val="광단국표지"/>
      <sheetName val="품산출서"/>
      <sheetName val="설계명세CR"/>
      <sheetName val="기별(횡강)"/>
      <sheetName val="06상반기노무임"/>
      <sheetName val="ERP교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view="pageBreakPreview" zoomScale="70" zoomScaleNormal="85" zoomScaleSheetLayoutView="70" workbookViewId="0">
      <selection activeCell="F26" sqref="F26"/>
    </sheetView>
  </sheetViews>
  <sheetFormatPr defaultRowHeight="16.5" x14ac:dyDescent="0.3"/>
  <cols>
    <col min="1" max="1" width="27.5" style="177" customWidth="1"/>
    <col min="2" max="2" width="12" style="177" customWidth="1"/>
    <col min="3" max="3" width="20.625" style="177" customWidth="1"/>
    <col min="4" max="8" width="16.625" style="177" customWidth="1"/>
    <col min="9" max="9" width="17.125" style="177" customWidth="1"/>
    <col min="10" max="10" width="16" style="177" customWidth="1"/>
    <col min="11" max="11" width="16.75" style="177" customWidth="1"/>
    <col min="12" max="12" width="17.5" style="177" customWidth="1"/>
    <col min="13" max="13" width="28.375" style="177" customWidth="1"/>
    <col min="14" max="256" width="9" style="177"/>
    <col min="257" max="257" width="27.5" style="177" customWidth="1"/>
    <col min="258" max="258" width="12" style="177" customWidth="1"/>
    <col min="259" max="259" width="20.625" style="177" customWidth="1"/>
    <col min="260" max="264" width="16.625" style="177" customWidth="1"/>
    <col min="265" max="265" width="17.125" style="177" customWidth="1"/>
    <col min="266" max="266" width="16" style="177" customWidth="1"/>
    <col min="267" max="267" width="16.75" style="177" customWidth="1"/>
    <col min="268" max="268" width="17.5" style="177" customWidth="1"/>
    <col min="269" max="269" width="28.375" style="177" customWidth="1"/>
    <col min="270" max="512" width="9" style="177"/>
    <col min="513" max="513" width="27.5" style="177" customWidth="1"/>
    <col min="514" max="514" width="12" style="177" customWidth="1"/>
    <col min="515" max="515" width="20.625" style="177" customWidth="1"/>
    <col min="516" max="520" width="16.625" style="177" customWidth="1"/>
    <col min="521" max="521" width="17.125" style="177" customWidth="1"/>
    <col min="522" max="522" width="16" style="177" customWidth="1"/>
    <col min="523" max="523" width="16.75" style="177" customWidth="1"/>
    <col min="524" max="524" width="17.5" style="177" customWidth="1"/>
    <col min="525" max="525" width="28.375" style="177" customWidth="1"/>
    <col min="526" max="768" width="9" style="177"/>
    <col min="769" max="769" width="27.5" style="177" customWidth="1"/>
    <col min="770" max="770" width="12" style="177" customWidth="1"/>
    <col min="771" max="771" width="20.625" style="177" customWidth="1"/>
    <col min="772" max="776" width="16.625" style="177" customWidth="1"/>
    <col min="777" max="777" width="17.125" style="177" customWidth="1"/>
    <col min="778" max="778" width="16" style="177" customWidth="1"/>
    <col min="779" max="779" width="16.75" style="177" customWidth="1"/>
    <col min="780" max="780" width="17.5" style="177" customWidth="1"/>
    <col min="781" max="781" width="28.375" style="177" customWidth="1"/>
    <col min="782" max="1024" width="9" style="177"/>
    <col min="1025" max="1025" width="27.5" style="177" customWidth="1"/>
    <col min="1026" max="1026" width="12" style="177" customWidth="1"/>
    <col min="1027" max="1027" width="20.625" style="177" customWidth="1"/>
    <col min="1028" max="1032" width="16.625" style="177" customWidth="1"/>
    <col min="1033" max="1033" width="17.125" style="177" customWidth="1"/>
    <col min="1034" max="1034" width="16" style="177" customWidth="1"/>
    <col min="1035" max="1035" width="16.75" style="177" customWidth="1"/>
    <col min="1036" max="1036" width="17.5" style="177" customWidth="1"/>
    <col min="1037" max="1037" width="28.375" style="177" customWidth="1"/>
    <col min="1038" max="1280" width="9" style="177"/>
    <col min="1281" max="1281" width="27.5" style="177" customWidth="1"/>
    <col min="1282" max="1282" width="12" style="177" customWidth="1"/>
    <col min="1283" max="1283" width="20.625" style="177" customWidth="1"/>
    <col min="1284" max="1288" width="16.625" style="177" customWidth="1"/>
    <col min="1289" max="1289" width="17.125" style="177" customWidth="1"/>
    <col min="1290" max="1290" width="16" style="177" customWidth="1"/>
    <col min="1291" max="1291" width="16.75" style="177" customWidth="1"/>
    <col min="1292" max="1292" width="17.5" style="177" customWidth="1"/>
    <col min="1293" max="1293" width="28.375" style="177" customWidth="1"/>
    <col min="1294" max="1536" width="9" style="177"/>
    <col min="1537" max="1537" width="27.5" style="177" customWidth="1"/>
    <col min="1538" max="1538" width="12" style="177" customWidth="1"/>
    <col min="1539" max="1539" width="20.625" style="177" customWidth="1"/>
    <col min="1540" max="1544" width="16.625" style="177" customWidth="1"/>
    <col min="1545" max="1545" width="17.125" style="177" customWidth="1"/>
    <col min="1546" max="1546" width="16" style="177" customWidth="1"/>
    <col min="1547" max="1547" width="16.75" style="177" customWidth="1"/>
    <col min="1548" max="1548" width="17.5" style="177" customWidth="1"/>
    <col min="1549" max="1549" width="28.375" style="177" customWidth="1"/>
    <col min="1550" max="1792" width="9" style="177"/>
    <col min="1793" max="1793" width="27.5" style="177" customWidth="1"/>
    <col min="1794" max="1794" width="12" style="177" customWidth="1"/>
    <col min="1795" max="1795" width="20.625" style="177" customWidth="1"/>
    <col min="1796" max="1800" width="16.625" style="177" customWidth="1"/>
    <col min="1801" max="1801" width="17.125" style="177" customWidth="1"/>
    <col min="1802" max="1802" width="16" style="177" customWidth="1"/>
    <col min="1803" max="1803" width="16.75" style="177" customWidth="1"/>
    <col min="1804" max="1804" width="17.5" style="177" customWidth="1"/>
    <col min="1805" max="1805" width="28.375" style="177" customWidth="1"/>
    <col min="1806" max="2048" width="9" style="177"/>
    <col min="2049" max="2049" width="27.5" style="177" customWidth="1"/>
    <col min="2050" max="2050" width="12" style="177" customWidth="1"/>
    <col min="2051" max="2051" width="20.625" style="177" customWidth="1"/>
    <col min="2052" max="2056" width="16.625" style="177" customWidth="1"/>
    <col min="2057" max="2057" width="17.125" style="177" customWidth="1"/>
    <col min="2058" max="2058" width="16" style="177" customWidth="1"/>
    <col min="2059" max="2059" width="16.75" style="177" customWidth="1"/>
    <col min="2060" max="2060" width="17.5" style="177" customWidth="1"/>
    <col min="2061" max="2061" width="28.375" style="177" customWidth="1"/>
    <col min="2062" max="2304" width="9" style="177"/>
    <col min="2305" max="2305" width="27.5" style="177" customWidth="1"/>
    <col min="2306" max="2306" width="12" style="177" customWidth="1"/>
    <col min="2307" max="2307" width="20.625" style="177" customWidth="1"/>
    <col min="2308" max="2312" width="16.625" style="177" customWidth="1"/>
    <col min="2313" max="2313" width="17.125" style="177" customWidth="1"/>
    <col min="2314" max="2314" width="16" style="177" customWidth="1"/>
    <col min="2315" max="2315" width="16.75" style="177" customWidth="1"/>
    <col min="2316" max="2316" width="17.5" style="177" customWidth="1"/>
    <col min="2317" max="2317" width="28.375" style="177" customWidth="1"/>
    <col min="2318" max="2560" width="9" style="177"/>
    <col min="2561" max="2561" width="27.5" style="177" customWidth="1"/>
    <col min="2562" max="2562" width="12" style="177" customWidth="1"/>
    <col min="2563" max="2563" width="20.625" style="177" customWidth="1"/>
    <col min="2564" max="2568" width="16.625" style="177" customWidth="1"/>
    <col min="2569" max="2569" width="17.125" style="177" customWidth="1"/>
    <col min="2570" max="2570" width="16" style="177" customWidth="1"/>
    <col min="2571" max="2571" width="16.75" style="177" customWidth="1"/>
    <col min="2572" max="2572" width="17.5" style="177" customWidth="1"/>
    <col min="2573" max="2573" width="28.375" style="177" customWidth="1"/>
    <col min="2574" max="2816" width="9" style="177"/>
    <col min="2817" max="2817" width="27.5" style="177" customWidth="1"/>
    <col min="2818" max="2818" width="12" style="177" customWidth="1"/>
    <col min="2819" max="2819" width="20.625" style="177" customWidth="1"/>
    <col min="2820" max="2824" width="16.625" style="177" customWidth="1"/>
    <col min="2825" max="2825" width="17.125" style="177" customWidth="1"/>
    <col min="2826" max="2826" width="16" style="177" customWidth="1"/>
    <col min="2827" max="2827" width="16.75" style="177" customWidth="1"/>
    <col min="2828" max="2828" width="17.5" style="177" customWidth="1"/>
    <col min="2829" max="2829" width="28.375" style="177" customWidth="1"/>
    <col min="2830" max="3072" width="9" style="177"/>
    <col min="3073" max="3073" width="27.5" style="177" customWidth="1"/>
    <col min="3074" max="3074" width="12" style="177" customWidth="1"/>
    <col min="3075" max="3075" width="20.625" style="177" customWidth="1"/>
    <col min="3076" max="3080" width="16.625" style="177" customWidth="1"/>
    <col min="3081" max="3081" width="17.125" style="177" customWidth="1"/>
    <col min="3082" max="3082" width="16" style="177" customWidth="1"/>
    <col min="3083" max="3083" width="16.75" style="177" customWidth="1"/>
    <col min="3084" max="3084" width="17.5" style="177" customWidth="1"/>
    <col min="3085" max="3085" width="28.375" style="177" customWidth="1"/>
    <col min="3086" max="3328" width="9" style="177"/>
    <col min="3329" max="3329" width="27.5" style="177" customWidth="1"/>
    <col min="3330" max="3330" width="12" style="177" customWidth="1"/>
    <col min="3331" max="3331" width="20.625" style="177" customWidth="1"/>
    <col min="3332" max="3336" width="16.625" style="177" customWidth="1"/>
    <col min="3337" max="3337" width="17.125" style="177" customWidth="1"/>
    <col min="3338" max="3338" width="16" style="177" customWidth="1"/>
    <col min="3339" max="3339" width="16.75" style="177" customWidth="1"/>
    <col min="3340" max="3340" width="17.5" style="177" customWidth="1"/>
    <col min="3341" max="3341" width="28.375" style="177" customWidth="1"/>
    <col min="3342" max="3584" width="9" style="177"/>
    <col min="3585" max="3585" width="27.5" style="177" customWidth="1"/>
    <col min="3586" max="3586" width="12" style="177" customWidth="1"/>
    <col min="3587" max="3587" width="20.625" style="177" customWidth="1"/>
    <col min="3588" max="3592" width="16.625" style="177" customWidth="1"/>
    <col min="3593" max="3593" width="17.125" style="177" customWidth="1"/>
    <col min="3594" max="3594" width="16" style="177" customWidth="1"/>
    <col min="3595" max="3595" width="16.75" style="177" customWidth="1"/>
    <col min="3596" max="3596" width="17.5" style="177" customWidth="1"/>
    <col min="3597" max="3597" width="28.375" style="177" customWidth="1"/>
    <col min="3598" max="3840" width="9" style="177"/>
    <col min="3841" max="3841" width="27.5" style="177" customWidth="1"/>
    <col min="3842" max="3842" width="12" style="177" customWidth="1"/>
    <col min="3843" max="3843" width="20.625" style="177" customWidth="1"/>
    <col min="3844" max="3848" width="16.625" style="177" customWidth="1"/>
    <col min="3849" max="3849" width="17.125" style="177" customWidth="1"/>
    <col min="3850" max="3850" width="16" style="177" customWidth="1"/>
    <col min="3851" max="3851" width="16.75" style="177" customWidth="1"/>
    <col min="3852" max="3852" width="17.5" style="177" customWidth="1"/>
    <col min="3853" max="3853" width="28.375" style="177" customWidth="1"/>
    <col min="3854" max="4096" width="9" style="177"/>
    <col min="4097" max="4097" width="27.5" style="177" customWidth="1"/>
    <col min="4098" max="4098" width="12" style="177" customWidth="1"/>
    <col min="4099" max="4099" width="20.625" style="177" customWidth="1"/>
    <col min="4100" max="4104" width="16.625" style="177" customWidth="1"/>
    <col min="4105" max="4105" width="17.125" style="177" customWidth="1"/>
    <col min="4106" max="4106" width="16" style="177" customWidth="1"/>
    <col min="4107" max="4107" width="16.75" style="177" customWidth="1"/>
    <col min="4108" max="4108" width="17.5" style="177" customWidth="1"/>
    <col min="4109" max="4109" width="28.375" style="177" customWidth="1"/>
    <col min="4110" max="4352" width="9" style="177"/>
    <col min="4353" max="4353" width="27.5" style="177" customWidth="1"/>
    <col min="4354" max="4354" width="12" style="177" customWidth="1"/>
    <col min="4355" max="4355" width="20.625" style="177" customWidth="1"/>
    <col min="4356" max="4360" width="16.625" style="177" customWidth="1"/>
    <col min="4361" max="4361" width="17.125" style="177" customWidth="1"/>
    <col min="4362" max="4362" width="16" style="177" customWidth="1"/>
    <col min="4363" max="4363" width="16.75" style="177" customWidth="1"/>
    <col min="4364" max="4364" width="17.5" style="177" customWidth="1"/>
    <col min="4365" max="4365" width="28.375" style="177" customWidth="1"/>
    <col min="4366" max="4608" width="9" style="177"/>
    <col min="4609" max="4609" width="27.5" style="177" customWidth="1"/>
    <col min="4610" max="4610" width="12" style="177" customWidth="1"/>
    <col min="4611" max="4611" width="20.625" style="177" customWidth="1"/>
    <col min="4612" max="4616" width="16.625" style="177" customWidth="1"/>
    <col min="4617" max="4617" width="17.125" style="177" customWidth="1"/>
    <col min="4618" max="4618" width="16" style="177" customWidth="1"/>
    <col min="4619" max="4619" width="16.75" style="177" customWidth="1"/>
    <col min="4620" max="4620" width="17.5" style="177" customWidth="1"/>
    <col min="4621" max="4621" width="28.375" style="177" customWidth="1"/>
    <col min="4622" max="4864" width="9" style="177"/>
    <col min="4865" max="4865" width="27.5" style="177" customWidth="1"/>
    <col min="4866" max="4866" width="12" style="177" customWidth="1"/>
    <col min="4867" max="4867" width="20.625" style="177" customWidth="1"/>
    <col min="4868" max="4872" width="16.625" style="177" customWidth="1"/>
    <col min="4873" max="4873" width="17.125" style="177" customWidth="1"/>
    <col min="4874" max="4874" width="16" style="177" customWidth="1"/>
    <col min="4875" max="4875" width="16.75" style="177" customWidth="1"/>
    <col min="4876" max="4876" width="17.5" style="177" customWidth="1"/>
    <col min="4877" max="4877" width="28.375" style="177" customWidth="1"/>
    <col min="4878" max="5120" width="9" style="177"/>
    <col min="5121" max="5121" width="27.5" style="177" customWidth="1"/>
    <col min="5122" max="5122" width="12" style="177" customWidth="1"/>
    <col min="5123" max="5123" width="20.625" style="177" customWidth="1"/>
    <col min="5124" max="5128" width="16.625" style="177" customWidth="1"/>
    <col min="5129" max="5129" width="17.125" style="177" customWidth="1"/>
    <col min="5130" max="5130" width="16" style="177" customWidth="1"/>
    <col min="5131" max="5131" width="16.75" style="177" customWidth="1"/>
    <col min="5132" max="5132" width="17.5" style="177" customWidth="1"/>
    <col min="5133" max="5133" width="28.375" style="177" customWidth="1"/>
    <col min="5134" max="5376" width="9" style="177"/>
    <col min="5377" max="5377" width="27.5" style="177" customWidth="1"/>
    <col min="5378" max="5378" width="12" style="177" customWidth="1"/>
    <col min="5379" max="5379" width="20.625" style="177" customWidth="1"/>
    <col min="5380" max="5384" width="16.625" style="177" customWidth="1"/>
    <col min="5385" max="5385" width="17.125" style="177" customWidth="1"/>
    <col min="5386" max="5386" width="16" style="177" customWidth="1"/>
    <col min="5387" max="5387" width="16.75" style="177" customWidth="1"/>
    <col min="5388" max="5388" width="17.5" style="177" customWidth="1"/>
    <col min="5389" max="5389" width="28.375" style="177" customWidth="1"/>
    <col min="5390" max="5632" width="9" style="177"/>
    <col min="5633" max="5633" width="27.5" style="177" customWidth="1"/>
    <col min="5634" max="5634" width="12" style="177" customWidth="1"/>
    <col min="5635" max="5635" width="20.625" style="177" customWidth="1"/>
    <col min="5636" max="5640" width="16.625" style="177" customWidth="1"/>
    <col min="5641" max="5641" width="17.125" style="177" customWidth="1"/>
    <col min="5642" max="5642" width="16" style="177" customWidth="1"/>
    <col min="5643" max="5643" width="16.75" style="177" customWidth="1"/>
    <col min="5644" max="5644" width="17.5" style="177" customWidth="1"/>
    <col min="5645" max="5645" width="28.375" style="177" customWidth="1"/>
    <col min="5646" max="5888" width="9" style="177"/>
    <col min="5889" max="5889" width="27.5" style="177" customWidth="1"/>
    <col min="5890" max="5890" width="12" style="177" customWidth="1"/>
    <col min="5891" max="5891" width="20.625" style="177" customWidth="1"/>
    <col min="5892" max="5896" width="16.625" style="177" customWidth="1"/>
    <col min="5897" max="5897" width="17.125" style="177" customWidth="1"/>
    <col min="5898" max="5898" width="16" style="177" customWidth="1"/>
    <col min="5899" max="5899" width="16.75" style="177" customWidth="1"/>
    <col min="5900" max="5900" width="17.5" style="177" customWidth="1"/>
    <col min="5901" max="5901" width="28.375" style="177" customWidth="1"/>
    <col min="5902" max="6144" width="9" style="177"/>
    <col min="6145" max="6145" width="27.5" style="177" customWidth="1"/>
    <col min="6146" max="6146" width="12" style="177" customWidth="1"/>
    <col min="6147" max="6147" width="20.625" style="177" customWidth="1"/>
    <col min="6148" max="6152" width="16.625" style="177" customWidth="1"/>
    <col min="6153" max="6153" width="17.125" style="177" customWidth="1"/>
    <col min="6154" max="6154" width="16" style="177" customWidth="1"/>
    <col min="6155" max="6155" width="16.75" style="177" customWidth="1"/>
    <col min="6156" max="6156" width="17.5" style="177" customWidth="1"/>
    <col min="6157" max="6157" width="28.375" style="177" customWidth="1"/>
    <col min="6158" max="6400" width="9" style="177"/>
    <col min="6401" max="6401" width="27.5" style="177" customWidth="1"/>
    <col min="6402" max="6402" width="12" style="177" customWidth="1"/>
    <col min="6403" max="6403" width="20.625" style="177" customWidth="1"/>
    <col min="6404" max="6408" width="16.625" style="177" customWidth="1"/>
    <col min="6409" max="6409" width="17.125" style="177" customWidth="1"/>
    <col min="6410" max="6410" width="16" style="177" customWidth="1"/>
    <col min="6411" max="6411" width="16.75" style="177" customWidth="1"/>
    <col min="6412" max="6412" width="17.5" style="177" customWidth="1"/>
    <col min="6413" max="6413" width="28.375" style="177" customWidth="1"/>
    <col min="6414" max="6656" width="9" style="177"/>
    <col min="6657" max="6657" width="27.5" style="177" customWidth="1"/>
    <col min="6658" max="6658" width="12" style="177" customWidth="1"/>
    <col min="6659" max="6659" width="20.625" style="177" customWidth="1"/>
    <col min="6660" max="6664" width="16.625" style="177" customWidth="1"/>
    <col min="6665" max="6665" width="17.125" style="177" customWidth="1"/>
    <col min="6666" max="6666" width="16" style="177" customWidth="1"/>
    <col min="6667" max="6667" width="16.75" style="177" customWidth="1"/>
    <col min="6668" max="6668" width="17.5" style="177" customWidth="1"/>
    <col min="6669" max="6669" width="28.375" style="177" customWidth="1"/>
    <col min="6670" max="6912" width="9" style="177"/>
    <col min="6913" max="6913" width="27.5" style="177" customWidth="1"/>
    <col min="6914" max="6914" width="12" style="177" customWidth="1"/>
    <col min="6915" max="6915" width="20.625" style="177" customWidth="1"/>
    <col min="6916" max="6920" width="16.625" style="177" customWidth="1"/>
    <col min="6921" max="6921" width="17.125" style="177" customWidth="1"/>
    <col min="6922" max="6922" width="16" style="177" customWidth="1"/>
    <col min="6923" max="6923" width="16.75" style="177" customWidth="1"/>
    <col min="6924" max="6924" width="17.5" style="177" customWidth="1"/>
    <col min="6925" max="6925" width="28.375" style="177" customWidth="1"/>
    <col min="6926" max="7168" width="9" style="177"/>
    <col min="7169" max="7169" width="27.5" style="177" customWidth="1"/>
    <col min="7170" max="7170" width="12" style="177" customWidth="1"/>
    <col min="7171" max="7171" width="20.625" style="177" customWidth="1"/>
    <col min="7172" max="7176" width="16.625" style="177" customWidth="1"/>
    <col min="7177" max="7177" width="17.125" style="177" customWidth="1"/>
    <col min="7178" max="7178" width="16" style="177" customWidth="1"/>
    <col min="7179" max="7179" width="16.75" style="177" customWidth="1"/>
    <col min="7180" max="7180" width="17.5" style="177" customWidth="1"/>
    <col min="7181" max="7181" width="28.375" style="177" customWidth="1"/>
    <col min="7182" max="7424" width="9" style="177"/>
    <col min="7425" max="7425" width="27.5" style="177" customWidth="1"/>
    <col min="7426" max="7426" width="12" style="177" customWidth="1"/>
    <col min="7427" max="7427" width="20.625" style="177" customWidth="1"/>
    <col min="7428" max="7432" width="16.625" style="177" customWidth="1"/>
    <col min="7433" max="7433" width="17.125" style="177" customWidth="1"/>
    <col min="7434" max="7434" width="16" style="177" customWidth="1"/>
    <col min="7435" max="7435" width="16.75" style="177" customWidth="1"/>
    <col min="7436" max="7436" width="17.5" style="177" customWidth="1"/>
    <col min="7437" max="7437" width="28.375" style="177" customWidth="1"/>
    <col min="7438" max="7680" width="9" style="177"/>
    <col min="7681" max="7681" width="27.5" style="177" customWidth="1"/>
    <col min="7682" max="7682" width="12" style="177" customWidth="1"/>
    <col min="7683" max="7683" width="20.625" style="177" customWidth="1"/>
    <col min="7684" max="7688" width="16.625" style="177" customWidth="1"/>
    <col min="7689" max="7689" width="17.125" style="177" customWidth="1"/>
    <col min="7690" max="7690" width="16" style="177" customWidth="1"/>
    <col min="7691" max="7691" width="16.75" style="177" customWidth="1"/>
    <col min="7692" max="7692" width="17.5" style="177" customWidth="1"/>
    <col min="7693" max="7693" width="28.375" style="177" customWidth="1"/>
    <col min="7694" max="7936" width="9" style="177"/>
    <col min="7937" max="7937" width="27.5" style="177" customWidth="1"/>
    <col min="7938" max="7938" width="12" style="177" customWidth="1"/>
    <col min="7939" max="7939" width="20.625" style="177" customWidth="1"/>
    <col min="7940" max="7944" width="16.625" style="177" customWidth="1"/>
    <col min="7945" max="7945" width="17.125" style="177" customWidth="1"/>
    <col min="7946" max="7946" width="16" style="177" customWidth="1"/>
    <col min="7947" max="7947" width="16.75" style="177" customWidth="1"/>
    <col min="7948" max="7948" width="17.5" style="177" customWidth="1"/>
    <col min="7949" max="7949" width="28.375" style="177" customWidth="1"/>
    <col min="7950" max="8192" width="9" style="177"/>
    <col min="8193" max="8193" width="27.5" style="177" customWidth="1"/>
    <col min="8194" max="8194" width="12" style="177" customWidth="1"/>
    <col min="8195" max="8195" width="20.625" style="177" customWidth="1"/>
    <col min="8196" max="8200" width="16.625" style="177" customWidth="1"/>
    <col min="8201" max="8201" width="17.125" style="177" customWidth="1"/>
    <col min="8202" max="8202" width="16" style="177" customWidth="1"/>
    <col min="8203" max="8203" width="16.75" style="177" customWidth="1"/>
    <col min="8204" max="8204" width="17.5" style="177" customWidth="1"/>
    <col min="8205" max="8205" width="28.375" style="177" customWidth="1"/>
    <col min="8206" max="8448" width="9" style="177"/>
    <col min="8449" max="8449" width="27.5" style="177" customWidth="1"/>
    <col min="8450" max="8450" width="12" style="177" customWidth="1"/>
    <col min="8451" max="8451" width="20.625" style="177" customWidth="1"/>
    <col min="8452" max="8456" width="16.625" style="177" customWidth="1"/>
    <col min="8457" max="8457" width="17.125" style="177" customWidth="1"/>
    <col min="8458" max="8458" width="16" style="177" customWidth="1"/>
    <col min="8459" max="8459" width="16.75" style="177" customWidth="1"/>
    <col min="8460" max="8460" width="17.5" style="177" customWidth="1"/>
    <col min="8461" max="8461" width="28.375" style="177" customWidth="1"/>
    <col min="8462" max="8704" width="9" style="177"/>
    <col min="8705" max="8705" width="27.5" style="177" customWidth="1"/>
    <col min="8706" max="8706" width="12" style="177" customWidth="1"/>
    <col min="8707" max="8707" width="20.625" style="177" customWidth="1"/>
    <col min="8708" max="8712" width="16.625" style="177" customWidth="1"/>
    <col min="8713" max="8713" width="17.125" style="177" customWidth="1"/>
    <col min="8714" max="8714" width="16" style="177" customWidth="1"/>
    <col min="8715" max="8715" width="16.75" style="177" customWidth="1"/>
    <col min="8716" max="8716" width="17.5" style="177" customWidth="1"/>
    <col min="8717" max="8717" width="28.375" style="177" customWidth="1"/>
    <col min="8718" max="8960" width="9" style="177"/>
    <col min="8961" max="8961" width="27.5" style="177" customWidth="1"/>
    <col min="8962" max="8962" width="12" style="177" customWidth="1"/>
    <col min="8963" max="8963" width="20.625" style="177" customWidth="1"/>
    <col min="8964" max="8968" width="16.625" style="177" customWidth="1"/>
    <col min="8969" max="8969" width="17.125" style="177" customWidth="1"/>
    <col min="8970" max="8970" width="16" style="177" customWidth="1"/>
    <col min="8971" max="8971" width="16.75" style="177" customWidth="1"/>
    <col min="8972" max="8972" width="17.5" style="177" customWidth="1"/>
    <col min="8973" max="8973" width="28.375" style="177" customWidth="1"/>
    <col min="8974" max="9216" width="9" style="177"/>
    <col min="9217" max="9217" width="27.5" style="177" customWidth="1"/>
    <col min="9218" max="9218" width="12" style="177" customWidth="1"/>
    <col min="9219" max="9219" width="20.625" style="177" customWidth="1"/>
    <col min="9220" max="9224" width="16.625" style="177" customWidth="1"/>
    <col min="9225" max="9225" width="17.125" style="177" customWidth="1"/>
    <col min="9226" max="9226" width="16" style="177" customWidth="1"/>
    <col min="9227" max="9227" width="16.75" style="177" customWidth="1"/>
    <col min="9228" max="9228" width="17.5" style="177" customWidth="1"/>
    <col min="9229" max="9229" width="28.375" style="177" customWidth="1"/>
    <col min="9230" max="9472" width="9" style="177"/>
    <col min="9473" max="9473" width="27.5" style="177" customWidth="1"/>
    <col min="9474" max="9474" width="12" style="177" customWidth="1"/>
    <col min="9475" max="9475" width="20.625" style="177" customWidth="1"/>
    <col min="9476" max="9480" width="16.625" style="177" customWidth="1"/>
    <col min="9481" max="9481" width="17.125" style="177" customWidth="1"/>
    <col min="9482" max="9482" width="16" style="177" customWidth="1"/>
    <col min="9483" max="9483" width="16.75" style="177" customWidth="1"/>
    <col min="9484" max="9484" width="17.5" style="177" customWidth="1"/>
    <col min="9485" max="9485" width="28.375" style="177" customWidth="1"/>
    <col min="9486" max="9728" width="9" style="177"/>
    <col min="9729" max="9729" width="27.5" style="177" customWidth="1"/>
    <col min="9730" max="9730" width="12" style="177" customWidth="1"/>
    <col min="9731" max="9731" width="20.625" style="177" customWidth="1"/>
    <col min="9732" max="9736" width="16.625" style="177" customWidth="1"/>
    <col min="9737" max="9737" width="17.125" style="177" customWidth="1"/>
    <col min="9738" max="9738" width="16" style="177" customWidth="1"/>
    <col min="9739" max="9739" width="16.75" style="177" customWidth="1"/>
    <col min="9740" max="9740" width="17.5" style="177" customWidth="1"/>
    <col min="9741" max="9741" width="28.375" style="177" customWidth="1"/>
    <col min="9742" max="9984" width="9" style="177"/>
    <col min="9985" max="9985" width="27.5" style="177" customWidth="1"/>
    <col min="9986" max="9986" width="12" style="177" customWidth="1"/>
    <col min="9987" max="9987" width="20.625" style="177" customWidth="1"/>
    <col min="9988" max="9992" width="16.625" style="177" customWidth="1"/>
    <col min="9993" max="9993" width="17.125" style="177" customWidth="1"/>
    <col min="9994" max="9994" width="16" style="177" customWidth="1"/>
    <col min="9995" max="9995" width="16.75" style="177" customWidth="1"/>
    <col min="9996" max="9996" width="17.5" style="177" customWidth="1"/>
    <col min="9997" max="9997" width="28.375" style="177" customWidth="1"/>
    <col min="9998" max="10240" width="9" style="177"/>
    <col min="10241" max="10241" width="27.5" style="177" customWidth="1"/>
    <col min="10242" max="10242" width="12" style="177" customWidth="1"/>
    <col min="10243" max="10243" width="20.625" style="177" customWidth="1"/>
    <col min="10244" max="10248" width="16.625" style="177" customWidth="1"/>
    <col min="10249" max="10249" width="17.125" style="177" customWidth="1"/>
    <col min="10250" max="10250" width="16" style="177" customWidth="1"/>
    <col min="10251" max="10251" width="16.75" style="177" customWidth="1"/>
    <col min="10252" max="10252" width="17.5" style="177" customWidth="1"/>
    <col min="10253" max="10253" width="28.375" style="177" customWidth="1"/>
    <col min="10254" max="10496" width="9" style="177"/>
    <col min="10497" max="10497" width="27.5" style="177" customWidth="1"/>
    <col min="10498" max="10498" width="12" style="177" customWidth="1"/>
    <col min="10499" max="10499" width="20.625" style="177" customWidth="1"/>
    <col min="10500" max="10504" width="16.625" style="177" customWidth="1"/>
    <col min="10505" max="10505" width="17.125" style="177" customWidth="1"/>
    <col min="10506" max="10506" width="16" style="177" customWidth="1"/>
    <col min="10507" max="10507" width="16.75" style="177" customWidth="1"/>
    <col min="10508" max="10508" width="17.5" style="177" customWidth="1"/>
    <col min="10509" max="10509" width="28.375" style="177" customWidth="1"/>
    <col min="10510" max="10752" width="9" style="177"/>
    <col min="10753" max="10753" width="27.5" style="177" customWidth="1"/>
    <col min="10754" max="10754" width="12" style="177" customWidth="1"/>
    <col min="10755" max="10755" width="20.625" style="177" customWidth="1"/>
    <col min="10756" max="10760" width="16.625" style="177" customWidth="1"/>
    <col min="10761" max="10761" width="17.125" style="177" customWidth="1"/>
    <col min="10762" max="10762" width="16" style="177" customWidth="1"/>
    <col min="10763" max="10763" width="16.75" style="177" customWidth="1"/>
    <col min="10764" max="10764" width="17.5" style="177" customWidth="1"/>
    <col min="10765" max="10765" width="28.375" style="177" customWidth="1"/>
    <col min="10766" max="11008" width="9" style="177"/>
    <col min="11009" max="11009" width="27.5" style="177" customWidth="1"/>
    <col min="11010" max="11010" width="12" style="177" customWidth="1"/>
    <col min="11011" max="11011" width="20.625" style="177" customWidth="1"/>
    <col min="11012" max="11016" width="16.625" style="177" customWidth="1"/>
    <col min="11017" max="11017" width="17.125" style="177" customWidth="1"/>
    <col min="11018" max="11018" width="16" style="177" customWidth="1"/>
    <col min="11019" max="11019" width="16.75" style="177" customWidth="1"/>
    <col min="11020" max="11020" width="17.5" style="177" customWidth="1"/>
    <col min="11021" max="11021" width="28.375" style="177" customWidth="1"/>
    <col min="11022" max="11264" width="9" style="177"/>
    <col min="11265" max="11265" width="27.5" style="177" customWidth="1"/>
    <col min="11266" max="11266" width="12" style="177" customWidth="1"/>
    <col min="11267" max="11267" width="20.625" style="177" customWidth="1"/>
    <col min="11268" max="11272" width="16.625" style="177" customWidth="1"/>
    <col min="11273" max="11273" width="17.125" style="177" customWidth="1"/>
    <col min="11274" max="11274" width="16" style="177" customWidth="1"/>
    <col min="11275" max="11275" width="16.75" style="177" customWidth="1"/>
    <col min="11276" max="11276" width="17.5" style="177" customWidth="1"/>
    <col min="11277" max="11277" width="28.375" style="177" customWidth="1"/>
    <col min="11278" max="11520" width="9" style="177"/>
    <col min="11521" max="11521" width="27.5" style="177" customWidth="1"/>
    <col min="11522" max="11522" width="12" style="177" customWidth="1"/>
    <col min="11523" max="11523" width="20.625" style="177" customWidth="1"/>
    <col min="11524" max="11528" width="16.625" style="177" customWidth="1"/>
    <col min="11529" max="11529" width="17.125" style="177" customWidth="1"/>
    <col min="11530" max="11530" width="16" style="177" customWidth="1"/>
    <col min="11531" max="11531" width="16.75" style="177" customWidth="1"/>
    <col min="11532" max="11532" width="17.5" style="177" customWidth="1"/>
    <col min="11533" max="11533" width="28.375" style="177" customWidth="1"/>
    <col min="11534" max="11776" width="9" style="177"/>
    <col min="11777" max="11777" width="27.5" style="177" customWidth="1"/>
    <col min="11778" max="11778" width="12" style="177" customWidth="1"/>
    <col min="11779" max="11779" width="20.625" style="177" customWidth="1"/>
    <col min="11780" max="11784" width="16.625" style="177" customWidth="1"/>
    <col min="11785" max="11785" width="17.125" style="177" customWidth="1"/>
    <col min="11786" max="11786" width="16" style="177" customWidth="1"/>
    <col min="11787" max="11787" width="16.75" style="177" customWidth="1"/>
    <col min="11788" max="11788" width="17.5" style="177" customWidth="1"/>
    <col min="11789" max="11789" width="28.375" style="177" customWidth="1"/>
    <col min="11790" max="12032" width="9" style="177"/>
    <col min="12033" max="12033" width="27.5" style="177" customWidth="1"/>
    <col min="12034" max="12034" width="12" style="177" customWidth="1"/>
    <col min="12035" max="12035" width="20.625" style="177" customWidth="1"/>
    <col min="12036" max="12040" width="16.625" style="177" customWidth="1"/>
    <col min="12041" max="12041" width="17.125" style="177" customWidth="1"/>
    <col min="12042" max="12042" width="16" style="177" customWidth="1"/>
    <col min="12043" max="12043" width="16.75" style="177" customWidth="1"/>
    <col min="12044" max="12044" width="17.5" style="177" customWidth="1"/>
    <col min="12045" max="12045" width="28.375" style="177" customWidth="1"/>
    <col min="12046" max="12288" width="9" style="177"/>
    <col min="12289" max="12289" width="27.5" style="177" customWidth="1"/>
    <col min="12290" max="12290" width="12" style="177" customWidth="1"/>
    <col min="12291" max="12291" width="20.625" style="177" customWidth="1"/>
    <col min="12292" max="12296" width="16.625" style="177" customWidth="1"/>
    <col min="12297" max="12297" width="17.125" style="177" customWidth="1"/>
    <col min="12298" max="12298" width="16" style="177" customWidth="1"/>
    <col min="12299" max="12299" width="16.75" style="177" customWidth="1"/>
    <col min="12300" max="12300" width="17.5" style="177" customWidth="1"/>
    <col min="12301" max="12301" width="28.375" style="177" customWidth="1"/>
    <col min="12302" max="12544" width="9" style="177"/>
    <col min="12545" max="12545" width="27.5" style="177" customWidth="1"/>
    <col min="12546" max="12546" width="12" style="177" customWidth="1"/>
    <col min="12547" max="12547" width="20.625" style="177" customWidth="1"/>
    <col min="12548" max="12552" width="16.625" style="177" customWidth="1"/>
    <col min="12553" max="12553" width="17.125" style="177" customWidth="1"/>
    <col min="12554" max="12554" width="16" style="177" customWidth="1"/>
    <col min="12555" max="12555" width="16.75" style="177" customWidth="1"/>
    <col min="12556" max="12556" width="17.5" style="177" customWidth="1"/>
    <col min="12557" max="12557" width="28.375" style="177" customWidth="1"/>
    <col min="12558" max="12800" width="9" style="177"/>
    <col min="12801" max="12801" width="27.5" style="177" customWidth="1"/>
    <col min="12802" max="12802" width="12" style="177" customWidth="1"/>
    <col min="12803" max="12803" width="20.625" style="177" customWidth="1"/>
    <col min="12804" max="12808" width="16.625" style="177" customWidth="1"/>
    <col min="12809" max="12809" width="17.125" style="177" customWidth="1"/>
    <col min="12810" max="12810" width="16" style="177" customWidth="1"/>
    <col min="12811" max="12811" width="16.75" style="177" customWidth="1"/>
    <col min="12812" max="12812" width="17.5" style="177" customWidth="1"/>
    <col min="12813" max="12813" width="28.375" style="177" customWidth="1"/>
    <col min="12814" max="13056" width="9" style="177"/>
    <col min="13057" max="13057" width="27.5" style="177" customWidth="1"/>
    <col min="13058" max="13058" width="12" style="177" customWidth="1"/>
    <col min="13059" max="13059" width="20.625" style="177" customWidth="1"/>
    <col min="13060" max="13064" width="16.625" style="177" customWidth="1"/>
    <col min="13065" max="13065" width="17.125" style="177" customWidth="1"/>
    <col min="13066" max="13066" width="16" style="177" customWidth="1"/>
    <col min="13067" max="13067" width="16.75" style="177" customWidth="1"/>
    <col min="13068" max="13068" width="17.5" style="177" customWidth="1"/>
    <col min="13069" max="13069" width="28.375" style="177" customWidth="1"/>
    <col min="13070" max="13312" width="9" style="177"/>
    <col min="13313" max="13313" width="27.5" style="177" customWidth="1"/>
    <col min="13314" max="13314" width="12" style="177" customWidth="1"/>
    <col min="13315" max="13315" width="20.625" style="177" customWidth="1"/>
    <col min="13316" max="13320" width="16.625" style="177" customWidth="1"/>
    <col min="13321" max="13321" width="17.125" style="177" customWidth="1"/>
    <col min="13322" max="13322" width="16" style="177" customWidth="1"/>
    <col min="13323" max="13323" width="16.75" style="177" customWidth="1"/>
    <col min="13324" max="13324" width="17.5" style="177" customWidth="1"/>
    <col min="13325" max="13325" width="28.375" style="177" customWidth="1"/>
    <col min="13326" max="13568" width="9" style="177"/>
    <col min="13569" max="13569" width="27.5" style="177" customWidth="1"/>
    <col min="13570" max="13570" width="12" style="177" customWidth="1"/>
    <col min="13571" max="13571" width="20.625" style="177" customWidth="1"/>
    <col min="13572" max="13576" width="16.625" style="177" customWidth="1"/>
    <col min="13577" max="13577" width="17.125" style="177" customWidth="1"/>
    <col min="13578" max="13578" width="16" style="177" customWidth="1"/>
    <col min="13579" max="13579" width="16.75" style="177" customWidth="1"/>
    <col min="13580" max="13580" width="17.5" style="177" customWidth="1"/>
    <col min="13581" max="13581" width="28.375" style="177" customWidth="1"/>
    <col min="13582" max="13824" width="9" style="177"/>
    <col min="13825" max="13825" width="27.5" style="177" customWidth="1"/>
    <col min="13826" max="13826" width="12" style="177" customWidth="1"/>
    <col min="13827" max="13827" width="20.625" style="177" customWidth="1"/>
    <col min="13828" max="13832" width="16.625" style="177" customWidth="1"/>
    <col min="13833" max="13833" width="17.125" style="177" customWidth="1"/>
    <col min="13834" max="13834" width="16" style="177" customWidth="1"/>
    <col min="13835" max="13835" width="16.75" style="177" customWidth="1"/>
    <col min="13836" max="13836" width="17.5" style="177" customWidth="1"/>
    <col min="13837" max="13837" width="28.375" style="177" customWidth="1"/>
    <col min="13838" max="14080" width="9" style="177"/>
    <col min="14081" max="14081" width="27.5" style="177" customWidth="1"/>
    <col min="14082" max="14082" width="12" style="177" customWidth="1"/>
    <col min="14083" max="14083" width="20.625" style="177" customWidth="1"/>
    <col min="14084" max="14088" width="16.625" style="177" customWidth="1"/>
    <col min="14089" max="14089" width="17.125" style="177" customWidth="1"/>
    <col min="14090" max="14090" width="16" style="177" customWidth="1"/>
    <col min="14091" max="14091" width="16.75" style="177" customWidth="1"/>
    <col min="14092" max="14092" width="17.5" style="177" customWidth="1"/>
    <col min="14093" max="14093" width="28.375" style="177" customWidth="1"/>
    <col min="14094" max="14336" width="9" style="177"/>
    <col min="14337" max="14337" width="27.5" style="177" customWidth="1"/>
    <col min="14338" max="14338" width="12" style="177" customWidth="1"/>
    <col min="14339" max="14339" width="20.625" style="177" customWidth="1"/>
    <col min="14340" max="14344" width="16.625" style="177" customWidth="1"/>
    <col min="14345" max="14345" width="17.125" style="177" customWidth="1"/>
    <col min="14346" max="14346" width="16" style="177" customWidth="1"/>
    <col min="14347" max="14347" width="16.75" style="177" customWidth="1"/>
    <col min="14348" max="14348" width="17.5" style="177" customWidth="1"/>
    <col min="14349" max="14349" width="28.375" style="177" customWidth="1"/>
    <col min="14350" max="14592" width="9" style="177"/>
    <col min="14593" max="14593" width="27.5" style="177" customWidth="1"/>
    <col min="14594" max="14594" width="12" style="177" customWidth="1"/>
    <col min="14595" max="14595" width="20.625" style="177" customWidth="1"/>
    <col min="14596" max="14600" width="16.625" style="177" customWidth="1"/>
    <col min="14601" max="14601" width="17.125" style="177" customWidth="1"/>
    <col min="14602" max="14602" width="16" style="177" customWidth="1"/>
    <col min="14603" max="14603" width="16.75" style="177" customWidth="1"/>
    <col min="14604" max="14604" width="17.5" style="177" customWidth="1"/>
    <col min="14605" max="14605" width="28.375" style="177" customWidth="1"/>
    <col min="14606" max="14848" width="9" style="177"/>
    <col min="14849" max="14849" width="27.5" style="177" customWidth="1"/>
    <col min="14850" max="14850" width="12" style="177" customWidth="1"/>
    <col min="14851" max="14851" width="20.625" style="177" customWidth="1"/>
    <col min="14852" max="14856" width="16.625" style="177" customWidth="1"/>
    <col min="14857" max="14857" width="17.125" style="177" customWidth="1"/>
    <col min="14858" max="14858" width="16" style="177" customWidth="1"/>
    <col min="14859" max="14859" width="16.75" style="177" customWidth="1"/>
    <col min="14860" max="14860" width="17.5" style="177" customWidth="1"/>
    <col min="14861" max="14861" width="28.375" style="177" customWidth="1"/>
    <col min="14862" max="15104" width="9" style="177"/>
    <col min="15105" max="15105" width="27.5" style="177" customWidth="1"/>
    <col min="15106" max="15106" width="12" style="177" customWidth="1"/>
    <col min="15107" max="15107" width="20.625" style="177" customWidth="1"/>
    <col min="15108" max="15112" width="16.625" style="177" customWidth="1"/>
    <col min="15113" max="15113" width="17.125" style="177" customWidth="1"/>
    <col min="15114" max="15114" width="16" style="177" customWidth="1"/>
    <col min="15115" max="15115" width="16.75" style="177" customWidth="1"/>
    <col min="15116" max="15116" width="17.5" style="177" customWidth="1"/>
    <col min="15117" max="15117" width="28.375" style="177" customWidth="1"/>
    <col min="15118" max="15360" width="9" style="177"/>
    <col min="15361" max="15361" width="27.5" style="177" customWidth="1"/>
    <col min="15362" max="15362" width="12" style="177" customWidth="1"/>
    <col min="15363" max="15363" width="20.625" style="177" customWidth="1"/>
    <col min="15364" max="15368" width="16.625" style="177" customWidth="1"/>
    <col min="15369" max="15369" width="17.125" style="177" customWidth="1"/>
    <col min="15370" max="15370" width="16" style="177" customWidth="1"/>
    <col min="15371" max="15371" width="16.75" style="177" customWidth="1"/>
    <col min="15372" max="15372" width="17.5" style="177" customWidth="1"/>
    <col min="15373" max="15373" width="28.375" style="177" customWidth="1"/>
    <col min="15374" max="15616" width="9" style="177"/>
    <col min="15617" max="15617" width="27.5" style="177" customWidth="1"/>
    <col min="15618" max="15618" width="12" style="177" customWidth="1"/>
    <col min="15619" max="15619" width="20.625" style="177" customWidth="1"/>
    <col min="15620" max="15624" width="16.625" style="177" customWidth="1"/>
    <col min="15625" max="15625" width="17.125" style="177" customWidth="1"/>
    <col min="15626" max="15626" width="16" style="177" customWidth="1"/>
    <col min="15627" max="15627" width="16.75" style="177" customWidth="1"/>
    <col min="15628" max="15628" width="17.5" style="177" customWidth="1"/>
    <col min="15629" max="15629" width="28.375" style="177" customWidth="1"/>
    <col min="15630" max="15872" width="9" style="177"/>
    <col min="15873" max="15873" width="27.5" style="177" customWidth="1"/>
    <col min="15874" max="15874" width="12" style="177" customWidth="1"/>
    <col min="15875" max="15875" width="20.625" style="177" customWidth="1"/>
    <col min="15876" max="15880" width="16.625" style="177" customWidth="1"/>
    <col min="15881" max="15881" width="17.125" style="177" customWidth="1"/>
    <col min="15882" max="15882" width="16" style="177" customWidth="1"/>
    <col min="15883" max="15883" width="16.75" style="177" customWidth="1"/>
    <col min="15884" max="15884" width="17.5" style="177" customWidth="1"/>
    <col min="15885" max="15885" width="28.375" style="177" customWidth="1"/>
    <col min="15886" max="16128" width="9" style="177"/>
    <col min="16129" max="16129" width="27.5" style="177" customWidth="1"/>
    <col min="16130" max="16130" width="12" style="177" customWidth="1"/>
    <col min="16131" max="16131" width="20.625" style="177" customWidth="1"/>
    <col min="16132" max="16136" width="16.625" style="177" customWidth="1"/>
    <col min="16137" max="16137" width="17.125" style="177" customWidth="1"/>
    <col min="16138" max="16138" width="16" style="177" customWidth="1"/>
    <col min="16139" max="16139" width="16.75" style="177" customWidth="1"/>
    <col min="16140" max="16140" width="17.5" style="177" customWidth="1"/>
    <col min="16141" max="16141" width="28.375" style="177" customWidth="1"/>
    <col min="16142" max="16384" width="9" style="177"/>
  </cols>
  <sheetData>
    <row r="1" spans="1:13" ht="17.25" customHeight="1" x14ac:dyDescent="0.3"/>
    <row r="2" spans="1:13" ht="43.5" customHeight="1" x14ac:dyDescent="0.3">
      <c r="A2" s="302" t="s">
        <v>568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</row>
    <row r="3" spans="1:13" ht="26.25" customHeight="1" thickBot="1" x14ac:dyDescent="0.35">
      <c r="A3" s="303">
        <v>2025.12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</row>
    <row r="4" spans="1:13" s="179" customFormat="1" ht="39.75" customHeight="1" x14ac:dyDescent="0.3">
      <c r="A4" s="305" t="s">
        <v>677</v>
      </c>
      <c r="B4" s="307" t="s">
        <v>678</v>
      </c>
      <c r="C4" s="308"/>
      <c r="D4" s="311" t="s">
        <v>569</v>
      </c>
      <c r="E4" s="311" t="s">
        <v>570</v>
      </c>
      <c r="F4" s="311" t="s">
        <v>571</v>
      </c>
      <c r="G4" s="313" t="s">
        <v>629</v>
      </c>
      <c r="H4" s="313"/>
      <c r="I4" s="178" t="s">
        <v>630</v>
      </c>
      <c r="J4" s="178" t="s">
        <v>631</v>
      </c>
      <c r="K4" s="178" t="s">
        <v>630</v>
      </c>
      <c r="L4" s="178" t="s">
        <v>631</v>
      </c>
      <c r="M4" s="314" t="s">
        <v>546</v>
      </c>
    </row>
    <row r="5" spans="1:13" s="179" customFormat="1" ht="27.75" customHeight="1" x14ac:dyDescent="0.3">
      <c r="A5" s="306"/>
      <c r="B5" s="309"/>
      <c r="C5" s="310"/>
      <c r="D5" s="312"/>
      <c r="E5" s="312"/>
      <c r="F5" s="312"/>
      <c r="G5" s="180" t="s">
        <v>547</v>
      </c>
      <c r="H5" s="180" t="s">
        <v>548</v>
      </c>
      <c r="I5" s="298" t="s">
        <v>547</v>
      </c>
      <c r="J5" s="299"/>
      <c r="K5" s="298" t="s">
        <v>548</v>
      </c>
      <c r="L5" s="299"/>
      <c r="M5" s="315"/>
    </row>
    <row r="6" spans="1:13" s="179" customFormat="1" ht="33.75" customHeight="1" x14ac:dyDescent="0.3">
      <c r="A6" s="242" t="s">
        <v>683</v>
      </c>
      <c r="B6" s="293" t="s">
        <v>576</v>
      </c>
      <c r="C6" s="292"/>
      <c r="D6" s="181">
        <v>24</v>
      </c>
      <c r="E6" s="181">
        <v>14</v>
      </c>
      <c r="F6" s="181">
        <f>D6-E6</f>
        <v>10</v>
      </c>
      <c r="G6" s="243" t="s">
        <v>634</v>
      </c>
      <c r="H6" s="244" t="s">
        <v>633</v>
      </c>
      <c r="I6" s="209">
        <f>전송손실!M5</f>
        <v>-13.001719999999999</v>
      </c>
      <c r="J6" s="237">
        <f>남춘천!P28</f>
        <v>-10.281600000000001</v>
      </c>
      <c r="K6" s="252">
        <f>전송손실!M31</f>
        <v>-8.4799400000000009</v>
      </c>
      <c r="L6" s="252">
        <f>남춘천!Q28</f>
        <v>-10.802299999999999</v>
      </c>
      <c r="M6" s="182" t="str">
        <f>남춘천!E2</f>
        <v>2025.12.30</v>
      </c>
    </row>
    <row r="7" spans="1:13" s="179" customFormat="1" ht="33.75" customHeight="1" x14ac:dyDescent="0.3">
      <c r="A7" s="242" t="s">
        <v>578</v>
      </c>
      <c r="B7" s="292" t="s">
        <v>579</v>
      </c>
      <c r="C7" s="292"/>
      <c r="D7" s="181">
        <v>24</v>
      </c>
      <c r="E7" s="181">
        <v>12</v>
      </c>
      <c r="F7" s="181">
        <f>D7-E7</f>
        <v>12</v>
      </c>
      <c r="G7" s="181" t="s">
        <v>635</v>
      </c>
      <c r="H7" s="181" t="s">
        <v>635</v>
      </c>
      <c r="I7" s="209">
        <f>전송손실!M6</f>
        <v>-18.969608000000001</v>
      </c>
      <c r="J7" s="237">
        <f>인제!P80</f>
        <v>-15.434100000000001</v>
      </c>
      <c r="K7" s="209">
        <f>전송손실!M32</f>
        <v>-12.495315999999999</v>
      </c>
      <c r="L7" s="209">
        <f>인제!Q80</f>
        <v>-10.031700000000003</v>
      </c>
      <c r="M7" s="182" t="str">
        <f>인제!E54</f>
        <v>2025.12.30</v>
      </c>
    </row>
    <row r="8" spans="1:13" s="179" customFormat="1" ht="33.75" customHeight="1" x14ac:dyDescent="0.3">
      <c r="A8" s="202" t="s">
        <v>580</v>
      </c>
      <c r="B8" s="292" t="s">
        <v>620</v>
      </c>
      <c r="C8" s="292"/>
      <c r="D8" s="181">
        <v>12</v>
      </c>
      <c r="E8" s="181">
        <v>12</v>
      </c>
      <c r="F8" s="181">
        <f t="shared" ref="F8:F25" si="0">D8-E8</f>
        <v>0</v>
      </c>
      <c r="G8" s="236" t="s">
        <v>637</v>
      </c>
      <c r="H8" s="244" t="s">
        <v>637</v>
      </c>
      <c r="I8" s="209" t="str">
        <f>전송손실!M7</f>
        <v>미측정</v>
      </c>
      <c r="J8" s="237" t="s">
        <v>636</v>
      </c>
      <c r="K8" s="209" t="str">
        <f>전송손실!M33</f>
        <v>미측정</v>
      </c>
      <c r="L8" s="209" t="s">
        <v>636</v>
      </c>
      <c r="M8" s="182" t="str">
        <f>서홍천!E2</f>
        <v>2025.12.30</v>
      </c>
    </row>
    <row r="9" spans="1:13" s="179" customFormat="1" ht="33.75" customHeight="1" x14ac:dyDescent="0.3">
      <c r="A9" s="202" t="s">
        <v>580</v>
      </c>
      <c r="B9" s="292" t="s">
        <v>581</v>
      </c>
      <c r="C9" s="292"/>
      <c r="D9" s="181">
        <v>12</v>
      </c>
      <c r="E9" s="181">
        <v>6</v>
      </c>
      <c r="F9" s="181">
        <f t="shared" si="0"/>
        <v>6</v>
      </c>
      <c r="G9" s="236" t="s">
        <v>642</v>
      </c>
      <c r="H9" s="236" t="s">
        <v>642</v>
      </c>
      <c r="I9" s="209">
        <f>전송손실!M8</f>
        <v>-2.15</v>
      </c>
      <c r="J9" s="237">
        <f>서홍천!O32</f>
        <v>-3.5373333333333332</v>
      </c>
      <c r="K9" s="209">
        <f>전송손실!M34</f>
        <v>-1.8199999999999998</v>
      </c>
      <c r="L9" s="209">
        <f>서홍천!P32</f>
        <v>-2.41</v>
      </c>
      <c r="M9" s="182" t="str">
        <f>서홍천!E2</f>
        <v>2025.12.30</v>
      </c>
    </row>
    <row r="10" spans="1:13" s="179" customFormat="1" ht="33.75" customHeight="1" x14ac:dyDescent="0.3">
      <c r="A10" s="245" t="s">
        <v>583</v>
      </c>
      <c r="B10" s="292" t="s">
        <v>584</v>
      </c>
      <c r="C10" s="292"/>
      <c r="D10" s="181">
        <v>12</v>
      </c>
      <c r="E10" s="181">
        <v>4</v>
      </c>
      <c r="F10" s="181">
        <f t="shared" si="0"/>
        <v>8</v>
      </c>
      <c r="G10" s="236" t="s">
        <v>643</v>
      </c>
      <c r="H10" s="244" t="s">
        <v>644</v>
      </c>
      <c r="I10" s="209">
        <f>전송손실!M9</f>
        <v>-14.197987999999999</v>
      </c>
      <c r="J10" s="237">
        <f>열병합!O44</f>
        <v>-12.428125</v>
      </c>
      <c r="K10" s="209">
        <f>전송손실!M35</f>
        <v>-9.3243259999999992</v>
      </c>
      <c r="L10" s="209">
        <f>열병합!P44</f>
        <v>-8.724750000000002</v>
      </c>
      <c r="M10" s="182" t="str">
        <f>열병합!E30</f>
        <v>2025.12.30</v>
      </c>
    </row>
    <row r="11" spans="1:13" s="179" customFormat="1" ht="33.75" customHeight="1" x14ac:dyDescent="0.3">
      <c r="A11" s="245" t="s">
        <v>589</v>
      </c>
      <c r="B11" s="292" t="s">
        <v>645</v>
      </c>
      <c r="C11" s="292"/>
      <c r="D11" s="181">
        <v>20</v>
      </c>
      <c r="E11" s="181">
        <v>11</v>
      </c>
      <c r="F11" s="181">
        <f t="shared" si="0"/>
        <v>9</v>
      </c>
      <c r="G11" s="236" t="s">
        <v>650</v>
      </c>
      <c r="H11" s="236" t="s">
        <v>650</v>
      </c>
      <c r="I11" s="209">
        <f>전송손실!M10</f>
        <v>-15.955399999999999</v>
      </c>
      <c r="J11" s="237">
        <f>'(구)춘천'!O28</f>
        <v>-12.059666666666669</v>
      </c>
      <c r="K11" s="209">
        <f>전송손실!M36</f>
        <v>-10.4833</v>
      </c>
      <c r="L11" s="209">
        <f>'(구)춘천'!P28</f>
        <v>-8.224444444444444</v>
      </c>
      <c r="M11" s="182" t="str">
        <f>'(구)춘천'!E2</f>
        <v>2025.12.30</v>
      </c>
    </row>
    <row r="12" spans="1:13" s="179" customFormat="1" ht="33.75" customHeight="1" x14ac:dyDescent="0.3">
      <c r="A12" s="202" t="s">
        <v>592</v>
      </c>
      <c r="B12" s="292" t="s">
        <v>593</v>
      </c>
      <c r="C12" s="292"/>
      <c r="D12" s="181">
        <v>24</v>
      </c>
      <c r="E12" s="181">
        <v>9</v>
      </c>
      <c r="F12" s="181">
        <f t="shared" si="0"/>
        <v>15</v>
      </c>
      <c r="G12" s="236" t="s">
        <v>651</v>
      </c>
      <c r="H12" s="236" t="s">
        <v>651</v>
      </c>
      <c r="I12" s="209">
        <f>전송손실!M11</f>
        <v>-22.759999999999998</v>
      </c>
      <c r="J12" s="237">
        <f>인제!P136</f>
        <v>-17.576399999999996</v>
      </c>
      <c r="K12" s="209">
        <f>전송손실!M37</f>
        <v>-14.84</v>
      </c>
      <c r="L12" s="209">
        <f>인제!Q136</f>
        <v>-12.133599999999999</v>
      </c>
      <c r="M12" s="182" t="str">
        <f>인제!E110</f>
        <v>2025.12.30</v>
      </c>
    </row>
    <row r="13" spans="1:13" s="179" customFormat="1" ht="33.75" customHeight="1" x14ac:dyDescent="0.3">
      <c r="A13" s="202" t="s">
        <v>595</v>
      </c>
      <c r="B13" s="292" t="s">
        <v>596</v>
      </c>
      <c r="C13" s="292"/>
      <c r="D13" s="181">
        <v>24</v>
      </c>
      <c r="E13" s="181">
        <v>12</v>
      </c>
      <c r="F13" s="181">
        <f t="shared" si="0"/>
        <v>12</v>
      </c>
      <c r="G13" s="236" t="s">
        <v>653</v>
      </c>
      <c r="H13" s="236" t="s">
        <v>653</v>
      </c>
      <c r="I13" s="209">
        <f>전송손실!M12</f>
        <v>-9.498272</v>
      </c>
      <c r="J13" s="237">
        <f>양구!O28</f>
        <v>-7.9752500000000017</v>
      </c>
      <c r="K13" s="209">
        <f>전송손실!M38</f>
        <v>-6.3389439999999997</v>
      </c>
      <c r="L13" s="209">
        <f>양구!P28</f>
        <v>-5.0884166666666655</v>
      </c>
      <c r="M13" s="182" t="str">
        <f>양구!E2</f>
        <v>2025.12.30</v>
      </c>
    </row>
    <row r="14" spans="1:13" s="179" customFormat="1" ht="33.75" customHeight="1" x14ac:dyDescent="0.3">
      <c r="A14" s="202" t="s">
        <v>595</v>
      </c>
      <c r="B14" s="300" t="s">
        <v>669</v>
      </c>
      <c r="C14" s="301"/>
      <c r="D14" s="181">
        <v>24</v>
      </c>
      <c r="E14" s="181">
        <v>10</v>
      </c>
      <c r="F14" s="181">
        <f t="shared" ref="F14" si="1">D14-E14</f>
        <v>14</v>
      </c>
      <c r="G14" s="236" t="s">
        <v>674</v>
      </c>
      <c r="H14" s="236" t="s">
        <v>674</v>
      </c>
      <c r="I14" s="209">
        <f>전송손실!M13</f>
        <v>-24.362479999999998</v>
      </c>
      <c r="J14" s="237">
        <f>양구!O56</f>
        <v>-19.825571428571433</v>
      </c>
      <c r="K14" s="209">
        <f>전송손실!M39</f>
        <v>-15.96096</v>
      </c>
      <c r="L14" s="209">
        <f>양구!P56</f>
        <v>-13.073000000000002</v>
      </c>
      <c r="M14" s="182" t="str">
        <f>양구!E30</f>
        <v>2025.12.30</v>
      </c>
    </row>
    <row r="15" spans="1:13" s="179" customFormat="1" ht="33.75" customHeight="1" x14ac:dyDescent="0.3">
      <c r="A15" s="202" t="s">
        <v>598</v>
      </c>
      <c r="B15" s="292" t="s">
        <v>599</v>
      </c>
      <c r="C15" s="292"/>
      <c r="D15" s="181">
        <v>48</v>
      </c>
      <c r="E15" s="181">
        <v>18</v>
      </c>
      <c r="F15" s="181">
        <f t="shared" si="0"/>
        <v>30</v>
      </c>
      <c r="G15" s="236" t="s">
        <v>656</v>
      </c>
      <c r="H15" s="236" t="s">
        <v>656</v>
      </c>
      <c r="I15" s="209">
        <f>전송손실!M14</f>
        <v>-23.899976000000002</v>
      </c>
      <c r="J15" s="237">
        <f>인제!P52</f>
        <v>-20.624240000000004</v>
      </c>
      <c r="K15" s="209">
        <f>전송손실!M40</f>
        <v>-15.621652000000001</v>
      </c>
      <c r="L15" s="209">
        <f>인제!Q52</f>
        <v>-12.335520000000004</v>
      </c>
      <c r="M15" s="182" t="str">
        <f>인제!E2</f>
        <v>2025.12.30</v>
      </c>
    </row>
    <row r="16" spans="1:13" s="179" customFormat="1" ht="33.75" customHeight="1" x14ac:dyDescent="0.3">
      <c r="A16" s="202" t="s">
        <v>601</v>
      </c>
      <c r="B16" s="292" t="s">
        <v>602</v>
      </c>
      <c r="C16" s="292"/>
      <c r="D16" s="181">
        <v>24</v>
      </c>
      <c r="E16" s="181">
        <v>17</v>
      </c>
      <c r="F16" s="181">
        <f t="shared" si="0"/>
        <v>7</v>
      </c>
      <c r="G16" s="181" t="s">
        <v>549</v>
      </c>
      <c r="H16" s="181" t="s">
        <v>549</v>
      </c>
      <c r="I16" s="209">
        <f>전송손실!M15</f>
        <v>-3.1999999999999997</v>
      </c>
      <c r="J16" s="237">
        <f>철원!O28</f>
        <v>-6.213285714285715</v>
      </c>
      <c r="K16" s="209">
        <f>전송손실!M41</f>
        <v>-2.66</v>
      </c>
      <c r="L16" s="209">
        <f>철원!P28</f>
        <v>-3.6714285714285713</v>
      </c>
      <c r="M16" s="182" t="str">
        <f>철원!E2</f>
        <v>2025.12.30</v>
      </c>
    </row>
    <row r="17" spans="1:13" s="179" customFormat="1" ht="33.75" customHeight="1" x14ac:dyDescent="0.3">
      <c r="A17" s="202" t="s">
        <v>671</v>
      </c>
      <c r="B17" s="292" t="s">
        <v>672</v>
      </c>
      <c r="C17" s="292"/>
      <c r="D17" s="181">
        <v>24</v>
      </c>
      <c r="E17" s="181">
        <v>15</v>
      </c>
      <c r="F17" s="181">
        <f t="shared" ref="F17" si="2">D17-E17</f>
        <v>9</v>
      </c>
      <c r="G17" s="181" t="s">
        <v>661</v>
      </c>
      <c r="H17" s="251" t="s">
        <v>676</v>
      </c>
      <c r="I17" s="209">
        <f>전송손실!M16</f>
        <v>-8.6464639999999982</v>
      </c>
      <c r="J17" s="237">
        <f>철원!O56</f>
        <v>-7.6308000000000007</v>
      </c>
      <c r="K17" s="209">
        <f>전송손실!M42</f>
        <v>-5.7617279999999997</v>
      </c>
      <c r="L17" s="209">
        <f>철원!P56</f>
        <v>-5.4683999999999999</v>
      </c>
      <c r="M17" s="182" t="str">
        <f>철원!E30</f>
        <v>2025.12.30</v>
      </c>
    </row>
    <row r="18" spans="1:13" s="183" customFormat="1" ht="33.75" customHeight="1" x14ac:dyDescent="0.3">
      <c r="A18" s="202" t="s">
        <v>604</v>
      </c>
      <c r="B18" s="293" t="s">
        <v>605</v>
      </c>
      <c r="C18" s="292"/>
      <c r="D18" s="181">
        <v>24</v>
      </c>
      <c r="E18" s="181">
        <v>15</v>
      </c>
      <c r="F18" s="181">
        <f t="shared" si="0"/>
        <v>9</v>
      </c>
      <c r="G18" s="181" t="s">
        <v>661</v>
      </c>
      <c r="H18" s="181" t="s">
        <v>661</v>
      </c>
      <c r="I18" s="209">
        <f>전송손실!M17</f>
        <v>-9.0496400000000001</v>
      </c>
      <c r="J18" s="209">
        <f>'(구)춘천'!O56</f>
        <v>-6.5155999999999992</v>
      </c>
      <c r="K18" s="209">
        <f>전송손실!M43</f>
        <v>-6.0647799999999989</v>
      </c>
      <c r="L18" s="209">
        <f>'(구)춘천'!P56</f>
        <v>-4.2721999999999998</v>
      </c>
      <c r="M18" s="182" t="str">
        <f>'(구)춘천'!E2</f>
        <v>2025.12.30</v>
      </c>
    </row>
    <row r="19" spans="1:13" s="179" customFormat="1" ht="33.75" customHeight="1" x14ac:dyDescent="0.3">
      <c r="A19" s="202" t="s">
        <v>606</v>
      </c>
      <c r="B19" s="292" t="s">
        <v>607</v>
      </c>
      <c r="C19" s="292"/>
      <c r="D19" s="181">
        <v>4</v>
      </c>
      <c r="E19" s="181">
        <v>4</v>
      </c>
      <c r="F19" s="181">
        <f t="shared" si="0"/>
        <v>0</v>
      </c>
      <c r="G19" s="181" t="s">
        <v>637</v>
      </c>
      <c r="H19" s="181" t="s">
        <v>637</v>
      </c>
      <c r="I19" s="209" t="str">
        <f>전송손실!M18</f>
        <v>미측정</v>
      </c>
      <c r="J19" s="237" t="s">
        <v>636</v>
      </c>
      <c r="K19" s="209" t="str">
        <f>전송손실!M44</f>
        <v>미측정</v>
      </c>
      <c r="L19" s="237" t="s">
        <v>636</v>
      </c>
      <c r="M19" s="182" t="str">
        <f>M11</f>
        <v>2025.12.30</v>
      </c>
    </row>
    <row r="20" spans="1:13" s="179" customFormat="1" ht="33.75" customHeight="1" x14ac:dyDescent="0.3">
      <c r="A20" s="202" t="s">
        <v>610</v>
      </c>
      <c r="B20" s="292" t="s">
        <v>611</v>
      </c>
      <c r="C20" s="292"/>
      <c r="D20" s="181">
        <v>48</v>
      </c>
      <c r="E20" s="181">
        <v>27</v>
      </c>
      <c r="F20" s="181">
        <f t="shared" si="0"/>
        <v>21</v>
      </c>
      <c r="G20" s="181" t="s">
        <v>666</v>
      </c>
      <c r="H20" s="181" t="s">
        <v>666</v>
      </c>
      <c r="I20" s="209">
        <f>전송손실!M19</f>
        <v>-4.4909599999999994</v>
      </c>
      <c r="J20" s="209">
        <f>춘천HP!O84</f>
        <v>-2.7572941176470587</v>
      </c>
      <c r="K20" s="209">
        <f>전송손실!M45</f>
        <v>-3.1089200000000003</v>
      </c>
      <c r="L20" s="209">
        <f>춘천HP!P84</f>
        <v>-2.1418235294117647</v>
      </c>
      <c r="M20" s="182" t="str">
        <f>춘천HP!E86</f>
        <v>2025.12.30</v>
      </c>
    </row>
    <row r="21" spans="1:13" s="179" customFormat="1" ht="33.75" customHeight="1" x14ac:dyDescent="0.3">
      <c r="A21" s="202" t="s">
        <v>613</v>
      </c>
      <c r="B21" s="292" t="s">
        <v>662</v>
      </c>
      <c r="C21" s="292"/>
      <c r="D21" s="181">
        <v>24</v>
      </c>
      <c r="E21" s="181">
        <v>18</v>
      </c>
      <c r="F21" s="181">
        <f t="shared" si="0"/>
        <v>6</v>
      </c>
      <c r="G21" s="181" t="s">
        <v>665</v>
      </c>
      <c r="H21" s="181" t="s">
        <v>665</v>
      </c>
      <c r="I21" s="209">
        <f>전송손실!M20</f>
        <v>-14.648359999999998</v>
      </c>
      <c r="J21" s="209">
        <f>춘천HP!O28</f>
        <v>-11.372833333333334</v>
      </c>
      <c r="K21" s="209">
        <f>전송손실!M46</f>
        <v>-9.6562200000000011</v>
      </c>
      <c r="L21" s="209">
        <f>춘천HP!P28</f>
        <v>-7.9445000000000006</v>
      </c>
      <c r="M21" s="182" t="str">
        <f>춘천HP!E2</f>
        <v>2025.12.30</v>
      </c>
    </row>
    <row r="22" spans="1:13" s="179" customFormat="1" ht="33.75" customHeight="1" x14ac:dyDescent="0.3">
      <c r="A22" s="202" t="s">
        <v>573</v>
      </c>
      <c r="B22" s="292" t="s">
        <v>574</v>
      </c>
      <c r="C22" s="292"/>
      <c r="D22" s="181">
        <v>24</v>
      </c>
      <c r="E22" s="181">
        <v>21</v>
      </c>
      <c r="F22" s="181">
        <f t="shared" si="0"/>
        <v>3</v>
      </c>
      <c r="G22" s="181" t="s">
        <v>550</v>
      </c>
      <c r="H22" s="181" t="s">
        <v>550</v>
      </c>
      <c r="I22" s="209">
        <f>전송손실!M21</f>
        <v>-11.017603999999999</v>
      </c>
      <c r="J22" s="209">
        <f>화천HP!O28</f>
        <v>-11.702818181818181</v>
      </c>
      <c r="K22" s="209">
        <f>전송손실!M47</f>
        <v>-7.2957579999999993</v>
      </c>
      <c r="L22" s="209">
        <f>화천HP!P28</f>
        <v>-7.7458181818181808</v>
      </c>
      <c r="M22" s="182" t="str">
        <f>화천!E2</f>
        <v>2025.12.30</v>
      </c>
    </row>
    <row r="23" spans="1:13" s="179" customFormat="1" ht="33.75" customHeight="1" x14ac:dyDescent="0.3">
      <c r="A23" s="242" t="s">
        <v>616</v>
      </c>
      <c r="B23" s="293" t="s">
        <v>617</v>
      </c>
      <c r="C23" s="292"/>
      <c r="D23" s="181">
        <v>24</v>
      </c>
      <c r="E23" s="181">
        <v>16</v>
      </c>
      <c r="F23" s="181">
        <f t="shared" si="0"/>
        <v>8</v>
      </c>
      <c r="G23" s="253" t="s">
        <v>680</v>
      </c>
      <c r="H23" s="253" t="s">
        <v>679</v>
      </c>
      <c r="I23" s="209">
        <f>전송손실!M22</f>
        <v>-8.7631399999999999</v>
      </c>
      <c r="J23" s="209">
        <f>화천!O28</f>
        <v>-13.8775</v>
      </c>
      <c r="K23" s="252">
        <f>전송손실!M48</f>
        <v>-5.8330299999999999</v>
      </c>
      <c r="L23" s="252">
        <f>화천!P28</f>
        <v>-12.403166666666666</v>
      </c>
      <c r="M23" s="182" t="str">
        <f>화천!E2</f>
        <v>2025.12.30</v>
      </c>
    </row>
    <row r="24" spans="1:13" s="179" customFormat="1" ht="33.75" customHeight="1" x14ac:dyDescent="0.3">
      <c r="A24" s="245" t="s">
        <v>619</v>
      </c>
      <c r="B24" s="292" t="s">
        <v>621</v>
      </c>
      <c r="C24" s="292"/>
      <c r="D24" s="181">
        <v>24</v>
      </c>
      <c r="E24" s="181">
        <v>13</v>
      </c>
      <c r="F24" s="181">
        <f t="shared" si="0"/>
        <v>11</v>
      </c>
      <c r="G24" s="181" t="s">
        <v>551</v>
      </c>
      <c r="H24" s="181" t="s">
        <v>551</v>
      </c>
      <c r="I24" s="209">
        <f>전송손실!M23</f>
        <v>-7.2042799999999989</v>
      </c>
      <c r="J24" s="209">
        <f>열병합!O28</f>
        <v>-5.9097272727272721</v>
      </c>
      <c r="K24" s="209">
        <f>전송손실!M49</f>
        <v>-4.8520599999999998</v>
      </c>
      <c r="L24" s="209">
        <f>열병합!P28</f>
        <v>-4.6131818181818183</v>
      </c>
      <c r="M24" s="182" t="str">
        <f>열병합!E2</f>
        <v>2025.12.30</v>
      </c>
    </row>
    <row r="25" spans="1:13" s="179" customFormat="1" ht="33.75" customHeight="1" thickBot="1" x14ac:dyDescent="0.35">
      <c r="A25" s="246" t="s">
        <v>623</v>
      </c>
      <c r="B25" s="297" t="s">
        <v>624</v>
      </c>
      <c r="C25" s="297"/>
      <c r="D25" s="247">
        <v>24</v>
      </c>
      <c r="E25" s="247">
        <v>9</v>
      </c>
      <c r="F25" s="247">
        <f t="shared" si="0"/>
        <v>15</v>
      </c>
      <c r="G25" s="247" t="s">
        <v>667</v>
      </c>
      <c r="H25" s="247" t="s">
        <v>667</v>
      </c>
      <c r="I25" s="248">
        <f>전송손실!M24</f>
        <v>-15.492080000000001</v>
      </c>
      <c r="J25" s="249">
        <f>화천HP!O84</f>
        <v>-12.811736842105265</v>
      </c>
      <c r="K25" s="248">
        <f>전송손실!M50</f>
        <v>-10.03016</v>
      </c>
      <c r="L25" s="249">
        <f>화천HP!P84</f>
        <v>-7.2759473684210523</v>
      </c>
      <c r="M25" s="250" t="str">
        <f>화천HP!E58</f>
        <v>2025.12.30</v>
      </c>
    </row>
    <row r="26" spans="1:13" ht="39" customHeight="1" thickTop="1" thickBot="1" x14ac:dyDescent="0.35">
      <c r="A26" s="294" t="s">
        <v>552</v>
      </c>
      <c r="B26" s="295"/>
      <c r="C26" s="296"/>
      <c r="D26" s="216">
        <f>SUM(D6:D25)</f>
        <v>468</v>
      </c>
      <c r="E26" s="216">
        <f>SUM(E6:E25)</f>
        <v>263</v>
      </c>
      <c r="F26" s="216">
        <f>SUM(F6:F25)</f>
        <v>205</v>
      </c>
      <c r="G26" s="216" t="s">
        <v>681</v>
      </c>
      <c r="H26" s="217" t="s">
        <v>682</v>
      </c>
      <c r="I26" s="218"/>
      <c r="J26" s="218"/>
      <c r="K26" s="218"/>
      <c r="L26" s="218"/>
      <c r="M26" s="219"/>
    </row>
    <row r="27" spans="1:13" x14ac:dyDescent="0.3">
      <c r="A27" s="184"/>
      <c r="B27" s="184"/>
      <c r="C27" s="184"/>
      <c r="D27" s="184"/>
      <c r="E27" s="184"/>
      <c r="F27" s="185"/>
      <c r="G27" s="185"/>
      <c r="H27" s="185"/>
      <c r="I27" s="185"/>
      <c r="J27" s="185"/>
      <c r="K27" s="185"/>
      <c r="L27" s="185"/>
      <c r="M27" s="184"/>
    </row>
    <row r="28" spans="1:13" x14ac:dyDescent="0.3">
      <c r="A28" s="184"/>
      <c r="B28" s="184"/>
      <c r="C28" s="184"/>
      <c r="D28" s="184"/>
      <c r="E28" s="184"/>
      <c r="F28" s="185"/>
      <c r="G28" s="185"/>
      <c r="H28" s="185"/>
      <c r="I28" s="185"/>
      <c r="J28" s="185"/>
      <c r="K28" s="185"/>
      <c r="L28" s="185"/>
      <c r="M28" s="184"/>
    </row>
    <row r="29" spans="1:13" x14ac:dyDescent="0.3">
      <c r="E29" s="184"/>
      <c r="F29" s="185"/>
      <c r="G29" s="185"/>
      <c r="H29" s="185"/>
      <c r="I29" s="185"/>
      <c r="J29" s="185"/>
      <c r="K29" s="185"/>
      <c r="L29" s="185"/>
      <c r="M29" s="184"/>
    </row>
    <row r="30" spans="1:13" x14ac:dyDescent="0.3">
      <c r="E30" s="184"/>
      <c r="F30" s="185"/>
      <c r="G30" s="185"/>
      <c r="H30" s="185"/>
      <c r="I30" s="185"/>
      <c r="J30" s="185"/>
      <c r="K30" s="185"/>
      <c r="L30" s="185"/>
      <c r="M30" s="184"/>
    </row>
    <row r="31" spans="1:13" x14ac:dyDescent="0.3">
      <c r="E31" s="184"/>
      <c r="F31" s="185"/>
      <c r="G31" s="185"/>
      <c r="H31" s="185"/>
      <c r="I31" s="185"/>
      <c r="J31" s="185"/>
      <c r="K31" s="185"/>
      <c r="L31" s="185"/>
      <c r="M31" s="184"/>
    </row>
    <row r="32" spans="1:13" x14ac:dyDescent="0.3">
      <c r="E32" s="184"/>
      <c r="F32" s="185"/>
      <c r="G32" s="185"/>
      <c r="H32" s="185"/>
      <c r="I32" s="185"/>
      <c r="J32" s="185"/>
      <c r="K32" s="185"/>
      <c r="L32" s="185"/>
      <c r="M32" s="184"/>
    </row>
    <row r="33" spans="5:15" x14ac:dyDescent="0.3">
      <c r="E33" s="184"/>
      <c r="F33" s="185"/>
      <c r="G33" s="185"/>
      <c r="H33" s="185"/>
      <c r="I33" s="185"/>
      <c r="J33" s="185"/>
      <c r="K33" s="185"/>
      <c r="L33" s="185"/>
      <c r="M33" s="184"/>
      <c r="O33" s="177" t="s">
        <v>553</v>
      </c>
    </row>
    <row r="34" spans="5:15" x14ac:dyDescent="0.3">
      <c r="E34" s="184"/>
      <c r="F34" s="185"/>
      <c r="G34" s="185"/>
      <c r="H34" s="185"/>
      <c r="I34" s="185"/>
      <c r="J34" s="185"/>
      <c r="K34" s="185"/>
      <c r="L34" s="185"/>
      <c r="M34" s="184"/>
    </row>
    <row r="35" spans="5:15" x14ac:dyDescent="0.3">
      <c r="E35" s="184"/>
      <c r="F35" s="185"/>
      <c r="G35" s="185"/>
      <c r="H35" s="185"/>
      <c r="I35" s="185"/>
      <c r="J35" s="185"/>
      <c r="K35" s="185"/>
      <c r="L35" s="185"/>
      <c r="M35" s="184"/>
    </row>
    <row r="36" spans="5:15" x14ac:dyDescent="0.3">
      <c r="M36" s="177" t="s">
        <v>553</v>
      </c>
    </row>
  </sheetData>
  <mergeCells count="32">
    <mergeCell ref="A2:M2"/>
    <mergeCell ref="A3:M3"/>
    <mergeCell ref="A4:A5"/>
    <mergeCell ref="B4:C5"/>
    <mergeCell ref="D4:D5"/>
    <mergeCell ref="E4:E5"/>
    <mergeCell ref="F4:F5"/>
    <mergeCell ref="G4:H4"/>
    <mergeCell ref="M4:M5"/>
    <mergeCell ref="I5:J5"/>
    <mergeCell ref="B11:C11"/>
    <mergeCell ref="B12:C12"/>
    <mergeCell ref="B13:C13"/>
    <mergeCell ref="B15:C15"/>
    <mergeCell ref="K5:L5"/>
    <mergeCell ref="B6:C6"/>
    <mergeCell ref="B7:C7"/>
    <mergeCell ref="B8:C8"/>
    <mergeCell ref="B14:C14"/>
    <mergeCell ref="B9:C9"/>
    <mergeCell ref="B10:C10"/>
    <mergeCell ref="B16:C16"/>
    <mergeCell ref="B22:C22"/>
    <mergeCell ref="B23:C23"/>
    <mergeCell ref="A26:C26"/>
    <mergeCell ref="B25:C25"/>
    <mergeCell ref="B24:C24"/>
    <mergeCell ref="B17:C17"/>
    <mergeCell ref="B19:C19"/>
    <mergeCell ref="B20:C20"/>
    <mergeCell ref="B21:C21"/>
    <mergeCell ref="B18:C18"/>
  </mergeCells>
  <phoneticPr fontId="1" type="noConversion"/>
  <pageMargins left="0.55118110236220474" right="0.39370078740157483" top="0.98425196850393704" bottom="0.98425196850393704" header="0.51181102362204722" footer="0.51181102362204722"/>
  <pageSetup paperSize="9" scale="47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0"/>
  <sheetViews>
    <sheetView view="pageBreakPreview" topLeftCell="A34" zoomScaleNormal="90" zoomScaleSheetLayoutView="100" workbookViewId="0">
      <selection activeCell="F26" sqref="F26"/>
    </sheetView>
  </sheetViews>
  <sheetFormatPr defaultRowHeight="16.5" x14ac:dyDescent="0.3"/>
  <cols>
    <col min="1" max="1" width="20.625" style="177" customWidth="1"/>
    <col min="2" max="2" width="11.875" style="177" customWidth="1"/>
    <col min="3" max="3" width="9.625" style="177" customWidth="1"/>
    <col min="4" max="4" width="8.375" style="177" customWidth="1"/>
    <col min="5" max="5" width="9.5" style="177" customWidth="1"/>
    <col min="6" max="6" width="9.875" style="177" customWidth="1"/>
    <col min="7" max="8" width="10.25" style="177" customWidth="1"/>
    <col min="9" max="9" width="7.625" style="177" customWidth="1"/>
    <col min="10" max="10" width="11.375" style="177" customWidth="1"/>
    <col min="11" max="11" width="9.5" style="177" customWidth="1"/>
    <col min="12" max="12" width="9" style="177"/>
    <col min="13" max="13" width="10.5" style="177" customWidth="1"/>
    <col min="14" max="14" width="40.625" style="177" customWidth="1"/>
    <col min="15" max="256" width="9" style="177"/>
    <col min="257" max="257" width="20.625" style="177" customWidth="1"/>
    <col min="258" max="258" width="11.875" style="177" customWidth="1"/>
    <col min="259" max="259" width="9.625" style="177" customWidth="1"/>
    <col min="260" max="260" width="8.375" style="177" customWidth="1"/>
    <col min="261" max="261" width="9.5" style="177" customWidth="1"/>
    <col min="262" max="262" width="9.875" style="177" customWidth="1"/>
    <col min="263" max="264" width="10.25" style="177" customWidth="1"/>
    <col min="265" max="265" width="7.625" style="177" customWidth="1"/>
    <col min="266" max="266" width="11.375" style="177" customWidth="1"/>
    <col min="267" max="267" width="9.5" style="177" customWidth="1"/>
    <col min="268" max="268" width="9" style="177"/>
    <col min="269" max="269" width="10.5" style="177" customWidth="1"/>
    <col min="270" max="270" width="14.625" style="177" customWidth="1"/>
    <col min="271" max="512" width="9" style="177"/>
    <col min="513" max="513" width="20.625" style="177" customWidth="1"/>
    <col min="514" max="514" width="11.875" style="177" customWidth="1"/>
    <col min="515" max="515" width="9.625" style="177" customWidth="1"/>
    <col min="516" max="516" width="8.375" style="177" customWidth="1"/>
    <col min="517" max="517" width="9.5" style="177" customWidth="1"/>
    <col min="518" max="518" width="9.875" style="177" customWidth="1"/>
    <col min="519" max="520" width="10.25" style="177" customWidth="1"/>
    <col min="521" max="521" width="7.625" style="177" customWidth="1"/>
    <col min="522" max="522" width="11.375" style="177" customWidth="1"/>
    <col min="523" max="523" width="9.5" style="177" customWidth="1"/>
    <col min="524" max="524" width="9" style="177"/>
    <col min="525" max="525" width="10.5" style="177" customWidth="1"/>
    <col min="526" max="526" width="14.625" style="177" customWidth="1"/>
    <col min="527" max="768" width="9" style="177"/>
    <col min="769" max="769" width="20.625" style="177" customWidth="1"/>
    <col min="770" max="770" width="11.875" style="177" customWidth="1"/>
    <col min="771" max="771" width="9.625" style="177" customWidth="1"/>
    <col min="772" max="772" width="8.375" style="177" customWidth="1"/>
    <col min="773" max="773" width="9.5" style="177" customWidth="1"/>
    <col min="774" max="774" width="9.875" style="177" customWidth="1"/>
    <col min="775" max="776" width="10.25" style="177" customWidth="1"/>
    <col min="777" max="777" width="7.625" style="177" customWidth="1"/>
    <col min="778" max="778" width="11.375" style="177" customWidth="1"/>
    <col min="779" max="779" width="9.5" style="177" customWidth="1"/>
    <col min="780" max="780" width="9" style="177"/>
    <col min="781" max="781" width="10.5" style="177" customWidth="1"/>
    <col min="782" max="782" width="14.625" style="177" customWidth="1"/>
    <col min="783" max="1024" width="9" style="177"/>
    <col min="1025" max="1025" width="20.625" style="177" customWidth="1"/>
    <col min="1026" max="1026" width="11.875" style="177" customWidth="1"/>
    <col min="1027" max="1027" width="9.625" style="177" customWidth="1"/>
    <col min="1028" max="1028" width="8.375" style="177" customWidth="1"/>
    <col min="1029" max="1029" width="9.5" style="177" customWidth="1"/>
    <col min="1030" max="1030" width="9.875" style="177" customWidth="1"/>
    <col min="1031" max="1032" width="10.25" style="177" customWidth="1"/>
    <col min="1033" max="1033" width="7.625" style="177" customWidth="1"/>
    <col min="1034" max="1034" width="11.375" style="177" customWidth="1"/>
    <col min="1035" max="1035" width="9.5" style="177" customWidth="1"/>
    <col min="1036" max="1036" width="9" style="177"/>
    <col min="1037" max="1037" width="10.5" style="177" customWidth="1"/>
    <col min="1038" max="1038" width="14.625" style="177" customWidth="1"/>
    <col min="1039" max="1280" width="9" style="177"/>
    <col min="1281" max="1281" width="20.625" style="177" customWidth="1"/>
    <col min="1282" max="1282" width="11.875" style="177" customWidth="1"/>
    <col min="1283" max="1283" width="9.625" style="177" customWidth="1"/>
    <col min="1284" max="1284" width="8.375" style="177" customWidth="1"/>
    <col min="1285" max="1285" width="9.5" style="177" customWidth="1"/>
    <col min="1286" max="1286" width="9.875" style="177" customWidth="1"/>
    <col min="1287" max="1288" width="10.25" style="177" customWidth="1"/>
    <col min="1289" max="1289" width="7.625" style="177" customWidth="1"/>
    <col min="1290" max="1290" width="11.375" style="177" customWidth="1"/>
    <col min="1291" max="1291" width="9.5" style="177" customWidth="1"/>
    <col min="1292" max="1292" width="9" style="177"/>
    <col min="1293" max="1293" width="10.5" style="177" customWidth="1"/>
    <col min="1294" max="1294" width="14.625" style="177" customWidth="1"/>
    <col min="1295" max="1536" width="9" style="177"/>
    <col min="1537" max="1537" width="20.625" style="177" customWidth="1"/>
    <col min="1538" max="1538" width="11.875" style="177" customWidth="1"/>
    <col min="1539" max="1539" width="9.625" style="177" customWidth="1"/>
    <col min="1540" max="1540" width="8.375" style="177" customWidth="1"/>
    <col min="1541" max="1541" width="9.5" style="177" customWidth="1"/>
    <col min="1542" max="1542" width="9.875" style="177" customWidth="1"/>
    <col min="1543" max="1544" width="10.25" style="177" customWidth="1"/>
    <col min="1545" max="1545" width="7.625" style="177" customWidth="1"/>
    <col min="1546" max="1546" width="11.375" style="177" customWidth="1"/>
    <col min="1547" max="1547" width="9.5" style="177" customWidth="1"/>
    <col min="1548" max="1548" width="9" style="177"/>
    <col min="1549" max="1549" width="10.5" style="177" customWidth="1"/>
    <col min="1550" max="1550" width="14.625" style="177" customWidth="1"/>
    <col min="1551" max="1792" width="9" style="177"/>
    <col min="1793" max="1793" width="20.625" style="177" customWidth="1"/>
    <col min="1794" max="1794" width="11.875" style="177" customWidth="1"/>
    <col min="1795" max="1795" width="9.625" style="177" customWidth="1"/>
    <col min="1796" max="1796" width="8.375" style="177" customWidth="1"/>
    <col min="1797" max="1797" width="9.5" style="177" customWidth="1"/>
    <col min="1798" max="1798" width="9.875" style="177" customWidth="1"/>
    <col min="1799" max="1800" width="10.25" style="177" customWidth="1"/>
    <col min="1801" max="1801" width="7.625" style="177" customWidth="1"/>
    <col min="1802" max="1802" width="11.375" style="177" customWidth="1"/>
    <col min="1803" max="1803" width="9.5" style="177" customWidth="1"/>
    <col min="1804" max="1804" width="9" style="177"/>
    <col min="1805" max="1805" width="10.5" style="177" customWidth="1"/>
    <col min="1806" max="1806" width="14.625" style="177" customWidth="1"/>
    <col min="1807" max="2048" width="9" style="177"/>
    <col min="2049" max="2049" width="20.625" style="177" customWidth="1"/>
    <col min="2050" max="2050" width="11.875" style="177" customWidth="1"/>
    <col min="2051" max="2051" width="9.625" style="177" customWidth="1"/>
    <col min="2052" max="2052" width="8.375" style="177" customWidth="1"/>
    <col min="2053" max="2053" width="9.5" style="177" customWidth="1"/>
    <col min="2054" max="2054" width="9.875" style="177" customWidth="1"/>
    <col min="2055" max="2056" width="10.25" style="177" customWidth="1"/>
    <col min="2057" max="2057" width="7.625" style="177" customWidth="1"/>
    <col min="2058" max="2058" width="11.375" style="177" customWidth="1"/>
    <col min="2059" max="2059" width="9.5" style="177" customWidth="1"/>
    <col min="2060" max="2060" width="9" style="177"/>
    <col min="2061" max="2061" width="10.5" style="177" customWidth="1"/>
    <col min="2062" max="2062" width="14.625" style="177" customWidth="1"/>
    <col min="2063" max="2304" width="9" style="177"/>
    <col min="2305" max="2305" width="20.625" style="177" customWidth="1"/>
    <col min="2306" max="2306" width="11.875" style="177" customWidth="1"/>
    <col min="2307" max="2307" width="9.625" style="177" customWidth="1"/>
    <col min="2308" max="2308" width="8.375" style="177" customWidth="1"/>
    <col min="2309" max="2309" width="9.5" style="177" customWidth="1"/>
    <col min="2310" max="2310" width="9.875" style="177" customWidth="1"/>
    <col min="2311" max="2312" width="10.25" style="177" customWidth="1"/>
    <col min="2313" max="2313" width="7.625" style="177" customWidth="1"/>
    <col min="2314" max="2314" width="11.375" style="177" customWidth="1"/>
    <col min="2315" max="2315" width="9.5" style="177" customWidth="1"/>
    <col min="2316" max="2316" width="9" style="177"/>
    <col min="2317" max="2317" width="10.5" style="177" customWidth="1"/>
    <col min="2318" max="2318" width="14.625" style="177" customWidth="1"/>
    <col min="2319" max="2560" width="9" style="177"/>
    <col min="2561" max="2561" width="20.625" style="177" customWidth="1"/>
    <col min="2562" max="2562" width="11.875" style="177" customWidth="1"/>
    <col min="2563" max="2563" width="9.625" style="177" customWidth="1"/>
    <col min="2564" max="2564" width="8.375" style="177" customWidth="1"/>
    <col min="2565" max="2565" width="9.5" style="177" customWidth="1"/>
    <col min="2566" max="2566" width="9.875" style="177" customWidth="1"/>
    <col min="2567" max="2568" width="10.25" style="177" customWidth="1"/>
    <col min="2569" max="2569" width="7.625" style="177" customWidth="1"/>
    <col min="2570" max="2570" width="11.375" style="177" customWidth="1"/>
    <col min="2571" max="2571" width="9.5" style="177" customWidth="1"/>
    <col min="2572" max="2572" width="9" style="177"/>
    <col min="2573" max="2573" width="10.5" style="177" customWidth="1"/>
    <col min="2574" max="2574" width="14.625" style="177" customWidth="1"/>
    <col min="2575" max="2816" width="9" style="177"/>
    <col min="2817" max="2817" width="20.625" style="177" customWidth="1"/>
    <col min="2818" max="2818" width="11.875" style="177" customWidth="1"/>
    <col min="2819" max="2819" width="9.625" style="177" customWidth="1"/>
    <col min="2820" max="2820" width="8.375" style="177" customWidth="1"/>
    <col min="2821" max="2821" width="9.5" style="177" customWidth="1"/>
    <col min="2822" max="2822" width="9.875" style="177" customWidth="1"/>
    <col min="2823" max="2824" width="10.25" style="177" customWidth="1"/>
    <col min="2825" max="2825" width="7.625" style="177" customWidth="1"/>
    <col min="2826" max="2826" width="11.375" style="177" customWidth="1"/>
    <col min="2827" max="2827" width="9.5" style="177" customWidth="1"/>
    <col min="2828" max="2828" width="9" style="177"/>
    <col min="2829" max="2829" width="10.5" style="177" customWidth="1"/>
    <col min="2830" max="2830" width="14.625" style="177" customWidth="1"/>
    <col min="2831" max="3072" width="9" style="177"/>
    <col min="3073" max="3073" width="20.625" style="177" customWidth="1"/>
    <col min="3074" max="3074" width="11.875" style="177" customWidth="1"/>
    <col min="3075" max="3075" width="9.625" style="177" customWidth="1"/>
    <col min="3076" max="3076" width="8.375" style="177" customWidth="1"/>
    <col min="3077" max="3077" width="9.5" style="177" customWidth="1"/>
    <col min="3078" max="3078" width="9.875" style="177" customWidth="1"/>
    <col min="3079" max="3080" width="10.25" style="177" customWidth="1"/>
    <col min="3081" max="3081" width="7.625" style="177" customWidth="1"/>
    <col min="3082" max="3082" width="11.375" style="177" customWidth="1"/>
    <col min="3083" max="3083" width="9.5" style="177" customWidth="1"/>
    <col min="3084" max="3084" width="9" style="177"/>
    <col min="3085" max="3085" width="10.5" style="177" customWidth="1"/>
    <col min="3086" max="3086" width="14.625" style="177" customWidth="1"/>
    <col min="3087" max="3328" width="9" style="177"/>
    <col min="3329" max="3329" width="20.625" style="177" customWidth="1"/>
    <col min="3330" max="3330" width="11.875" style="177" customWidth="1"/>
    <col min="3331" max="3331" width="9.625" style="177" customWidth="1"/>
    <col min="3332" max="3332" width="8.375" style="177" customWidth="1"/>
    <col min="3333" max="3333" width="9.5" style="177" customWidth="1"/>
    <col min="3334" max="3334" width="9.875" style="177" customWidth="1"/>
    <col min="3335" max="3336" width="10.25" style="177" customWidth="1"/>
    <col min="3337" max="3337" width="7.625" style="177" customWidth="1"/>
    <col min="3338" max="3338" width="11.375" style="177" customWidth="1"/>
    <col min="3339" max="3339" width="9.5" style="177" customWidth="1"/>
    <col min="3340" max="3340" width="9" style="177"/>
    <col min="3341" max="3341" width="10.5" style="177" customWidth="1"/>
    <col min="3342" max="3342" width="14.625" style="177" customWidth="1"/>
    <col min="3343" max="3584" width="9" style="177"/>
    <col min="3585" max="3585" width="20.625" style="177" customWidth="1"/>
    <col min="3586" max="3586" width="11.875" style="177" customWidth="1"/>
    <col min="3587" max="3587" width="9.625" style="177" customWidth="1"/>
    <col min="3588" max="3588" width="8.375" style="177" customWidth="1"/>
    <col min="3589" max="3589" width="9.5" style="177" customWidth="1"/>
    <col min="3590" max="3590" width="9.875" style="177" customWidth="1"/>
    <col min="3591" max="3592" width="10.25" style="177" customWidth="1"/>
    <col min="3593" max="3593" width="7.625" style="177" customWidth="1"/>
    <col min="3594" max="3594" width="11.375" style="177" customWidth="1"/>
    <col min="3595" max="3595" width="9.5" style="177" customWidth="1"/>
    <col min="3596" max="3596" width="9" style="177"/>
    <col min="3597" max="3597" width="10.5" style="177" customWidth="1"/>
    <col min="3598" max="3598" width="14.625" style="177" customWidth="1"/>
    <col min="3599" max="3840" width="9" style="177"/>
    <col min="3841" max="3841" width="20.625" style="177" customWidth="1"/>
    <col min="3842" max="3842" width="11.875" style="177" customWidth="1"/>
    <col min="3843" max="3843" width="9.625" style="177" customWidth="1"/>
    <col min="3844" max="3844" width="8.375" style="177" customWidth="1"/>
    <col min="3845" max="3845" width="9.5" style="177" customWidth="1"/>
    <col min="3846" max="3846" width="9.875" style="177" customWidth="1"/>
    <col min="3847" max="3848" width="10.25" style="177" customWidth="1"/>
    <col min="3849" max="3849" width="7.625" style="177" customWidth="1"/>
    <col min="3850" max="3850" width="11.375" style="177" customWidth="1"/>
    <col min="3851" max="3851" width="9.5" style="177" customWidth="1"/>
    <col min="3852" max="3852" width="9" style="177"/>
    <col min="3853" max="3853" width="10.5" style="177" customWidth="1"/>
    <col min="3854" max="3854" width="14.625" style="177" customWidth="1"/>
    <col min="3855" max="4096" width="9" style="177"/>
    <col min="4097" max="4097" width="20.625" style="177" customWidth="1"/>
    <col min="4098" max="4098" width="11.875" style="177" customWidth="1"/>
    <col min="4099" max="4099" width="9.625" style="177" customWidth="1"/>
    <col min="4100" max="4100" width="8.375" style="177" customWidth="1"/>
    <col min="4101" max="4101" width="9.5" style="177" customWidth="1"/>
    <col min="4102" max="4102" width="9.875" style="177" customWidth="1"/>
    <col min="4103" max="4104" width="10.25" style="177" customWidth="1"/>
    <col min="4105" max="4105" width="7.625" style="177" customWidth="1"/>
    <col min="4106" max="4106" width="11.375" style="177" customWidth="1"/>
    <col min="4107" max="4107" width="9.5" style="177" customWidth="1"/>
    <col min="4108" max="4108" width="9" style="177"/>
    <col min="4109" max="4109" width="10.5" style="177" customWidth="1"/>
    <col min="4110" max="4110" width="14.625" style="177" customWidth="1"/>
    <col min="4111" max="4352" width="9" style="177"/>
    <col min="4353" max="4353" width="20.625" style="177" customWidth="1"/>
    <col min="4354" max="4354" width="11.875" style="177" customWidth="1"/>
    <col min="4355" max="4355" width="9.625" style="177" customWidth="1"/>
    <col min="4356" max="4356" width="8.375" style="177" customWidth="1"/>
    <col min="4357" max="4357" width="9.5" style="177" customWidth="1"/>
    <col min="4358" max="4358" width="9.875" style="177" customWidth="1"/>
    <col min="4359" max="4360" width="10.25" style="177" customWidth="1"/>
    <col min="4361" max="4361" width="7.625" style="177" customWidth="1"/>
    <col min="4362" max="4362" width="11.375" style="177" customWidth="1"/>
    <col min="4363" max="4363" width="9.5" style="177" customWidth="1"/>
    <col min="4364" max="4364" width="9" style="177"/>
    <col min="4365" max="4365" width="10.5" style="177" customWidth="1"/>
    <col min="4366" max="4366" width="14.625" style="177" customWidth="1"/>
    <col min="4367" max="4608" width="9" style="177"/>
    <col min="4609" max="4609" width="20.625" style="177" customWidth="1"/>
    <col min="4610" max="4610" width="11.875" style="177" customWidth="1"/>
    <col min="4611" max="4611" width="9.625" style="177" customWidth="1"/>
    <col min="4612" max="4612" width="8.375" style="177" customWidth="1"/>
    <col min="4613" max="4613" width="9.5" style="177" customWidth="1"/>
    <col min="4614" max="4614" width="9.875" style="177" customWidth="1"/>
    <col min="4615" max="4616" width="10.25" style="177" customWidth="1"/>
    <col min="4617" max="4617" width="7.625" style="177" customWidth="1"/>
    <col min="4618" max="4618" width="11.375" style="177" customWidth="1"/>
    <col min="4619" max="4619" width="9.5" style="177" customWidth="1"/>
    <col min="4620" max="4620" width="9" style="177"/>
    <col min="4621" max="4621" width="10.5" style="177" customWidth="1"/>
    <col min="4622" max="4622" width="14.625" style="177" customWidth="1"/>
    <col min="4623" max="4864" width="9" style="177"/>
    <col min="4865" max="4865" width="20.625" style="177" customWidth="1"/>
    <col min="4866" max="4866" width="11.875" style="177" customWidth="1"/>
    <col min="4867" max="4867" width="9.625" style="177" customWidth="1"/>
    <col min="4868" max="4868" width="8.375" style="177" customWidth="1"/>
    <col min="4869" max="4869" width="9.5" style="177" customWidth="1"/>
    <col min="4870" max="4870" width="9.875" style="177" customWidth="1"/>
    <col min="4871" max="4872" width="10.25" style="177" customWidth="1"/>
    <col min="4873" max="4873" width="7.625" style="177" customWidth="1"/>
    <col min="4874" max="4874" width="11.375" style="177" customWidth="1"/>
    <col min="4875" max="4875" width="9.5" style="177" customWidth="1"/>
    <col min="4876" max="4876" width="9" style="177"/>
    <col min="4877" max="4877" width="10.5" style="177" customWidth="1"/>
    <col min="4878" max="4878" width="14.625" style="177" customWidth="1"/>
    <col min="4879" max="5120" width="9" style="177"/>
    <col min="5121" max="5121" width="20.625" style="177" customWidth="1"/>
    <col min="5122" max="5122" width="11.875" style="177" customWidth="1"/>
    <col min="5123" max="5123" width="9.625" style="177" customWidth="1"/>
    <col min="5124" max="5124" width="8.375" style="177" customWidth="1"/>
    <col min="5125" max="5125" width="9.5" style="177" customWidth="1"/>
    <col min="5126" max="5126" width="9.875" style="177" customWidth="1"/>
    <col min="5127" max="5128" width="10.25" style="177" customWidth="1"/>
    <col min="5129" max="5129" width="7.625" style="177" customWidth="1"/>
    <col min="5130" max="5130" width="11.375" style="177" customWidth="1"/>
    <col min="5131" max="5131" width="9.5" style="177" customWidth="1"/>
    <col min="5132" max="5132" width="9" style="177"/>
    <col min="5133" max="5133" width="10.5" style="177" customWidth="1"/>
    <col min="5134" max="5134" width="14.625" style="177" customWidth="1"/>
    <col min="5135" max="5376" width="9" style="177"/>
    <col min="5377" max="5377" width="20.625" style="177" customWidth="1"/>
    <col min="5378" max="5378" width="11.875" style="177" customWidth="1"/>
    <col min="5379" max="5379" width="9.625" style="177" customWidth="1"/>
    <col min="5380" max="5380" width="8.375" style="177" customWidth="1"/>
    <col min="5381" max="5381" width="9.5" style="177" customWidth="1"/>
    <col min="5382" max="5382" width="9.875" style="177" customWidth="1"/>
    <col min="5383" max="5384" width="10.25" style="177" customWidth="1"/>
    <col min="5385" max="5385" width="7.625" style="177" customWidth="1"/>
    <col min="5386" max="5386" width="11.375" style="177" customWidth="1"/>
    <col min="5387" max="5387" width="9.5" style="177" customWidth="1"/>
    <col min="5388" max="5388" width="9" style="177"/>
    <col min="5389" max="5389" width="10.5" style="177" customWidth="1"/>
    <col min="5390" max="5390" width="14.625" style="177" customWidth="1"/>
    <col min="5391" max="5632" width="9" style="177"/>
    <col min="5633" max="5633" width="20.625" style="177" customWidth="1"/>
    <col min="5634" max="5634" width="11.875" style="177" customWidth="1"/>
    <col min="5635" max="5635" width="9.625" style="177" customWidth="1"/>
    <col min="5636" max="5636" width="8.375" style="177" customWidth="1"/>
    <col min="5637" max="5637" width="9.5" style="177" customWidth="1"/>
    <col min="5638" max="5638" width="9.875" style="177" customWidth="1"/>
    <col min="5639" max="5640" width="10.25" style="177" customWidth="1"/>
    <col min="5641" max="5641" width="7.625" style="177" customWidth="1"/>
    <col min="5642" max="5642" width="11.375" style="177" customWidth="1"/>
    <col min="5643" max="5643" width="9.5" style="177" customWidth="1"/>
    <col min="5644" max="5644" width="9" style="177"/>
    <col min="5645" max="5645" width="10.5" style="177" customWidth="1"/>
    <col min="5646" max="5646" width="14.625" style="177" customWidth="1"/>
    <col min="5647" max="5888" width="9" style="177"/>
    <col min="5889" max="5889" width="20.625" style="177" customWidth="1"/>
    <col min="5890" max="5890" width="11.875" style="177" customWidth="1"/>
    <col min="5891" max="5891" width="9.625" style="177" customWidth="1"/>
    <col min="5892" max="5892" width="8.375" style="177" customWidth="1"/>
    <col min="5893" max="5893" width="9.5" style="177" customWidth="1"/>
    <col min="5894" max="5894" width="9.875" style="177" customWidth="1"/>
    <col min="5895" max="5896" width="10.25" style="177" customWidth="1"/>
    <col min="5897" max="5897" width="7.625" style="177" customWidth="1"/>
    <col min="5898" max="5898" width="11.375" style="177" customWidth="1"/>
    <col min="5899" max="5899" width="9.5" style="177" customWidth="1"/>
    <col min="5900" max="5900" width="9" style="177"/>
    <col min="5901" max="5901" width="10.5" style="177" customWidth="1"/>
    <col min="5902" max="5902" width="14.625" style="177" customWidth="1"/>
    <col min="5903" max="6144" width="9" style="177"/>
    <col min="6145" max="6145" width="20.625" style="177" customWidth="1"/>
    <col min="6146" max="6146" width="11.875" style="177" customWidth="1"/>
    <col min="6147" max="6147" width="9.625" style="177" customWidth="1"/>
    <col min="6148" max="6148" width="8.375" style="177" customWidth="1"/>
    <col min="6149" max="6149" width="9.5" style="177" customWidth="1"/>
    <col min="6150" max="6150" width="9.875" style="177" customWidth="1"/>
    <col min="6151" max="6152" width="10.25" style="177" customWidth="1"/>
    <col min="6153" max="6153" width="7.625" style="177" customWidth="1"/>
    <col min="6154" max="6154" width="11.375" style="177" customWidth="1"/>
    <col min="6155" max="6155" width="9.5" style="177" customWidth="1"/>
    <col min="6156" max="6156" width="9" style="177"/>
    <col min="6157" max="6157" width="10.5" style="177" customWidth="1"/>
    <col min="6158" max="6158" width="14.625" style="177" customWidth="1"/>
    <col min="6159" max="6400" width="9" style="177"/>
    <col min="6401" max="6401" width="20.625" style="177" customWidth="1"/>
    <col min="6402" max="6402" width="11.875" style="177" customWidth="1"/>
    <col min="6403" max="6403" width="9.625" style="177" customWidth="1"/>
    <col min="6404" max="6404" width="8.375" style="177" customWidth="1"/>
    <col min="6405" max="6405" width="9.5" style="177" customWidth="1"/>
    <col min="6406" max="6406" width="9.875" style="177" customWidth="1"/>
    <col min="6407" max="6408" width="10.25" style="177" customWidth="1"/>
    <col min="6409" max="6409" width="7.625" style="177" customWidth="1"/>
    <col min="6410" max="6410" width="11.375" style="177" customWidth="1"/>
    <col min="6411" max="6411" width="9.5" style="177" customWidth="1"/>
    <col min="6412" max="6412" width="9" style="177"/>
    <col min="6413" max="6413" width="10.5" style="177" customWidth="1"/>
    <col min="6414" max="6414" width="14.625" style="177" customWidth="1"/>
    <col min="6415" max="6656" width="9" style="177"/>
    <col min="6657" max="6657" width="20.625" style="177" customWidth="1"/>
    <col min="6658" max="6658" width="11.875" style="177" customWidth="1"/>
    <col min="6659" max="6659" width="9.625" style="177" customWidth="1"/>
    <col min="6660" max="6660" width="8.375" style="177" customWidth="1"/>
    <col min="6661" max="6661" width="9.5" style="177" customWidth="1"/>
    <col min="6662" max="6662" width="9.875" style="177" customWidth="1"/>
    <col min="6663" max="6664" width="10.25" style="177" customWidth="1"/>
    <col min="6665" max="6665" width="7.625" style="177" customWidth="1"/>
    <col min="6666" max="6666" width="11.375" style="177" customWidth="1"/>
    <col min="6667" max="6667" width="9.5" style="177" customWidth="1"/>
    <col min="6668" max="6668" width="9" style="177"/>
    <col min="6669" max="6669" width="10.5" style="177" customWidth="1"/>
    <col min="6670" max="6670" width="14.625" style="177" customWidth="1"/>
    <col min="6671" max="6912" width="9" style="177"/>
    <col min="6913" max="6913" width="20.625" style="177" customWidth="1"/>
    <col min="6914" max="6914" width="11.875" style="177" customWidth="1"/>
    <col min="6915" max="6915" width="9.625" style="177" customWidth="1"/>
    <col min="6916" max="6916" width="8.375" style="177" customWidth="1"/>
    <col min="6917" max="6917" width="9.5" style="177" customWidth="1"/>
    <col min="6918" max="6918" width="9.875" style="177" customWidth="1"/>
    <col min="6919" max="6920" width="10.25" style="177" customWidth="1"/>
    <col min="6921" max="6921" width="7.625" style="177" customWidth="1"/>
    <col min="6922" max="6922" width="11.375" style="177" customWidth="1"/>
    <col min="6923" max="6923" width="9.5" style="177" customWidth="1"/>
    <col min="6924" max="6924" width="9" style="177"/>
    <col min="6925" max="6925" width="10.5" style="177" customWidth="1"/>
    <col min="6926" max="6926" width="14.625" style="177" customWidth="1"/>
    <col min="6927" max="7168" width="9" style="177"/>
    <col min="7169" max="7169" width="20.625" style="177" customWidth="1"/>
    <col min="7170" max="7170" width="11.875" style="177" customWidth="1"/>
    <col min="7171" max="7171" width="9.625" style="177" customWidth="1"/>
    <col min="7172" max="7172" width="8.375" style="177" customWidth="1"/>
    <col min="7173" max="7173" width="9.5" style="177" customWidth="1"/>
    <col min="7174" max="7174" width="9.875" style="177" customWidth="1"/>
    <col min="7175" max="7176" width="10.25" style="177" customWidth="1"/>
    <col min="7177" max="7177" width="7.625" style="177" customWidth="1"/>
    <col min="7178" max="7178" width="11.375" style="177" customWidth="1"/>
    <col min="7179" max="7179" width="9.5" style="177" customWidth="1"/>
    <col min="7180" max="7180" width="9" style="177"/>
    <col min="7181" max="7181" width="10.5" style="177" customWidth="1"/>
    <col min="7182" max="7182" width="14.625" style="177" customWidth="1"/>
    <col min="7183" max="7424" width="9" style="177"/>
    <col min="7425" max="7425" width="20.625" style="177" customWidth="1"/>
    <col min="7426" max="7426" width="11.875" style="177" customWidth="1"/>
    <col min="7427" max="7427" width="9.625" style="177" customWidth="1"/>
    <col min="7428" max="7428" width="8.375" style="177" customWidth="1"/>
    <col min="7429" max="7429" width="9.5" style="177" customWidth="1"/>
    <col min="7430" max="7430" width="9.875" style="177" customWidth="1"/>
    <col min="7431" max="7432" width="10.25" style="177" customWidth="1"/>
    <col min="7433" max="7433" width="7.625" style="177" customWidth="1"/>
    <col min="7434" max="7434" width="11.375" style="177" customWidth="1"/>
    <col min="7435" max="7435" width="9.5" style="177" customWidth="1"/>
    <col min="7436" max="7436" width="9" style="177"/>
    <col min="7437" max="7437" width="10.5" style="177" customWidth="1"/>
    <col min="7438" max="7438" width="14.625" style="177" customWidth="1"/>
    <col min="7439" max="7680" width="9" style="177"/>
    <col min="7681" max="7681" width="20.625" style="177" customWidth="1"/>
    <col min="7682" max="7682" width="11.875" style="177" customWidth="1"/>
    <col min="7683" max="7683" width="9.625" style="177" customWidth="1"/>
    <col min="7684" max="7684" width="8.375" style="177" customWidth="1"/>
    <col min="7685" max="7685" width="9.5" style="177" customWidth="1"/>
    <col min="7686" max="7686" width="9.875" style="177" customWidth="1"/>
    <col min="7687" max="7688" width="10.25" style="177" customWidth="1"/>
    <col min="7689" max="7689" width="7.625" style="177" customWidth="1"/>
    <col min="7690" max="7690" width="11.375" style="177" customWidth="1"/>
    <col min="7691" max="7691" width="9.5" style="177" customWidth="1"/>
    <col min="7692" max="7692" width="9" style="177"/>
    <col min="7693" max="7693" width="10.5" style="177" customWidth="1"/>
    <col min="7694" max="7694" width="14.625" style="177" customWidth="1"/>
    <col min="7695" max="7936" width="9" style="177"/>
    <col min="7937" max="7937" width="20.625" style="177" customWidth="1"/>
    <col min="7938" max="7938" width="11.875" style="177" customWidth="1"/>
    <col min="7939" max="7939" width="9.625" style="177" customWidth="1"/>
    <col min="7940" max="7940" width="8.375" style="177" customWidth="1"/>
    <col min="7941" max="7941" width="9.5" style="177" customWidth="1"/>
    <col min="7942" max="7942" width="9.875" style="177" customWidth="1"/>
    <col min="7943" max="7944" width="10.25" style="177" customWidth="1"/>
    <col min="7945" max="7945" width="7.625" style="177" customWidth="1"/>
    <col min="7946" max="7946" width="11.375" style="177" customWidth="1"/>
    <col min="7947" max="7947" width="9.5" style="177" customWidth="1"/>
    <col min="7948" max="7948" width="9" style="177"/>
    <col min="7949" max="7949" width="10.5" style="177" customWidth="1"/>
    <col min="7950" max="7950" width="14.625" style="177" customWidth="1"/>
    <col min="7951" max="8192" width="9" style="177"/>
    <col min="8193" max="8193" width="20.625" style="177" customWidth="1"/>
    <col min="8194" max="8194" width="11.875" style="177" customWidth="1"/>
    <col min="8195" max="8195" width="9.625" style="177" customWidth="1"/>
    <col min="8196" max="8196" width="8.375" style="177" customWidth="1"/>
    <col min="8197" max="8197" width="9.5" style="177" customWidth="1"/>
    <col min="8198" max="8198" width="9.875" style="177" customWidth="1"/>
    <col min="8199" max="8200" width="10.25" style="177" customWidth="1"/>
    <col min="8201" max="8201" width="7.625" style="177" customWidth="1"/>
    <col min="8202" max="8202" width="11.375" style="177" customWidth="1"/>
    <col min="8203" max="8203" width="9.5" style="177" customWidth="1"/>
    <col min="8204" max="8204" width="9" style="177"/>
    <col min="8205" max="8205" width="10.5" style="177" customWidth="1"/>
    <col min="8206" max="8206" width="14.625" style="177" customWidth="1"/>
    <col min="8207" max="8448" width="9" style="177"/>
    <col min="8449" max="8449" width="20.625" style="177" customWidth="1"/>
    <col min="8450" max="8450" width="11.875" style="177" customWidth="1"/>
    <col min="8451" max="8451" width="9.625" style="177" customWidth="1"/>
    <col min="8452" max="8452" width="8.375" style="177" customWidth="1"/>
    <col min="8453" max="8453" width="9.5" style="177" customWidth="1"/>
    <col min="8454" max="8454" width="9.875" style="177" customWidth="1"/>
    <col min="8455" max="8456" width="10.25" style="177" customWidth="1"/>
    <col min="8457" max="8457" width="7.625" style="177" customWidth="1"/>
    <col min="8458" max="8458" width="11.375" style="177" customWidth="1"/>
    <col min="8459" max="8459" width="9.5" style="177" customWidth="1"/>
    <col min="8460" max="8460" width="9" style="177"/>
    <col min="8461" max="8461" width="10.5" style="177" customWidth="1"/>
    <col min="8462" max="8462" width="14.625" style="177" customWidth="1"/>
    <col min="8463" max="8704" width="9" style="177"/>
    <col min="8705" max="8705" width="20.625" style="177" customWidth="1"/>
    <col min="8706" max="8706" width="11.875" style="177" customWidth="1"/>
    <col min="8707" max="8707" width="9.625" style="177" customWidth="1"/>
    <col min="8708" max="8708" width="8.375" style="177" customWidth="1"/>
    <col min="8709" max="8709" width="9.5" style="177" customWidth="1"/>
    <col min="8710" max="8710" width="9.875" style="177" customWidth="1"/>
    <col min="8711" max="8712" width="10.25" style="177" customWidth="1"/>
    <col min="8713" max="8713" width="7.625" style="177" customWidth="1"/>
    <col min="8714" max="8714" width="11.375" style="177" customWidth="1"/>
    <col min="8715" max="8715" width="9.5" style="177" customWidth="1"/>
    <col min="8716" max="8716" width="9" style="177"/>
    <col min="8717" max="8717" width="10.5" style="177" customWidth="1"/>
    <col min="8718" max="8718" width="14.625" style="177" customWidth="1"/>
    <col min="8719" max="8960" width="9" style="177"/>
    <col min="8961" max="8961" width="20.625" style="177" customWidth="1"/>
    <col min="8962" max="8962" width="11.875" style="177" customWidth="1"/>
    <col min="8963" max="8963" width="9.625" style="177" customWidth="1"/>
    <col min="8964" max="8964" width="8.375" style="177" customWidth="1"/>
    <col min="8965" max="8965" width="9.5" style="177" customWidth="1"/>
    <col min="8966" max="8966" width="9.875" style="177" customWidth="1"/>
    <col min="8967" max="8968" width="10.25" style="177" customWidth="1"/>
    <col min="8969" max="8969" width="7.625" style="177" customWidth="1"/>
    <col min="8970" max="8970" width="11.375" style="177" customWidth="1"/>
    <col min="8971" max="8971" width="9.5" style="177" customWidth="1"/>
    <col min="8972" max="8972" width="9" style="177"/>
    <col min="8973" max="8973" width="10.5" style="177" customWidth="1"/>
    <col min="8974" max="8974" width="14.625" style="177" customWidth="1"/>
    <col min="8975" max="9216" width="9" style="177"/>
    <col min="9217" max="9217" width="20.625" style="177" customWidth="1"/>
    <col min="9218" max="9218" width="11.875" style="177" customWidth="1"/>
    <col min="9219" max="9219" width="9.625" style="177" customWidth="1"/>
    <col min="9220" max="9220" width="8.375" style="177" customWidth="1"/>
    <col min="9221" max="9221" width="9.5" style="177" customWidth="1"/>
    <col min="9222" max="9222" width="9.875" style="177" customWidth="1"/>
    <col min="9223" max="9224" width="10.25" style="177" customWidth="1"/>
    <col min="9225" max="9225" width="7.625" style="177" customWidth="1"/>
    <col min="9226" max="9226" width="11.375" style="177" customWidth="1"/>
    <col min="9227" max="9227" width="9.5" style="177" customWidth="1"/>
    <col min="9228" max="9228" width="9" style="177"/>
    <col min="9229" max="9229" width="10.5" style="177" customWidth="1"/>
    <col min="9230" max="9230" width="14.625" style="177" customWidth="1"/>
    <col min="9231" max="9472" width="9" style="177"/>
    <col min="9473" max="9473" width="20.625" style="177" customWidth="1"/>
    <col min="9474" max="9474" width="11.875" style="177" customWidth="1"/>
    <col min="9475" max="9475" width="9.625" style="177" customWidth="1"/>
    <col min="9476" max="9476" width="8.375" style="177" customWidth="1"/>
    <col min="9477" max="9477" width="9.5" style="177" customWidth="1"/>
    <col min="9478" max="9478" width="9.875" style="177" customWidth="1"/>
    <col min="9479" max="9480" width="10.25" style="177" customWidth="1"/>
    <col min="9481" max="9481" width="7.625" style="177" customWidth="1"/>
    <col min="9482" max="9482" width="11.375" style="177" customWidth="1"/>
    <col min="9483" max="9483" width="9.5" style="177" customWidth="1"/>
    <col min="9484" max="9484" width="9" style="177"/>
    <col min="9485" max="9485" width="10.5" style="177" customWidth="1"/>
    <col min="9486" max="9486" width="14.625" style="177" customWidth="1"/>
    <col min="9487" max="9728" width="9" style="177"/>
    <col min="9729" max="9729" width="20.625" style="177" customWidth="1"/>
    <col min="9730" max="9730" width="11.875" style="177" customWidth="1"/>
    <col min="9731" max="9731" width="9.625" style="177" customWidth="1"/>
    <col min="9732" max="9732" width="8.375" style="177" customWidth="1"/>
    <col min="9733" max="9733" width="9.5" style="177" customWidth="1"/>
    <col min="9734" max="9734" width="9.875" style="177" customWidth="1"/>
    <col min="9735" max="9736" width="10.25" style="177" customWidth="1"/>
    <col min="9737" max="9737" width="7.625" style="177" customWidth="1"/>
    <col min="9738" max="9738" width="11.375" style="177" customWidth="1"/>
    <col min="9739" max="9739" width="9.5" style="177" customWidth="1"/>
    <col min="9740" max="9740" width="9" style="177"/>
    <col min="9741" max="9741" width="10.5" style="177" customWidth="1"/>
    <col min="9742" max="9742" width="14.625" style="177" customWidth="1"/>
    <col min="9743" max="9984" width="9" style="177"/>
    <col min="9985" max="9985" width="20.625" style="177" customWidth="1"/>
    <col min="9986" max="9986" width="11.875" style="177" customWidth="1"/>
    <col min="9987" max="9987" width="9.625" style="177" customWidth="1"/>
    <col min="9988" max="9988" width="8.375" style="177" customWidth="1"/>
    <col min="9989" max="9989" width="9.5" style="177" customWidth="1"/>
    <col min="9990" max="9990" width="9.875" style="177" customWidth="1"/>
    <col min="9991" max="9992" width="10.25" style="177" customWidth="1"/>
    <col min="9993" max="9993" width="7.625" style="177" customWidth="1"/>
    <col min="9994" max="9994" width="11.375" style="177" customWidth="1"/>
    <col min="9995" max="9995" width="9.5" style="177" customWidth="1"/>
    <col min="9996" max="9996" width="9" style="177"/>
    <col min="9997" max="9997" width="10.5" style="177" customWidth="1"/>
    <col min="9998" max="9998" width="14.625" style="177" customWidth="1"/>
    <col min="9999" max="10240" width="9" style="177"/>
    <col min="10241" max="10241" width="20.625" style="177" customWidth="1"/>
    <col min="10242" max="10242" width="11.875" style="177" customWidth="1"/>
    <col min="10243" max="10243" width="9.625" style="177" customWidth="1"/>
    <col min="10244" max="10244" width="8.375" style="177" customWidth="1"/>
    <col min="10245" max="10245" width="9.5" style="177" customWidth="1"/>
    <col min="10246" max="10246" width="9.875" style="177" customWidth="1"/>
    <col min="10247" max="10248" width="10.25" style="177" customWidth="1"/>
    <col min="10249" max="10249" width="7.625" style="177" customWidth="1"/>
    <col min="10250" max="10250" width="11.375" style="177" customWidth="1"/>
    <col min="10251" max="10251" width="9.5" style="177" customWidth="1"/>
    <col min="10252" max="10252" width="9" style="177"/>
    <col min="10253" max="10253" width="10.5" style="177" customWidth="1"/>
    <col min="10254" max="10254" width="14.625" style="177" customWidth="1"/>
    <col min="10255" max="10496" width="9" style="177"/>
    <col min="10497" max="10497" width="20.625" style="177" customWidth="1"/>
    <col min="10498" max="10498" width="11.875" style="177" customWidth="1"/>
    <col min="10499" max="10499" width="9.625" style="177" customWidth="1"/>
    <col min="10500" max="10500" width="8.375" style="177" customWidth="1"/>
    <col min="10501" max="10501" width="9.5" style="177" customWidth="1"/>
    <col min="10502" max="10502" width="9.875" style="177" customWidth="1"/>
    <col min="10503" max="10504" width="10.25" style="177" customWidth="1"/>
    <col min="10505" max="10505" width="7.625" style="177" customWidth="1"/>
    <col min="10506" max="10506" width="11.375" style="177" customWidth="1"/>
    <col min="10507" max="10507" width="9.5" style="177" customWidth="1"/>
    <col min="10508" max="10508" width="9" style="177"/>
    <col min="10509" max="10509" width="10.5" style="177" customWidth="1"/>
    <col min="10510" max="10510" width="14.625" style="177" customWidth="1"/>
    <col min="10511" max="10752" width="9" style="177"/>
    <col min="10753" max="10753" width="20.625" style="177" customWidth="1"/>
    <col min="10754" max="10754" width="11.875" style="177" customWidth="1"/>
    <col min="10755" max="10755" width="9.625" style="177" customWidth="1"/>
    <col min="10756" max="10756" width="8.375" style="177" customWidth="1"/>
    <col min="10757" max="10757" width="9.5" style="177" customWidth="1"/>
    <col min="10758" max="10758" width="9.875" style="177" customWidth="1"/>
    <col min="10759" max="10760" width="10.25" style="177" customWidth="1"/>
    <col min="10761" max="10761" width="7.625" style="177" customWidth="1"/>
    <col min="10762" max="10762" width="11.375" style="177" customWidth="1"/>
    <col min="10763" max="10763" width="9.5" style="177" customWidth="1"/>
    <col min="10764" max="10764" width="9" style="177"/>
    <col min="10765" max="10765" width="10.5" style="177" customWidth="1"/>
    <col min="10766" max="10766" width="14.625" style="177" customWidth="1"/>
    <col min="10767" max="11008" width="9" style="177"/>
    <col min="11009" max="11009" width="20.625" style="177" customWidth="1"/>
    <col min="11010" max="11010" width="11.875" style="177" customWidth="1"/>
    <col min="11011" max="11011" width="9.625" style="177" customWidth="1"/>
    <col min="11012" max="11012" width="8.375" style="177" customWidth="1"/>
    <col min="11013" max="11013" width="9.5" style="177" customWidth="1"/>
    <col min="11014" max="11014" width="9.875" style="177" customWidth="1"/>
    <col min="11015" max="11016" width="10.25" style="177" customWidth="1"/>
    <col min="11017" max="11017" width="7.625" style="177" customWidth="1"/>
    <col min="11018" max="11018" width="11.375" style="177" customWidth="1"/>
    <col min="11019" max="11019" width="9.5" style="177" customWidth="1"/>
    <col min="11020" max="11020" width="9" style="177"/>
    <col min="11021" max="11021" width="10.5" style="177" customWidth="1"/>
    <col min="11022" max="11022" width="14.625" style="177" customWidth="1"/>
    <col min="11023" max="11264" width="9" style="177"/>
    <col min="11265" max="11265" width="20.625" style="177" customWidth="1"/>
    <col min="11266" max="11266" width="11.875" style="177" customWidth="1"/>
    <col min="11267" max="11267" width="9.625" style="177" customWidth="1"/>
    <col min="11268" max="11268" width="8.375" style="177" customWidth="1"/>
    <col min="11269" max="11269" width="9.5" style="177" customWidth="1"/>
    <col min="11270" max="11270" width="9.875" style="177" customWidth="1"/>
    <col min="11271" max="11272" width="10.25" style="177" customWidth="1"/>
    <col min="11273" max="11273" width="7.625" style="177" customWidth="1"/>
    <col min="11274" max="11274" width="11.375" style="177" customWidth="1"/>
    <col min="11275" max="11275" width="9.5" style="177" customWidth="1"/>
    <col min="11276" max="11276" width="9" style="177"/>
    <col min="11277" max="11277" width="10.5" style="177" customWidth="1"/>
    <col min="11278" max="11278" width="14.625" style="177" customWidth="1"/>
    <col min="11279" max="11520" width="9" style="177"/>
    <col min="11521" max="11521" width="20.625" style="177" customWidth="1"/>
    <col min="11522" max="11522" width="11.875" style="177" customWidth="1"/>
    <col min="11523" max="11523" width="9.625" style="177" customWidth="1"/>
    <col min="11524" max="11524" width="8.375" style="177" customWidth="1"/>
    <col min="11525" max="11525" width="9.5" style="177" customWidth="1"/>
    <col min="11526" max="11526" width="9.875" style="177" customWidth="1"/>
    <col min="11527" max="11528" width="10.25" style="177" customWidth="1"/>
    <col min="11529" max="11529" width="7.625" style="177" customWidth="1"/>
    <col min="11530" max="11530" width="11.375" style="177" customWidth="1"/>
    <col min="11531" max="11531" width="9.5" style="177" customWidth="1"/>
    <col min="11532" max="11532" width="9" style="177"/>
    <col min="11533" max="11533" width="10.5" style="177" customWidth="1"/>
    <col min="11534" max="11534" width="14.625" style="177" customWidth="1"/>
    <col min="11535" max="11776" width="9" style="177"/>
    <col min="11777" max="11777" width="20.625" style="177" customWidth="1"/>
    <col min="11778" max="11778" width="11.875" style="177" customWidth="1"/>
    <col min="11779" max="11779" width="9.625" style="177" customWidth="1"/>
    <col min="11780" max="11780" width="8.375" style="177" customWidth="1"/>
    <col min="11781" max="11781" width="9.5" style="177" customWidth="1"/>
    <col min="11782" max="11782" width="9.875" style="177" customWidth="1"/>
    <col min="11783" max="11784" width="10.25" style="177" customWidth="1"/>
    <col min="11785" max="11785" width="7.625" style="177" customWidth="1"/>
    <col min="11786" max="11786" width="11.375" style="177" customWidth="1"/>
    <col min="11787" max="11787" width="9.5" style="177" customWidth="1"/>
    <col min="11788" max="11788" width="9" style="177"/>
    <col min="11789" max="11789" width="10.5" style="177" customWidth="1"/>
    <col min="11790" max="11790" width="14.625" style="177" customWidth="1"/>
    <col min="11791" max="12032" width="9" style="177"/>
    <col min="12033" max="12033" width="20.625" style="177" customWidth="1"/>
    <col min="12034" max="12034" width="11.875" style="177" customWidth="1"/>
    <col min="12035" max="12035" width="9.625" style="177" customWidth="1"/>
    <col min="12036" max="12036" width="8.375" style="177" customWidth="1"/>
    <col min="12037" max="12037" width="9.5" style="177" customWidth="1"/>
    <col min="12038" max="12038" width="9.875" style="177" customWidth="1"/>
    <col min="12039" max="12040" width="10.25" style="177" customWidth="1"/>
    <col min="12041" max="12041" width="7.625" style="177" customWidth="1"/>
    <col min="12042" max="12042" width="11.375" style="177" customWidth="1"/>
    <col min="12043" max="12043" width="9.5" style="177" customWidth="1"/>
    <col min="12044" max="12044" width="9" style="177"/>
    <col min="12045" max="12045" width="10.5" style="177" customWidth="1"/>
    <col min="12046" max="12046" width="14.625" style="177" customWidth="1"/>
    <col min="12047" max="12288" width="9" style="177"/>
    <col min="12289" max="12289" width="20.625" style="177" customWidth="1"/>
    <col min="12290" max="12290" width="11.875" style="177" customWidth="1"/>
    <col min="12291" max="12291" width="9.625" style="177" customWidth="1"/>
    <col min="12292" max="12292" width="8.375" style="177" customWidth="1"/>
    <col min="12293" max="12293" width="9.5" style="177" customWidth="1"/>
    <col min="12294" max="12294" width="9.875" style="177" customWidth="1"/>
    <col min="12295" max="12296" width="10.25" style="177" customWidth="1"/>
    <col min="12297" max="12297" width="7.625" style="177" customWidth="1"/>
    <col min="12298" max="12298" width="11.375" style="177" customWidth="1"/>
    <col min="12299" max="12299" width="9.5" style="177" customWidth="1"/>
    <col min="12300" max="12300" width="9" style="177"/>
    <col min="12301" max="12301" width="10.5" style="177" customWidth="1"/>
    <col min="12302" max="12302" width="14.625" style="177" customWidth="1"/>
    <col min="12303" max="12544" width="9" style="177"/>
    <col min="12545" max="12545" width="20.625" style="177" customWidth="1"/>
    <col min="12546" max="12546" width="11.875" style="177" customWidth="1"/>
    <col min="12547" max="12547" width="9.625" style="177" customWidth="1"/>
    <col min="12548" max="12548" width="8.375" style="177" customWidth="1"/>
    <col min="12549" max="12549" width="9.5" style="177" customWidth="1"/>
    <col min="12550" max="12550" width="9.875" style="177" customWidth="1"/>
    <col min="12551" max="12552" width="10.25" style="177" customWidth="1"/>
    <col min="12553" max="12553" width="7.625" style="177" customWidth="1"/>
    <col min="12554" max="12554" width="11.375" style="177" customWidth="1"/>
    <col min="12555" max="12555" width="9.5" style="177" customWidth="1"/>
    <col min="12556" max="12556" width="9" style="177"/>
    <col min="12557" max="12557" width="10.5" style="177" customWidth="1"/>
    <col min="12558" max="12558" width="14.625" style="177" customWidth="1"/>
    <col min="12559" max="12800" width="9" style="177"/>
    <col min="12801" max="12801" width="20.625" style="177" customWidth="1"/>
    <col min="12802" max="12802" width="11.875" style="177" customWidth="1"/>
    <col min="12803" max="12803" width="9.625" style="177" customWidth="1"/>
    <col min="12804" max="12804" width="8.375" style="177" customWidth="1"/>
    <col min="12805" max="12805" width="9.5" style="177" customWidth="1"/>
    <col min="12806" max="12806" width="9.875" style="177" customWidth="1"/>
    <col min="12807" max="12808" width="10.25" style="177" customWidth="1"/>
    <col min="12809" max="12809" width="7.625" style="177" customWidth="1"/>
    <col min="12810" max="12810" width="11.375" style="177" customWidth="1"/>
    <col min="12811" max="12811" width="9.5" style="177" customWidth="1"/>
    <col min="12812" max="12812" width="9" style="177"/>
    <col min="12813" max="12813" width="10.5" style="177" customWidth="1"/>
    <col min="12814" max="12814" width="14.625" style="177" customWidth="1"/>
    <col min="12815" max="13056" width="9" style="177"/>
    <col min="13057" max="13057" width="20.625" style="177" customWidth="1"/>
    <col min="13058" max="13058" width="11.875" style="177" customWidth="1"/>
    <col min="13059" max="13059" width="9.625" style="177" customWidth="1"/>
    <col min="13060" max="13060" width="8.375" style="177" customWidth="1"/>
    <col min="13061" max="13061" width="9.5" style="177" customWidth="1"/>
    <col min="13062" max="13062" width="9.875" style="177" customWidth="1"/>
    <col min="13063" max="13064" width="10.25" style="177" customWidth="1"/>
    <col min="13065" max="13065" width="7.625" style="177" customWidth="1"/>
    <col min="13066" max="13066" width="11.375" style="177" customWidth="1"/>
    <col min="13067" max="13067" width="9.5" style="177" customWidth="1"/>
    <col min="13068" max="13068" width="9" style="177"/>
    <col min="13069" max="13069" width="10.5" style="177" customWidth="1"/>
    <col min="13070" max="13070" width="14.625" style="177" customWidth="1"/>
    <col min="13071" max="13312" width="9" style="177"/>
    <col min="13313" max="13313" width="20.625" style="177" customWidth="1"/>
    <col min="13314" max="13314" width="11.875" style="177" customWidth="1"/>
    <col min="13315" max="13315" width="9.625" style="177" customWidth="1"/>
    <col min="13316" max="13316" width="8.375" style="177" customWidth="1"/>
    <col min="13317" max="13317" width="9.5" style="177" customWidth="1"/>
    <col min="13318" max="13318" width="9.875" style="177" customWidth="1"/>
    <col min="13319" max="13320" width="10.25" style="177" customWidth="1"/>
    <col min="13321" max="13321" width="7.625" style="177" customWidth="1"/>
    <col min="13322" max="13322" width="11.375" style="177" customWidth="1"/>
    <col min="13323" max="13323" width="9.5" style="177" customWidth="1"/>
    <col min="13324" max="13324" width="9" style="177"/>
    <col min="13325" max="13325" width="10.5" style="177" customWidth="1"/>
    <col min="13326" max="13326" width="14.625" style="177" customWidth="1"/>
    <col min="13327" max="13568" width="9" style="177"/>
    <col min="13569" max="13569" width="20.625" style="177" customWidth="1"/>
    <col min="13570" max="13570" width="11.875" style="177" customWidth="1"/>
    <col min="13571" max="13571" width="9.625" style="177" customWidth="1"/>
    <col min="13572" max="13572" width="8.375" style="177" customWidth="1"/>
    <col min="13573" max="13573" width="9.5" style="177" customWidth="1"/>
    <col min="13574" max="13574" width="9.875" style="177" customWidth="1"/>
    <col min="13575" max="13576" width="10.25" style="177" customWidth="1"/>
    <col min="13577" max="13577" width="7.625" style="177" customWidth="1"/>
    <col min="13578" max="13578" width="11.375" style="177" customWidth="1"/>
    <col min="13579" max="13579" width="9.5" style="177" customWidth="1"/>
    <col min="13580" max="13580" width="9" style="177"/>
    <col min="13581" max="13581" width="10.5" style="177" customWidth="1"/>
    <col min="13582" max="13582" width="14.625" style="177" customWidth="1"/>
    <col min="13583" max="13824" width="9" style="177"/>
    <col min="13825" max="13825" width="20.625" style="177" customWidth="1"/>
    <col min="13826" max="13826" width="11.875" style="177" customWidth="1"/>
    <col min="13827" max="13827" width="9.625" style="177" customWidth="1"/>
    <col min="13828" max="13828" width="8.375" style="177" customWidth="1"/>
    <col min="13829" max="13829" width="9.5" style="177" customWidth="1"/>
    <col min="13830" max="13830" width="9.875" style="177" customWidth="1"/>
    <col min="13831" max="13832" width="10.25" style="177" customWidth="1"/>
    <col min="13833" max="13833" width="7.625" style="177" customWidth="1"/>
    <col min="13834" max="13834" width="11.375" style="177" customWidth="1"/>
    <col min="13835" max="13835" width="9.5" style="177" customWidth="1"/>
    <col min="13836" max="13836" width="9" style="177"/>
    <col min="13837" max="13837" width="10.5" style="177" customWidth="1"/>
    <col min="13838" max="13838" width="14.625" style="177" customWidth="1"/>
    <col min="13839" max="14080" width="9" style="177"/>
    <col min="14081" max="14081" width="20.625" style="177" customWidth="1"/>
    <col min="14082" max="14082" width="11.875" style="177" customWidth="1"/>
    <col min="14083" max="14083" width="9.625" style="177" customWidth="1"/>
    <col min="14084" max="14084" width="8.375" style="177" customWidth="1"/>
    <col min="14085" max="14085" width="9.5" style="177" customWidth="1"/>
    <col min="14086" max="14086" width="9.875" style="177" customWidth="1"/>
    <col min="14087" max="14088" width="10.25" style="177" customWidth="1"/>
    <col min="14089" max="14089" width="7.625" style="177" customWidth="1"/>
    <col min="14090" max="14090" width="11.375" style="177" customWidth="1"/>
    <col min="14091" max="14091" width="9.5" style="177" customWidth="1"/>
    <col min="14092" max="14092" width="9" style="177"/>
    <col min="14093" max="14093" width="10.5" style="177" customWidth="1"/>
    <col min="14094" max="14094" width="14.625" style="177" customWidth="1"/>
    <col min="14095" max="14336" width="9" style="177"/>
    <col min="14337" max="14337" width="20.625" style="177" customWidth="1"/>
    <col min="14338" max="14338" width="11.875" style="177" customWidth="1"/>
    <col min="14339" max="14339" width="9.625" style="177" customWidth="1"/>
    <col min="14340" max="14340" width="8.375" style="177" customWidth="1"/>
    <col min="14341" max="14341" width="9.5" style="177" customWidth="1"/>
    <col min="14342" max="14342" width="9.875" style="177" customWidth="1"/>
    <col min="14343" max="14344" width="10.25" style="177" customWidth="1"/>
    <col min="14345" max="14345" width="7.625" style="177" customWidth="1"/>
    <col min="14346" max="14346" width="11.375" style="177" customWidth="1"/>
    <col min="14347" max="14347" width="9.5" style="177" customWidth="1"/>
    <col min="14348" max="14348" width="9" style="177"/>
    <col min="14349" max="14349" width="10.5" style="177" customWidth="1"/>
    <col min="14350" max="14350" width="14.625" style="177" customWidth="1"/>
    <col min="14351" max="14592" width="9" style="177"/>
    <col min="14593" max="14593" width="20.625" style="177" customWidth="1"/>
    <col min="14594" max="14594" width="11.875" style="177" customWidth="1"/>
    <col min="14595" max="14595" width="9.625" style="177" customWidth="1"/>
    <col min="14596" max="14596" width="8.375" style="177" customWidth="1"/>
    <col min="14597" max="14597" width="9.5" style="177" customWidth="1"/>
    <col min="14598" max="14598" width="9.875" style="177" customWidth="1"/>
    <col min="14599" max="14600" width="10.25" style="177" customWidth="1"/>
    <col min="14601" max="14601" width="7.625" style="177" customWidth="1"/>
    <col min="14602" max="14602" width="11.375" style="177" customWidth="1"/>
    <col min="14603" max="14603" width="9.5" style="177" customWidth="1"/>
    <col min="14604" max="14604" width="9" style="177"/>
    <col min="14605" max="14605" width="10.5" style="177" customWidth="1"/>
    <col min="14606" max="14606" width="14.625" style="177" customWidth="1"/>
    <col min="14607" max="14848" width="9" style="177"/>
    <col min="14849" max="14849" width="20.625" style="177" customWidth="1"/>
    <col min="14850" max="14850" width="11.875" style="177" customWidth="1"/>
    <col min="14851" max="14851" width="9.625" style="177" customWidth="1"/>
    <col min="14852" max="14852" width="8.375" style="177" customWidth="1"/>
    <col min="14853" max="14853" width="9.5" style="177" customWidth="1"/>
    <col min="14854" max="14854" width="9.875" style="177" customWidth="1"/>
    <col min="14855" max="14856" width="10.25" style="177" customWidth="1"/>
    <col min="14857" max="14857" width="7.625" style="177" customWidth="1"/>
    <col min="14858" max="14858" width="11.375" style="177" customWidth="1"/>
    <col min="14859" max="14859" width="9.5" style="177" customWidth="1"/>
    <col min="14860" max="14860" width="9" style="177"/>
    <col min="14861" max="14861" width="10.5" style="177" customWidth="1"/>
    <col min="14862" max="14862" width="14.625" style="177" customWidth="1"/>
    <col min="14863" max="15104" width="9" style="177"/>
    <col min="15105" max="15105" width="20.625" style="177" customWidth="1"/>
    <col min="15106" max="15106" width="11.875" style="177" customWidth="1"/>
    <col min="15107" max="15107" width="9.625" style="177" customWidth="1"/>
    <col min="15108" max="15108" width="8.375" style="177" customWidth="1"/>
    <col min="15109" max="15109" width="9.5" style="177" customWidth="1"/>
    <col min="15110" max="15110" width="9.875" style="177" customWidth="1"/>
    <col min="15111" max="15112" width="10.25" style="177" customWidth="1"/>
    <col min="15113" max="15113" width="7.625" style="177" customWidth="1"/>
    <col min="15114" max="15114" width="11.375" style="177" customWidth="1"/>
    <col min="15115" max="15115" width="9.5" style="177" customWidth="1"/>
    <col min="15116" max="15116" width="9" style="177"/>
    <col min="15117" max="15117" width="10.5" style="177" customWidth="1"/>
    <col min="15118" max="15118" width="14.625" style="177" customWidth="1"/>
    <col min="15119" max="15360" width="9" style="177"/>
    <col min="15361" max="15361" width="20.625" style="177" customWidth="1"/>
    <col min="15362" max="15362" width="11.875" style="177" customWidth="1"/>
    <col min="15363" max="15363" width="9.625" style="177" customWidth="1"/>
    <col min="15364" max="15364" width="8.375" style="177" customWidth="1"/>
    <col min="15365" max="15365" width="9.5" style="177" customWidth="1"/>
    <col min="15366" max="15366" width="9.875" style="177" customWidth="1"/>
    <col min="15367" max="15368" width="10.25" style="177" customWidth="1"/>
    <col min="15369" max="15369" width="7.625" style="177" customWidth="1"/>
    <col min="15370" max="15370" width="11.375" style="177" customWidth="1"/>
    <col min="15371" max="15371" width="9.5" style="177" customWidth="1"/>
    <col min="15372" max="15372" width="9" style="177"/>
    <col min="15373" max="15373" width="10.5" style="177" customWidth="1"/>
    <col min="15374" max="15374" width="14.625" style="177" customWidth="1"/>
    <col min="15375" max="15616" width="9" style="177"/>
    <col min="15617" max="15617" width="20.625" style="177" customWidth="1"/>
    <col min="15618" max="15618" width="11.875" style="177" customWidth="1"/>
    <col min="15619" max="15619" width="9.625" style="177" customWidth="1"/>
    <col min="15620" max="15620" width="8.375" style="177" customWidth="1"/>
    <col min="15621" max="15621" width="9.5" style="177" customWidth="1"/>
    <col min="15622" max="15622" width="9.875" style="177" customWidth="1"/>
    <col min="15623" max="15624" width="10.25" style="177" customWidth="1"/>
    <col min="15625" max="15625" width="7.625" style="177" customWidth="1"/>
    <col min="15626" max="15626" width="11.375" style="177" customWidth="1"/>
    <col min="15627" max="15627" width="9.5" style="177" customWidth="1"/>
    <col min="15628" max="15628" width="9" style="177"/>
    <col min="15629" max="15629" width="10.5" style="177" customWidth="1"/>
    <col min="15630" max="15630" width="14.625" style="177" customWidth="1"/>
    <col min="15631" max="15872" width="9" style="177"/>
    <col min="15873" max="15873" width="20.625" style="177" customWidth="1"/>
    <col min="15874" max="15874" width="11.875" style="177" customWidth="1"/>
    <col min="15875" max="15875" width="9.625" style="177" customWidth="1"/>
    <col min="15876" max="15876" width="8.375" style="177" customWidth="1"/>
    <col min="15877" max="15877" width="9.5" style="177" customWidth="1"/>
    <col min="15878" max="15878" width="9.875" style="177" customWidth="1"/>
    <col min="15879" max="15880" width="10.25" style="177" customWidth="1"/>
    <col min="15881" max="15881" width="7.625" style="177" customWidth="1"/>
    <col min="15882" max="15882" width="11.375" style="177" customWidth="1"/>
    <col min="15883" max="15883" width="9.5" style="177" customWidth="1"/>
    <col min="15884" max="15884" width="9" style="177"/>
    <col min="15885" max="15885" width="10.5" style="177" customWidth="1"/>
    <col min="15886" max="15886" width="14.625" style="177" customWidth="1"/>
    <col min="15887" max="16128" width="9" style="177"/>
    <col min="16129" max="16129" width="20.625" style="177" customWidth="1"/>
    <col min="16130" max="16130" width="11.875" style="177" customWidth="1"/>
    <col min="16131" max="16131" width="9.625" style="177" customWidth="1"/>
    <col min="16132" max="16132" width="8.375" style="177" customWidth="1"/>
    <col min="16133" max="16133" width="9.5" style="177" customWidth="1"/>
    <col min="16134" max="16134" width="9.875" style="177" customWidth="1"/>
    <col min="16135" max="16136" width="10.25" style="177" customWidth="1"/>
    <col min="16137" max="16137" width="7.625" style="177" customWidth="1"/>
    <col min="16138" max="16138" width="11.375" style="177" customWidth="1"/>
    <col min="16139" max="16139" width="9.5" style="177" customWidth="1"/>
    <col min="16140" max="16140" width="9" style="177"/>
    <col min="16141" max="16141" width="10.5" style="177" customWidth="1"/>
    <col min="16142" max="16142" width="14.625" style="177" customWidth="1"/>
    <col min="16143" max="16384" width="9" style="177"/>
  </cols>
  <sheetData>
    <row r="2" spans="1:14" s="186" customFormat="1" ht="41.25" customHeight="1" x14ac:dyDescent="0.3">
      <c r="A2" s="322" t="s">
        <v>554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3"/>
    </row>
    <row r="3" spans="1:14" s="186" customFormat="1" ht="19.5" customHeight="1" thickBot="1" x14ac:dyDescent="0.3">
      <c r="A3" s="187">
        <v>2025.12</v>
      </c>
      <c r="B3" s="188"/>
      <c r="C3" s="188"/>
      <c r="D3" s="188"/>
      <c r="E3" s="188"/>
      <c r="F3" s="188"/>
      <c r="G3" s="188"/>
      <c r="H3" s="188"/>
      <c r="I3" s="188"/>
      <c r="J3" s="188"/>
      <c r="K3" s="320" t="s">
        <v>572</v>
      </c>
      <c r="L3" s="321"/>
      <c r="M3" s="321"/>
      <c r="N3" s="321"/>
    </row>
    <row r="4" spans="1:14" s="193" customFormat="1" ht="37.5" customHeight="1" x14ac:dyDescent="0.3">
      <c r="A4" s="189" t="s">
        <v>555</v>
      </c>
      <c r="B4" s="319" t="s">
        <v>556</v>
      </c>
      <c r="C4" s="319"/>
      <c r="D4" s="190" t="s">
        <v>557</v>
      </c>
      <c r="E4" s="191" t="s">
        <v>558</v>
      </c>
      <c r="F4" s="191" t="s">
        <v>559</v>
      </c>
      <c r="G4" s="191" t="s">
        <v>560</v>
      </c>
      <c r="H4" s="191" t="s">
        <v>561</v>
      </c>
      <c r="I4" s="191" t="s">
        <v>562</v>
      </c>
      <c r="J4" s="191" t="s">
        <v>563</v>
      </c>
      <c r="K4" s="191" t="s">
        <v>564</v>
      </c>
      <c r="L4" s="191" t="s">
        <v>565</v>
      </c>
      <c r="M4" s="191" t="s">
        <v>566</v>
      </c>
      <c r="N4" s="192" t="s">
        <v>585</v>
      </c>
    </row>
    <row r="5" spans="1:14" s="193" customFormat="1" ht="30" customHeight="1" x14ac:dyDescent="0.3">
      <c r="A5" s="254" t="s">
        <v>575</v>
      </c>
      <c r="B5" s="318" t="s">
        <v>576</v>
      </c>
      <c r="C5" s="316"/>
      <c r="D5" s="195">
        <v>0.36</v>
      </c>
      <c r="E5" s="230">
        <v>0.15</v>
      </c>
      <c r="F5" s="230">
        <v>0.5</v>
      </c>
      <c r="G5" s="197">
        <v>29.727</v>
      </c>
      <c r="H5" s="230">
        <v>12</v>
      </c>
      <c r="I5" s="230">
        <v>1</v>
      </c>
      <c r="J5" s="204">
        <f>D5*G5</f>
        <v>10.70172</v>
      </c>
      <c r="K5" s="230">
        <f>H5*E5</f>
        <v>1.7999999999999998</v>
      </c>
      <c r="L5" s="230">
        <f>F5*I5</f>
        <v>0.5</v>
      </c>
      <c r="M5" s="210">
        <f>(L5+K5+J5)*-1</f>
        <v>-13.001719999999999</v>
      </c>
      <c r="N5" s="196" t="s">
        <v>577</v>
      </c>
    </row>
    <row r="6" spans="1:14" ht="30" customHeight="1" x14ac:dyDescent="0.3">
      <c r="A6" s="254" t="s">
        <v>578</v>
      </c>
      <c r="B6" s="316" t="s">
        <v>579</v>
      </c>
      <c r="C6" s="316"/>
      <c r="D6" s="195">
        <v>0.36</v>
      </c>
      <c r="E6" s="230">
        <v>0.15</v>
      </c>
      <c r="F6" s="230">
        <v>0.5</v>
      </c>
      <c r="G6" s="197">
        <f>인제!G73</f>
        <v>40.887799999999999</v>
      </c>
      <c r="H6" s="230">
        <v>25</v>
      </c>
      <c r="I6" s="230">
        <v>1</v>
      </c>
      <c r="J6" s="204">
        <f t="shared" ref="J6:J10" si="0">D6*G6</f>
        <v>14.719607999999999</v>
      </c>
      <c r="K6" s="230">
        <f>H6*E6</f>
        <v>3.75</v>
      </c>
      <c r="L6" s="230">
        <f>F6*I6</f>
        <v>0.5</v>
      </c>
      <c r="M6" s="210">
        <f t="shared" ref="M6:M24" si="1">(L6+K6+J6)*-1</f>
        <v>-18.969608000000001</v>
      </c>
      <c r="N6" s="196" t="s">
        <v>586</v>
      </c>
    </row>
    <row r="7" spans="1:14" s="186" customFormat="1" ht="30" customHeight="1" x14ac:dyDescent="0.3">
      <c r="A7" s="194" t="s">
        <v>580</v>
      </c>
      <c r="B7" s="316" t="s">
        <v>620</v>
      </c>
      <c r="C7" s="316"/>
      <c r="D7" s="195">
        <v>0.36</v>
      </c>
      <c r="E7" s="230">
        <v>0.15</v>
      </c>
      <c r="F7" s="230">
        <v>0.5</v>
      </c>
      <c r="G7" s="197">
        <v>0</v>
      </c>
      <c r="H7" s="230">
        <v>18</v>
      </c>
      <c r="I7" s="230">
        <v>1</v>
      </c>
      <c r="J7" s="204">
        <f t="shared" si="0"/>
        <v>0</v>
      </c>
      <c r="K7" s="230">
        <f>H7*E7</f>
        <v>2.6999999999999997</v>
      </c>
      <c r="L7" s="230">
        <f>F7*I7</f>
        <v>0.5</v>
      </c>
      <c r="M7" s="210" t="s">
        <v>636</v>
      </c>
      <c r="N7" s="196" t="s">
        <v>588</v>
      </c>
    </row>
    <row r="8" spans="1:14" s="186" customFormat="1" ht="30" customHeight="1" x14ac:dyDescent="0.3">
      <c r="A8" s="194" t="s">
        <v>580</v>
      </c>
      <c r="B8" s="316" t="s">
        <v>581</v>
      </c>
      <c r="C8" s="316"/>
      <c r="D8" s="195">
        <v>0.36</v>
      </c>
      <c r="E8" s="230">
        <v>0.15</v>
      </c>
      <c r="F8" s="230">
        <v>0.5</v>
      </c>
      <c r="G8" s="197">
        <f>서홍천!G28</f>
        <v>0</v>
      </c>
      <c r="H8" s="230">
        <v>11</v>
      </c>
      <c r="I8" s="230">
        <v>1</v>
      </c>
      <c r="J8" s="204">
        <f t="shared" si="0"/>
        <v>0</v>
      </c>
      <c r="K8" s="230">
        <f>H8*E8</f>
        <v>1.65</v>
      </c>
      <c r="L8" s="230">
        <f>F8*I8</f>
        <v>0.5</v>
      </c>
      <c r="M8" s="210">
        <f t="shared" si="1"/>
        <v>-2.15</v>
      </c>
      <c r="N8" s="196" t="s">
        <v>582</v>
      </c>
    </row>
    <row r="9" spans="1:14" s="186" customFormat="1" ht="30" customHeight="1" x14ac:dyDescent="0.3">
      <c r="A9" s="255" t="s">
        <v>583</v>
      </c>
      <c r="B9" s="316" t="s">
        <v>584</v>
      </c>
      <c r="C9" s="316"/>
      <c r="D9" s="195">
        <v>0.36</v>
      </c>
      <c r="E9" s="230">
        <v>0.15</v>
      </c>
      <c r="F9" s="230">
        <v>0.5</v>
      </c>
      <c r="G9" s="197">
        <f>열병합!I42</f>
        <v>31.383299999999998</v>
      </c>
      <c r="H9" s="230">
        <v>16</v>
      </c>
      <c r="I9" s="230">
        <v>1</v>
      </c>
      <c r="J9" s="204">
        <f t="shared" si="0"/>
        <v>11.297987999999998</v>
      </c>
      <c r="K9" s="230">
        <f>H9*E9</f>
        <v>2.4</v>
      </c>
      <c r="L9" s="230">
        <f>F9*I9</f>
        <v>0.5</v>
      </c>
      <c r="M9" s="210">
        <f t="shared" si="1"/>
        <v>-14.197987999999999</v>
      </c>
      <c r="N9" s="196" t="s">
        <v>587</v>
      </c>
    </row>
    <row r="10" spans="1:14" s="193" customFormat="1" ht="30" customHeight="1" x14ac:dyDescent="0.3">
      <c r="A10" s="255" t="s">
        <v>589</v>
      </c>
      <c r="B10" s="316" t="s">
        <v>590</v>
      </c>
      <c r="C10" s="316"/>
      <c r="D10" s="195">
        <v>0.36</v>
      </c>
      <c r="E10" s="230">
        <v>0.15</v>
      </c>
      <c r="F10" s="230">
        <v>0.5</v>
      </c>
      <c r="G10" s="197">
        <f>'(구)춘천'!I17</f>
        <v>35.015000000000001</v>
      </c>
      <c r="H10" s="230">
        <v>19</v>
      </c>
      <c r="I10" s="230">
        <v>1</v>
      </c>
      <c r="J10" s="204">
        <f t="shared" si="0"/>
        <v>12.605399999999999</v>
      </c>
      <c r="K10" s="230">
        <f t="shared" ref="K10:K22" si="2">H10*E10</f>
        <v>2.85</v>
      </c>
      <c r="L10" s="230">
        <f t="shared" ref="L10:L22" si="3">F10*I10</f>
        <v>0.5</v>
      </c>
      <c r="M10" s="210">
        <f t="shared" si="1"/>
        <v>-15.955399999999999</v>
      </c>
      <c r="N10" s="196" t="s">
        <v>591</v>
      </c>
    </row>
    <row r="11" spans="1:14" s="193" customFormat="1" ht="30" customHeight="1" x14ac:dyDescent="0.3">
      <c r="A11" s="194" t="s">
        <v>592</v>
      </c>
      <c r="B11" s="316" t="s">
        <v>593</v>
      </c>
      <c r="C11" s="316"/>
      <c r="D11" s="195">
        <v>0.36</v>
      </c>
      <c r="E11" s="230">
        <v>0.15</v>
      </c>
      <c r="F11" s="230">
        <v>0.5</v>
      </c>
      <c r="G11" s="197">
        <f>인제!I126</f>
        <v>51</v>
      </c>
      <c r="H11" s="230">
        <v>26</v>
      </c>
      <c r="I11" s="230">
        <v>1</v>
      </c>
      <c r="J11" s="204">
        <f t="shared" ref="J11:J22" si="4">D11*G11</f>
        <v>18.36</v>
      </c>
      <c r="K11" s="230">
        <f t="shared" si="2"/>
        <v>3.9</v>
      </c>
      <c r="L11" s="230">
        <f t="shared" si="3"/>
        <v>0.5</v>
      </c>
      <c r="M11" s="210">
        <f t="shared" si="1"/>
        <v>-22.759999999999998</v>
      </c>
      <c r="N11" s="196" t="s">
        <v>594</v>
      </c>
    </row>
    <row r="12" spans="1:14" s="193" customFormat="1" ht="30" customHeight="1" x14ac:dyDescent="0.3">
      <c r="A12" s="194" t="s">
        <v>595</v>
      </c>
      <c r="B12" s="316" t="s">
        <v>596</v>
      </c>
      <c r="C12" s="316"/>
      <c r="D12" s="195">
        <v>0.36</v>
      </c>
      <c r="E12" s="230">
        <v>0.15</v>
      </c>
      <c r="F12" s="230">
        <v>0.5</v>
      </c>
      <c r="G12" s="197">
        <f>인제!I97</f>
        <v>19.995200000000001</v>
      </c>
      <c r="H12" s="230">
        <v>12</v>
      </c>
      <c r="I12" s="230">
        <v>1</v>
      </c>
      <c r="J12" s="204">
        <f>D12*G12</f>
        <v>7.1982720000000002</v>
      </c>
      <c r="K12" s="230">
        <f>H12*E12</f>
        <v>1.7999999999999998</v>
      </c>
      <c r="L12" s="230">
        <f>F12*I12</f>
        <v>0.5</v>
      </c>
      <c r="M12" s="210">
        <f t="shared" si="1"/>
        <v>-9.498272</v>
      </c>
      <c r="N12" s="196" t="s">
        <v>597</v>
      </c>
    </row>
    <row r="13" spans="1:14" s="193" customFormat="1" ht="30" customHeight="1" x14ac:dyDescent="0.3">
      <c r="A13" s="194" t="s">
        <v>595</v>
      </c>
      <c r="B13" s="316" t="s">
        <v>669</v>
      </c>
      <c r="C13" s="316"/>
      <c r="D13" s="195">
        <v>0.36</v>
      </c>
      <c r="E13" s="230">
        <v>0.15</v>
      </c>
      <c r="F13" s="230">
        <v>0.5</v>
      </c>
      <c r="G13" s="197">
        <f>양구!G51</f>
        <v>53.368000000000002</v>
      </c>
      <c r="H13" s="230">
        <v>31</v>
      </c>
      <c r="I13" s="230">
        <v>1</v>
      </c>
      <c r="J13" s="204">
        <f>D13*G13</f>
        <v>19.212479999999999</v>
      </c>
      <c r="K13" s="230">
        <f>H13*E13</f>
        <v>4.6499999999999995</v>
      </c>
      <c r="L13" s="230">
        <f>F13*I13</f>
        <v>0.5</v>
      </c>
      <c r="M13" s="210">
        <f t="shared" ref="M13" si="5">(L13+K13+J13)*-1</f>
        <v>-24.362479999999998</v>
      </c>
      <c r="N13" s="196" t="s">
        <v>670</v>
      </c>
    </row>
    <row r="14" spans="1:14" s="186" customFormat="1" ht="30" customHeight="1" x14ac:dyDescent="0.3">
      <c r="A14" s="194" t="s">
        <v>598</v>
      </c>
      <c r="B14" s="316" t="s">
        <v>599</v>
      </c>
      <c r="C14" s="316"/>
      <c r="D14" s="195">
        <v>0.36</v>
      </c>
      <c r="E14" s="230">
        <v>0.15</v>
      </c>
      <c r="F14" s="230">
        <v>0.5</v>
      </c>
      <c r="G14" s="197">
        <f>인제!I10</f>
        <v>52.916600000000003</v>
      </c>
      <c r="H14" s="230">
        <v>29</v>
      </c>
      <c r="I14" s="230">
        <v>1</v>
      </c>
      <c r="J14" s="204">
        <f>D14*G14</f>
        <v>19.049976000000001</v>
      </c>
      <c r="K14" s="230">
        <f>H14*E14</f>
        <v>4.3499999999999996</v>
      </c>
      <c r="L14" s="230">
        <f>F14*I14</f>
        <v>0.5</v>
      </c>
      <c r="M14" s="210">
        <f t="shared" si="1"/>
        <v>-23.899976000000002</v>
      </c>
      <c r="N14" s="196" t="s">
        <v>600</v>
      </c>
    </row>
    <row r="15" spans="1:14" s="186" customFormat="1" ht="30" customHeight="1" x14ac:dyDescent="0.3">
      <c r="A15" s="194" t="s">
        <v>601</v>
      </c>
      <c r="B15" s="316" t="s">
        <v>602</v>
      </c>
      <c r="C15" s="316"/>
      <c r="D15" s="195">
        <v>0.36</v>
      </c>
      <c r="E15" s="230">
        <v>0.15</v>
      </c>
      <c r="F15" s="230">
        <v>0.5</v>
      </c>
      <c r="G15" s="197">
        <f>철원!G10</f>
        <v>0</v>
      </c>
      <c r="H15" s="230">
        <v>18</v>
      </c>
      <c r="I15" s="230">
        <v>1</v>
      </c>
      <c r="J15" s="204">
        <f>D15*G15</f>
        <v>0</v>
      </c>
      <c r="K15" s="230">
        <f>H15*E15</f>
        <v>2.6999999999999997</v>
      </c>
      <c r="L15" s="230">
        <f>F15*I15</f>
        <v>0.5</v>
      </c>
      <c r="M15" s="210">
        <f t="shared" si="1"/>
        <v>-3.1999999999999997</v>
      </c>
      <c r="N15" s="196" t="s">
        <v>603</v>
      </c>
    </row>
    <row r="16" spans="1:14" s="186" customFormat="1" ht="30" customHeight="1" x14ac:dyDescent="0.3">
      <c r="A16" s="194" t="s">
        <v>671</v>
      </c>
      <c r="B16" s="316" t="s">
        <v>672</v>
      </c>
      <c r="C16" s="316"/>
      <c r="D16" s="195">
        <v>0.36</v>
      </c>
      <c r="E16" s="230">
        <v>0.15</v>
      </c>
      <c r="F16" s="230">
        <v>0.5</v>
      </c>
      <c r="G16" s="197">
        <f>철원!I51</f>
        <v>18.462399999999999</v>
      </c>
      <c r="H16" s="230">
        <v>10</v>
      </c>
      <c r="I16" s="230">
        <v>1</v>
      </c>
      <c r="J16" s="204">
        <f>D16*G16</f>
        <v>6.646463999999999</v>
      </c>
      <c r="K16" s="230">
        <f>H16*E16</f>
        <v>1.5</v>
      </c>
      <c r="L16" s="230">
        <f>F16*I16</f>
        <v>0.5</v>
      </c>
      <c r="M16" s="210">
        <f t="shared" ref="M16" si="6">(L16+K16+J16)*-1</f>
        <v>-8.6464639999999982</v>
      </c>
      <c r="N16" s="196" t="s">
        <v>673</v>
      </c>
    </row>
    <row r="17" spans="1:14" s="193" customFormat="1" ht="30" customHeight="1" x14ac:dyDescent="0.3">
      <c r="A17" s="194" t="s">
        <v>604</v>
      </c>
      <c r="B17" s="318" t="s">
        <v>605</v>
      </c>
      <c r="C17" s="316"/>
      <c r="D17" s="195">
        <v>0.36</v>
      </c>
      <c r="E17" s="230">
        <v>0.15</v>
      </c>
      <c r="F17" s="230">
        <v>0.5</v>
      </c>
      <c r="G17" s="197">
        <f>'(구)춘천'!I37</f>
        <v>18.748999999999999</v>
      </c>
      <c r="H17" s="230">
        <v>12</v>
      </c>
      <c r="I17" s="230">
        <v>1</v>
      </c>
      <c r="J17" s="204">
        <f t="shared" si="4"/>
        <v>6.7496399999999994</v>
      </c>
      <c r="K17" s="230">
        <f t="shared" si="2"/>
        <v>1.7999999999999998</v>
      </c>
      <c r="L17" s="230">
        <f t="shared" si="3"/>
        <v>0.5</v>
      </c>
      <c r="M17" s="210">
        <f t="shared" si="1"/>
        <v>-9.0496400000000001</v>
      </c>
      <c r="N17" s="196" t="s">
        <v>608</v>
      </c>
    </row>
    <row r="18" spans="1:14" s="193" customFormat="1" ht="30" customHeight="1" x14ac:dyDescent="0.3">
      <c r="A18" s="194" t="s">
        <v>606</v>
      </c>
      <c r="B18" s="316" t="s">
        <v>607</v>
      </c>
      <c r="C18" s="316"/>
      <c r="D18" s="195">
        <v>0.36</v>
      </c>
      <c r="E18" s="230">
        <v>0.15</v>
      </c>
      <c r="F18" s="230">
        <v>0.5</v>
      </c>
      <c r="G18" s="197">
        <v>0</v>
      </c>
      <c r="H18" s="230">
        <v>10</v>
      </c>
      <c r="I18" s="230">
        <v>1</v>
      </c>
      <c r="J18" s="204">
        <f t="shared" si="4"/>
        <v>0</v>
      </c>
      <c r="K18" s="230">
        <f t="shared" si="2"/>
        <v>1.5</v>
      </c>
      <c r="L18" s="230">
        <f t="shared" si="3"/>
        <v>0.5</v>
      </c>
      <c r="M18" s="210" t="s">
        <v>636</v>
      </c>
      <c r="N18" s="196" t="s">
        <v>609</v>
      </c>
    </row>
    <row r="19" spans="1:14" s="193" customFormat="1" ht="30" customHeight="1" x14ac:dyDescent="0.3">
      <c r="A19" s="194" t="s">
        <v>610</v>
      </c>
      <c r="B19" s="316" t="s">
        <v>611</v>
      </c>
      <c r="C19" s="316"/>
      <c r="D19" s="195">
        <v>0.36</v>
      </c>
      <c r="E19" s="230">
        <v>0.15</v>
      </c>
      <c r="F19" s="230">
        <v>0.5</v>
      </c>
      <c r="G19" s="197">
        <f>북춘천!G51</f>
        <v>8.5860000000000003</v>
      </c>
      <c r="H19" s="230">
        <v>6</v>
      </c>
      <c r="I19" s="230">
        <v>1</v>
      </c>
      <c r="J19" s="204">
        <f t="shared" si="4"/>
        <v>3.0909599999999999</v>
      </c>
      <c r="K19" s="230">
        <f t="shared" si="2"/>
        <v>0.89999999999999991</v>
      </c>
      <c r="L19" s="230">
        <f t="shared" si="3"/>
        <v>0.5</v>
      </c>
      <c r="M19" s="210">
        <f t="shared" si="1"/>
        <v>-4.4909599999999994</v>
      </c>
      <c r="N19" s="196" t="s">
        <v>612</v>
      </c>
    </row>
    <row r="20" spans="1:14" s="193" customFormat="1" ht="30" customHeight="1" x14ac:dyDescent="0.3">
      <c r="A20" s="194" t="s">
        <v>613</v>
      </c>
      <c r="B20" s="316" t="s">
        <v>662</v>
      </c>
      <c r="C20" s="316"/>
      <c r="D20" s="195">
        <v>0.36</v>
      </c>
      <c r="E20" s="230">
        <v>0.15</v>
      </c>
      <c r="F20" s="230">
        <v>0.5</v>
      </c>
      <c r="G20" s="197">
        <f>춘천HP!I17</f>
        <v>31.800999999999998</v>
      </c>
      <c r="H20" s="230">
        <v>18</v>
      </c>
      <c r="I20" s="230">
        <v>1</v>
      </c>
      <c r="J20" s="204">
        <f t="shared" si="4"/>
        <v>11.448359999999999</v>
      </c>
      <c r="K20" s="230">
        <f t="shared" si="2"/>
        <v>2.6999999999999997</v>
      </c>
      <c r="L20" s="230">
        <f t="shared" si="3"/>
        <v>0.5</v>
      </c>
      <c r="M20" s="210">
        <f t="shared" si="1"/>
        <v>-14.648359999999998</v>
      </c>
      <c r="N20" s="196" t="s">
        <v>614</v>
      </c>
    </row>
    <row r="21" spans="1:14" s="193" customFormat="1" ht="30" customHeight="1" x14ac:dyDescent="0.3">
      <c r="A21" s="194" t="s">
        <v>573</v>
      </c>
      <c r="B21" s="316" t="s">
        <v>574</v>
      </c>
      <c r="C21" s="316"/>
      <c r="D21" s="195">
        <v>0.36</v>
      </c>
      <c r="E21" s="230">
        <v>0.15</v>
      </c>
      <c r="F21" s="230">
        <v>0.5</v>
      </c>
      <c r="G21" s="197">
        <f>화천HP!I23</f>
        <v>23.7989</v>
      </c>
      <c r="H21" s="230">
        <v>13</v>
      </c>
      <c r="I21" s="230">
        <v>1</v>
      </c>
      <c r="J21" s="204">
        <f t="shared" si="4"/>
        <v>8.5676039999999993</v>
      </c>
      <c r="K21" s="230">
        <f t="shared" si="2"/>
        <v>1.95</v>
      </c>
      <c r="L21" s="230">
        <f t="shared" si="3"/>
        <v>0.5</v>
      </c>
      <c r="M21" s="210">
        <f t="shared" si="1"/>
        <v>-11.017603999999999</v>
      </c>
      <c r="N21" s="196" t="s">
        <v>615</v>
      </c>
    </row>
    <row r="22" spans="1:14" s="186" customFormat="1" ht="30" customHeight="1" x14ac:dyDescent="0.3">
      <c r="A22" s="254" t="s">
        <v>616</v>
      </c>
      <c r="B22" s="318" t="s">
        <v>617</v>
      </c>
      <c r="C22" s="316"/>
      <c r="D22" s="195">
        <v>0.36</v>
      </c>
      <c r="E22" s="230">
        <v>0.15</v>
      </c>
      <c r="F22" s="230">
        <v>0.5</v>
      </c>
      <c r="G22" s="197">
        <f>화천!I21</f>
        <v>18.7865</v>
      </c>
      <c r="H22" s="230">
        <v>10</v>
      </c>
      <c r="I22" s="230">
        <v>1</v>
      </c>
      <c r="J22" s="204">
        <f t="shared" si="4"/>
        <v>6.7631399999999999</v>
      </c>
      <c r="K22" s="230">
        <f t="shared" si="2"/>
        <v>1.5</v>
      </c>
      <c r="L22" s="230">
        <f t="shared" si="3"/>
        <v>0.5</v>
      </c>
      <c r="M22" s="210">
        <f t="shared" si="1"/>
        <v>-8.7631399999999999</v>
      </c>
      <c r="N22" s="196" t="s">
        <v>618</v>
      </c>
    </row>
    <row r="23" spans="1:14" ht="30" customHeight="1" x14ac:dyDescent="0.3">
      <c r="A23" s="255" t="s">
        <v>619</v>
      </c>
      <c r="B23" s="316" t="s">
        <v>621</v>
      </c>
      <c r="C23" s="316"/>
      <c r="D23" s="195">
        <v>0.36</v>
      </c>
      <c r="E23" s="230">
        <v>0.15</v>
      </c>
      <c r="F23" s="230">
        <v>0.5</v>
      </c>
      <c r="G23" s="197">
        <f>남춘천!I41</f>
        <v>14.872999999999999</v>
      </c>
      <c r="H23" s="230">
        <v>9</v>
      </c>
      <c r="I23" s="230">
        <v>1</v>
      </c>
      <c r="J23" s="204">
        <f>D23*G23</f>
        <v>5.3542799999999993</v>
      </c>
      <c r="K23" s="230">
        <f>H23*E23</f>
        <v>1.3499999999999999</v>
      </c>
      <c r="L23" s="230">
        <f>F23*I23</f>
        <v>0.5</v>
      </c>
      <c r="M23" s="210">
        <f t="shared" si="1"/>
        <v>-7.2042799999999989</v>
      </c>
      <c r="N23" s="196" t="s">
        <v>622</v>
      </c>
    </row>
    <row r="24" spans="1:14" ht="30" customHeight="1" thickBot="1" x14ac:dyDescent="0.35">
      <c r="A24" s="256" t="s">
        <v>623</v>
      </c>
      <c r="B24" s="317" t="s">
        <v>624</v>
      </c>
      <c r="C24" s="317"/>
      <c r="D24" s="257">
        <v>0.36</v>
      </c>
      <c r="E24" s="258">
        <v>0.15</v>
      </c>
      <c r="F24" s="258">
        <v>0.5</v>
      </c>
      <c r="G24" s="259">
        <f>화천HP!I77</f>
        <v>36.228000000000002</v>
      </c>
      <c r="H24" s="258">
        <v>13</v>
      </c>
      <c r="I24" s="258">
        <v>1</v>
      </c>
      <c r="J24" s="260">
        <f>D24*G24</f>
        <v>13.04208</v>
      </c>
      <c r="K24" s="258">
        <f>H24*E24</f>
        <v>1.95</v>
      </c>
      <c r="L24" s="258">
        <f>F24*I24</f>
        <v>0.5</v>
      </c>
      <c r="M24" s="261">
        <f t="shared" si="1"/>
        <v>-15.492080000000001</v>
      </c>
      <c r="N24" s="262" t="s">
        <v>625</v>
      </c>
    </row>
    <row r="25" spans="1:14" x14ac:dyDescent="0.3">
      <c r="A25" s="198"/>
      <c r="B25" s="198"/>
      <c r="C25" s="198"/>
      <c r="D25" s="198"/>
      <c r="E25" s="198"/>
      <c r="F25" s="199"/>
      <c r="G25" s="199"/>
      <c r="H25" s="200"/>
      <c r="I25" s="200"/>
      <c r="J25" s="200"/>
      <c r="K25" s="200"/>
      <c r="L25" s="200"/>
      <c r="M25" s="200"/>
      <c r="N25" s="200"/>
    </row>
    <row r="26" spans="1:14" x14ac:dyDescent="0.3">
      <c r="A26" s="200"/>
      <c r="B26" s="200"/>
      <c r="C26" s="200"/>
      <c r="D26" s="200"/>
      <c r="E26" s="200"/>
      <c r="F26" s="199"/>
      <c r="G26" s="199"/>
      <c r="H26" s="200"/>
      <c r="I26" s="200"/>
      <c r="J26" s="200"/>
      <c r="K26" s="200"/>
      <c r="L26" s="200"/>
      <c r="M26" s="200"/>
      <c r="N26" s="200"/>
    </row>
    <row r="28" spans="1:14" s="186" customFormat="1" ht="41.25" customHeight="1" x14ac:dyDescent="0.3">
      <c r="A28" s="322" t="s">
        <v>567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322"/>
      <c r="M28" s="322"/>
      <c r="N28" s="323"/>
    </row>
    <row r="29" spans="1:14" s="186" customFormat="1" ht="19.5" customHeight="1" thickBot="1" x14ac:dyDescent="0.3">
      <c r="A29" s="187">
        <f>A3</f>
        <v>2025.12</v>
      </c>
      <c r="B29" s="188"/>
      <c r="C29" s="188"/>
      <c r="D29" s="188"/>
      <c r="E29" s="188"/>
      <c r="F29" s="188"/>
      <c r="G29" s="188"/>
      <c r="H29" s="188"/>
      <c r="I29" s="188"/>
      <c r="J29" s="188"/>
      <c r="K29" s="320" t="str">
        <f>K3</f>
        <v xml:space="preserve">                   강원본부 직할 관내</v>
      </c>
      <c r="L29" s="321"/>
      <c r="M29" s="321"/>
      <c r="N29" s="321"/>
    </row>
    <row r="30" spans="1:14" s="193" customFormat="1" ht="37.5" customHeight="1" x14ac:dyDescent="0.3">
      <c r="A30" s="189" t="s">
        <v>555</v>
      </c>
      <c r="B30" s="319" t="s">
        <v>556</v>
      </c>
      <c r="C30" s="319"/>
      <c r="D30" s="190" t="s">
        <v>557</v>
      </c>
      <c r="E30" s="191" t="s">
        <v>558</v>
      </c>
      <c r="F30" s="191" t="s">
        <v>559</v>
      </c>
      <c r="G30" s="191" t="s">
        <v>560</v>
      </c>
      <c r="H30" s="191" t="s">
        <v>561</v>
      </c>
      <c r="I30" s="191" t="s">
        <v>562</v>
      </c>
      <c r="J30" s="191" t="s">
        <v>563</v>
      </c>
      <c r="K30" s="191" t="s">
        <v>564</v>
      </c>
      <c r="L30" s="191" t="s">
        <v>565</v>
      </c>
      <c r="M30" s="191" t="s">
        <v>566</v>
      </c>
      <c r="N30" s="192" t="s">
        <v>585</v>
      </c>
    </row>
    <row r="31" spans="1:14" s="193" customFormat="1" ht="30" customHeight="1" x14ac:dyDescent="0.3">
      <c r="A31" s="254" t="s">
        <v>575</v>
      </c>
      <c r="B31" s="318" t="s">
        <v>576</v>
      </c>
      <c r="C31" s="316"/>
      <c r="D31" s="195">
        <v>0.22</v>
      </c>
      <c r="E31" s="230">
        <v>0.12</v>
      </c>
      <c r="F31" s="230">
        <v>0.5</v>
      </c>
      <c r="G31" s="197">
        <f t="shared" ref="G31:H38" si="7">G5</f>
        <v>29.727</v>
      </c>
      <c r="H31" s="230">
        <f t="shared" si="7"/>
        <v>12</v>
      </c>
      <c r="I31" s="230">
        <v>1</v>
      </c>
      <c r="J31" s="204">
        <f>D31*G31</f>
        <v>6.5399400000000005</v>
      </c>
      <c r="K31" s="230">
        <f>H31*E31</f>
        <v>1.44</v>
      </c>
      <c r="L31" s="230">
        <f>F31*I31</f>
        <v>0.5</v>
      </c>
      <c r="M31" s="210">
        <f>(L31+K31+J31)*-1</f>
        <v>-8.4799400000000009</v>
      </c>
      <c r="N31" s="196" t="s">
        <v>577</v>
      </c>
    </row>
    <row r="32" spans="1:14" ht="30" customHeight="1" x14ac:dyDescent="0.3">
      <c r="A32" s="254" t="s">
        <v>578</v>
      </c>
      <c r="B32" s="316" t="s">
        <v>579</v>
      </c>
      <c r="C32" s="316"/>
      <c r="D32" s="195">
        <v>0.22</v>
      </c>
      <c r="E32" s="230">
        <v>0.12</v>
      </c>
      <c r="F32" s="230">
        <v>0.5</v>
      </c>
      <c r="G32" s="197">
        <f t="shared" si="7"/>
        <v>40.887799999999999</v>
      </c>
      <c r="H32" s="230">
        <f t="shared" si="7"/>
        <v>25</v>
      </c>
      <c r="I32" s="230">
        <v>1</v>
      </c>
      <c r="J32" s="204">
        <f>D32*G32</f>
        <v>8.995315999999999</v>
      </c>
      <c r="K32" s="230">
        <f>H32*E32</f>
        <v>3</v>
      </c>
      <c r="L32" s="230">
        <f>F32*I32</f>
        <v>0.5</v>
      </c>
      <c r="M32" s="210">
        <f t="shared" ref="M32:M50" si="8">(L32+K32+J32)*-1</f>
        <v>-12.495315999999999</v>
      </c>
      <c r="N32" s="196" t="s">
        <v>586</v>
      </c>
    </row>
    <row r="33" spans="1:14" s="186" customFormat="1" ht="30" customHeight="1" x14ac:dyDescent="0.3">
      <c r="A33" s="194" t="s">
        <v>580</v>
      </c>
      <c r="B33" s="316" t="s">
        <v>620</v>
      </c>
      <c r="C33" s="316"/>
      <c r="D33" s="195">
        <v>0.22</v>
      </c>
      <c r="E33" s="230">
        <v>0.12</v>
      </c>
      <c r="F33" s="230">
        <v>0.5</v>
      </c>
      <c r="G33" s="197">
        <f t="shared" si="7"/>
        <v>0</v>
      </c>
      <c r="H33" s="230">
        <f t="shared" si="7"/>
        <v>18</v>
      </c>
      <c r="I33" s="230">
        <v>1</v>
      </c>
      <c r="J33" s="204">
        <f t="shared" ref="J33:J36" si="9">D33*G33</f>
        <v>0</v>
      </c>
      <c r="K33" s="230">
        <f>H33*E33</f>
        <v>2.16</v>
      </c>
      <c r="L33" s="230">
        <f>F33*I33</f>
        <v>0.5</v>
      </c>
      <c r="M33" s="210" t="s">
        <v>636</v>
      </c>
      <c r="N33" s="196" t="s">
        <v>588</v>
      </c>
    </row>
    <row r="34" spans="1:14" s="186" customFormat="1" ht="30" customHeight="1" x14ac:dyDescent="0.3">
      <c r="A34" s="194" t="s">
        <v>580</v>
      </c>
      <c r="B34" s="316" t="s">
        <v>581</v>
      </c>
      <c r="C34" s="316"/>
      <c r="D34" s="195">
        <v>0.22</v>
      </c>
      <c r="E34" s="230">
        <v>0.12</v>
      </c>
      <c r="F34" s="230">
        <v>0.5</v>
      </c>
      <c r="G34" s="197">
        <f t="shared" si="7"/>
        <v>0</v>
      </c>
      <c r="H34" s="230">
        <f t="shared" si="7"/>
        <v>11</v>
      </c>
      <c r="I34" s="230">
        <v>1</v>
      </c>
      <c r="J34" s="204">
        <f t="shared" si="9"/>
        <v>0</v>
      </c>
      <c r="K34" s="230">
        <f>H34*E34</f>
        <v>1.3199999999999998</v>
      </c>
      <c r="L34" s="230">
        <f>F34*I34</f>
        <v>0.5</v>
      </c>
      <c r="M34" s="210">
        <f t="shared" si="8"/>
        <v>-1.8199999999999998</v>
      </c>
      <c r="N34" s="196" t="s">
        <v>582</v>
      </c>
    </row>
    <row r="35" spans="1:14" s="193" customFormat="1" ht="30" customHeight="1" x14ac:dyDescent="0.3">
      <c r="A35" s="255" t="s">
        <v>583</v>
      </c>
      <c r="B35" s="316" t="s">
        <v>584</v>
      </c>
      <c r="C35" s="316"/>
      <c r="D35" s="195">
        <v>0.22</v>
      </c>
      <c r="E35" s="230">
        <v>0.12</v>
      </c>
      <c r="F35" s="230">
        <v>0.5</v>
      </c>
      <c r="G35" s="197">
        <f t="shared" si="7"/>
        <v>31.383299999999998</v>
      </c>
      <c r="H35" s="230">
        <f t="shared" si="7"/>
        <v>16</v>
      </c>
      <c r="I35" s="230">
        <v>1</v>
      </c>
      <c r="J35" s="204">
        <f t="shared" si="9"/>
        <v>6.9043259999999993</v>
      </c>
      <c r="K35" s="230">
        <f>H35*E35</f>
        <v>1.92</v>
      </c>
      <c r="L35" s="230">
        <f>F35*I35</f>
        <v>0.5</v>
      </c>
      <c r="M35" s="210">
        <f t="shared" si="8"/>
        <v>-9.3243259999999992</v>
      </c>
      <c r="N35" s="196" t="s">
        <v>587</v>
      </c>
    </row>
    <row r="36" spans="1:14" s="193" customFormat="1" ht="30" customHeight="1" x14ac:dyDescent="0.3">
      <c r="A36" s="255" t="s">
        <v>589</v>
      </c>
      <c r="B36" s="316" t="s">
        <v>645</v>
      </c>
      <c r="C36" s="316"/>
      <c r="D36" s="195">
        <v>0.22</v>
      </c>
      <c r="E36" s="230">
        <v>0.12</v>
      </c>
      <c r="F36" s="230">
        <v>0.5</v>
      </c>
      <c r="G36" s="197">
        <f t="shared" si="7"/>
        <v>35.015000000000001</v>
      </c>
      <c r="H36" s="230">
        <f t="shared" si="7"/>
        <v>19</v>
      </c>
      <c r="I36" s="230">
        <v>1</v>
      </c>
      <c r="J36" s="204">
        <f t="shared" si="9"/>
        <v>7.7033000000000005</v>
      </c>
      <c r="K36" s="230">
        <f t="shared" ref="K36:K37" si="10">H36*E36</f>
        <v>2.2799999999999998</v>
      </c>
      <c r="L36" s="230">
        <f t="shared" ref="L36:L37" si="11">F36*I36</f>
        <v>0.5</v>
      </c>
      <c r="M36" s="210">
        <f t="shared" si="8"/>
        <v>-10.4833</v>
      </c>
      <c r="N36" s="196" t="s">
        <v>646</v>
      </c>
    </row>
    <row r="37" spans="1:14" s="193" customFormat="1" ht="30" customHeight="1" x14ac:dyDescent="0.3">
      <c r="A37" s="194" t="s">
        <v>592</v>
      </c>
      <c r="B37" s="316" t="s">
        <v>593</v>
      </c>
      <c r="C37" s="316"/>
      <c r="D37" s="195">
        <v>0.22</v>
      </c>
      <c r="E37" s="265">
        <v>0.12</v>
      </c>
      <c r="F37" s="230">
        <v>0.5</v>
      </c>
      <c r="G37" s="197">
        <f t="shared" si="7"/>
        <v>51</v>
      </c>
      <c r="H37" s="230">
        <f t="shared" si="7"/>
        <v>26</v>
      </c>
      <c r="I37" s="230">
        <v>1</v>
      </c>
      <c r="J37" s="204">
        <f t="shared" ref="J37" si="12">D37*G37</f>
        <v>11.22</v>
      </c>
      <c r="K37" s="230">
        <f t="shared" si="10"/>
        <v>3.12</v>
      </c>
      <c r="L37" s="230">
        <f t="shared" si="11"/>
        <v>0.5</v>
      </c>
      <c r="M37" s="210">
        <f t="shared" si="8"/>
        <v>-14.84</v>
      </c>
      <c r="N37" s="196" t="s">
        <v>594</v>
      </c>
    </row>
    <row r="38" spans="1:14" s="186" customFormat="1" ht="30" customHeight="1" x14ac:dyDescent="0.3">
      <c r="A38" s="194" t="s">
        <v>595</v>
      </c>
      <c r="B38" s="316" t="s">
        <v>596</v>
      </c>
      <c r="C38" s="316"/>
      <c r="D38" s="195">
        <v>0.22</v>
      </c>
      <c r="E38" s="265">
        <v>0.12</v>
      </c>
      <c r="F38" s="230">
        <v>0.5</v>
      </c>
      <c r="G38" s="197">
        <f t="shared" si="7"/>
        <v>19.995200000000001</v>
      </c>
      <c r="H38" s="230">
        <f t="shared" si="7"/>
        <v>12</v>
      </c>
      <c r="I38" s="230">
        <v>1</v>
      </c>
      <c r="J38" s="204">
        <f>D38*G38</f>
        <v>4.3989440000000002</v>
      </c>
      <c r="K38" s="230">
        <f>H38*E38</f>
        <v>1.44</v>
      </c>
      <c r="L38" s="230">
        <f>F38*I38</f>
        <v>0.5</v>
      </c>
      <c r="M38" s="210">
        <f t="shared" si="8"/>
        <v>-6.3389439999999997</v>
      </c>
      <c r="N38" s="196" t="s">
        <v>597</v>
      </c>
    </row>
    <row r="39" spans="1:14" s="186" customFormat="1" ht="30" customHeight="1" x14ac:dyDescent="0.3">
      <c r="A39" s="194" t="s">
        <v>595</v>
      </c>
      <c r="B39" s="316" t="s">
        <v>669</v>
      </c>
      <c r="C39" s="316"/>
      <c r="D39" s="195">
        <v>0.22</v>
      </c>
      <c r="E39" s="265">
        <v>0.12</v>
      </c>
      <c r="F39" s="230">
        <v>0.5</v>
      </c>
      <c r="G39" s="197">
        <f>G13</f>
        <v>53.368000000000002</v>
      </c>
      <c r="H39" s="230">
        <f>H13</f>
        <v>31</v>
      </c>
      <c r="I39" s="230">
        <v>1</v>
      </c>
      <c r="J39" s="204">
        <f>D39*G39</f>
        <v>11.740960000000001</v>
      </c>
      <c r="K39" s="230">
        <f>H39*E39</f>
        <v>3.7199999999999998</v>
      </c>
      <c r="L39" s="230">
        <f>F39*I39</f>
        <v>0.5</v>
      </c>
      <c r="M39" s="210">
        <f t="shared" ref="M39" si="13">(L39+K39+J39)*-1</f>
        <v>-15.96096</v>
      </c>
      <c r="N39" s="196" t="s">
        <v>670</v>
      </c>
    </row>
    <row r="40" spans="1:14" s="186" customFormat="1" ht="30" customHeight="1" x14ac:dyDescent="0.3">
      <c r="A40" s="194" t="s">
        <v>598</v>
      </c>
      <c r="B40" s="316" t="s">
        <v>599</v>
      </c>
      <c r="C40" s="316"/>
      <c r="D40" s="195">
        <v>0.22</v>
      </c>
      <c r="E40" s="265">
        <v>0.12</v>
      </c>
      <c r="F40" s="230">
        <v>0.5</v>
      </c>
      <c r="G40" s="197">
        <f t="shared" ref="G40:H50" si="14">G14</f>
        <v>52.916600000000003</v>
      </c>
      <c r="H40" s="230">
        <f t="shared" si="14"/>
        <v>29</v>
      </c>
      <c r="I40" s="230">
        <v>1</v>
      </c>
      <c r="J40" s="204">
        <f>D40*G40</f>
        <v>11.641652000000001</v>
      </c>
      <c r="K40" s="230">
        <f>H40*E40</f>
        <v>3.48</v>
      </c>
      <c r="L40" s="230">
        <f>F40*I40</f>
        <v>0.5</v>
      </c>
      <c r="M40" s="210">
        <f t="shared" si="8"/>
        <v>-15.621652000000001</v>
      </c>
      <c r="N40" s="196" t="s">
        <v>600</v>
      </c>
    </row>
    <row r="41" spans="1:14" s="193" customFormat="1" ht="30" customHeight="1" x14ac:dyDescent="0.3">
      <c r="A41" s="194" t="s">
        <v>601</v>
      </c>
      <c r="B41" s="316" t="s">
        <v>602</v>
      </c>
      <c r="C41" s="316"/>
      <c r="D41" s="195">
        <v>0.22</v>
      </c>
      <c r="E41" s="265">
        <v>0.12</v>
      </c>
      <c r="F41" s="230">
        <v>0.5</v>
      </c>
      <c r="G41" s="197">
        <f t="shared" si="14"/>
        <v>0</v>
      </c>
      <c r="H41" s="230">
        <f t="shared" si="14"/>
        <v>18</v>
      </c>
      <c r="I41" s="230">
        <v>1</v>
      </c>
      <c r="J41" s="204">
        <f>D41*G41</f>
        <v>0</v>
      </c>
      <c r="K41" s="230">
        <f>H41*E41</f>
        <v>2.16</v>
      </c>
      <c r="L41" s="230">
        <f>F41*I41</f>
        <v>0.5</v>
      </c>
      <c r="M41" s="210">
        <f t="shared" si="8"/>
        <v>-2.66</v>
      </c>
      <c r="N41" s="196" t="s">
        <v>603</v>
      </c>
    </row>
    <row r="42" spans="1:14" s="193" customFormat="1" ht="30" customHeight="1" x14ac:dyDescent="0.3">
      <c r="A42" s="194" t="s">
        <v>671</v>
      </c>
      <c r="B42" s="316" t="s">
        <v>672</v>
      </c>
      <c r="C42" s="316"/>
      <c r="D42" s="195">
        <v>0.22</v>
      </c>
      <c r="E42" s="265">
        <v>0.12</v>
      </c>
      <c r="F42" s="230">
        <v>0.5</v>
      </c>
      <c r="G42" s="197">
        <f>G16</f>
        <v>18.462399999999999</v>
      </c>
      <c r="H42" s="230">
        <f>H16</f>
        <v>10</v>
      </c>
      <c r="I42" s="230">
        <v>1</v>
      </c>
      <c r="J42" s="204">
        <f>D42*G42</f>
        <v>4.0617279999999996</v>
      </c>
      <c r="K42" s="230">
        <f>H42*E42</f>
        <v>1.2</v>
      </c>
      <c r="L42" s="230">
        <f>F42*I42</f>
        <v>0.5</v>
      </c>
      <c r="M42" s="210">
        <f t="shared" ref="M42" si="15">(L42+K42+J42)*-1</f>
        <v>-5.7617279999999997</v>
      </c>
      <c r="N42" s="196" t="s">
        <v>673</v>
      </c>
    </row>
    <row r="43" spans="1:14" s="193" customFormat="1" ht="30" customHeight="1" x14ac:dyDescent="0.3">
      <c r="A43" s="194" t="s">
        <v>604</v>
      </c>
      <c r="B43" s="318" t="s">
        <v>605</v>
      </c>
      <c r="C43" s="316"/>
      <c r="D43" s="195">
        <v>0.22</v>
      </c>
      <c r="E43" s="265">
        <v>0.12</v>
      </c>
      <c r="F43" s="230">
        <v>0.5</v>
      </c>
      <c r="G43" s="197">
        <f t="shared" si="14"/>
        <v>18.748999999999999</v>
      </c>
      <c r="H43" s="230">
        <f t="shared" si="14"/>
        <v>12</v>
      </c>
      <c r="I43" s="230">
        <v>1</v>
      </c>
      <c r="J43" s="204">
        <f t="shared" ref="J43:J47" si="16">D43*G43</f>
        <v>4.1247799999999994</v>
      </c>
      <c r="K43" s="230">
        <f t="shared" ref="K43:K47" si="17">H43*E43</f>
        <v>1.44</v>
      </c>
      <c r="L43" s="230">
        <f t="shared" ref="L43:L47" si="18">F43*I43</f>
        <v>0.5</v>
      </c>
      <c r="M43" s="210">
        <f t="shared" si="8"/>
        <v>-6.0647799999999989</v>
      </c>
      <c r="N43" s="196" t="s">
        <v>608</v>
      </c>
    </row>
    <row r="44" spans="1:14" s="193" customFormat="1" ht="30" customHeight="1" x14ac:dyDescent="0.3">
      <c r="A44" s="194" t="s">
        <v>606</v>
      </c>
      <c r="B44" s="316" t="s">
        <v>607</v>
      </c>
      <c r="C44" s="316"/>
      <c r="D44" s="195">
        <v>0.22</v>
      </c>
      <c r="E44" s="265">
        <v>0.12</v>
      </c>
      <c r="F44" s="230">
        <v>0.5</v>
      </c>
      <c r="G44" s="197">
        <f t="shared" si="14"/>
        <v>0</v>
      </c>
      <c r="H44" s="230">
        <f t="shared" si="14"/>
        <v>10</v>
      </c>
      <c r="I44" s="230">
        <v>1</v>
      </c>
      <c r="J44" s="204">
        <f t="shared" si="16"/>
        <v>0</v>
      </c>
      <c r="K44" s="230">
        <f t="shared" si="17"/>
        <v>1.2</v>
      </c>
      <c r="L44" s="230">
        <f t="shared" si="18"/>
        <v>0.5</v>
      </c>
      <c r="M44" s="210" t="s">
        <v>640</v>
      </c>
      <c r="N44" s="196" t="s">
        <v>609</v>
      </c>
    </row>
    <row r="45" spans="1:14" s="193" customFormat="1" ht="30" customHeight="1" x14ac:dyDescent="0.3">
      <c r="A45" s="194" t="s">
        <v>610</v>
      </c>
      <c r="B45" s="316" t="s">
        <v>611</v>
      </c>
      <c r="C45" s="316"/>
      <c r="D45" s="195">
        <v>0.22</v>
      </c>
      <c r="E45" s="265">
        <v>0.12</v>
      </c>
      <c r="F45" s="230">
        <v>0.5</v>
      </c>
      <c r="G45" s="197">
        <f t="shared" si="14"/>
        <v>8.5860000000000003</v>
      </c>
      <c r="H45" s="230">
        <f t="shared" si="14"/>
        <v>6</v>
      </c>
      <c r="I45" s="230">
        <v>1</v>
      </c>
      <c r="J45" s="204">
        <f t="shared" si="16"/>
        <v>1.8889200000000002</v>
      </c>
      <c r="K45" s="230">
        <f t="shared" si="17"/>
        <v>0.72</v>
      </c>
      <c r="L45" s="230">
        <f t="shared" si="18"/>
        <v>0.5</v>
      </c>
      <c r="M45" s="210">
        <f t="shared" si="8"/>
        <v>-3.1089200000000003</v>
      </c>
      <c r="N45" s="196" t="s">
        <v>612</v>
      </c>
    </row>
    <row r="46" spans="1:14" s="193" customFormat="1" ht="30" customHeight="1" x14ac:dyDescent="0.3">
      <c r="A46" s="194" t="s">
        <v>613</v>
      </c>
      <c r="B46" s="316" t="s">
        <v>662</v>
      </c>
      <c r="C46" s="316"/>
      <c r="D46" s="195">
        <v>0.22</v>
      </c>
      <c r="E46" s="265">
        <v>0.12</v>
      </c>
      <c r="F46" s="230">
        <v>0.5</v>
      </c>
      <c r="G46" s="197">
        <f t="shared" si="14"/>
        <v>31.800999999999998</v>
      </c>
      <c r="H46" s="230">
        <f t="shared" si="14"/>
        <v>18</v>
      </c>
      <c r="I46" s="230">
        <v>1</v>
      </c>
      <c r="J46" s="204">
        <f t="shared" si="16"/>
        <v>6.9962200000000001</v>
      </c>
      <c r="K46" s="230">
        <f t="shared" si="17"/>
        <v>2.16</v>
      </c>
      <c r="L46" s="230">
        <f t="shared" si="18"/>
        <v>0.5</v>
      </c>
      <c r="M46" s="210">
        <f>(L46+K46+J46)*-1</f>
        <v>-9.6562200000000011</v>
      </c>
      <c r="N46" s="196" t="s">
        <v>614</v>
      </c>
    </row>
    <row r="47" spans="1:14" s="193" customFormat="1" ht="30" customHeight="1" x14ac:dyDescent="0.3">
      <c r="A47" s="194" t="s">
        <v>573</v>
      </c>
      <c r="B47" s="316" t="s">
        <v>574</v>
      </c>
      <c r="C47" s="316"/>
      <c r="D47" s="195">
        <v>0.22</v>
      </c>
      <c r="E47" s="265">
        <v>0.12</v>
      </c>
      <c r="F47" s="230">
        <v>0.5</v>
      </c>
      <c r="G47" s="197">
        <f t="shared" si="14"/>
        <v>23.7989</v>
      </c>
      <c r="H47" s="230">
        <f t="shared" si="14"/>
        <v>13</v>
      </c>
      <c r="I47" s="230">
        <v>1</v>
      </c>
      <c r="J47" s="204">
        <f t="shared" si="16"/>
        <v>5.2357579999999997</v>
      </c>
      <c r="K47" s="230">
        <f t="shared" si="17"/>
        <v>1.56</v>
      </c>
      <c r="L47" s="230">
        <f t="shared" si="18"/>
        <v>0.5</v>
      </c>
      <c r="M47" s="210">
        <f>(L47+K47+J47)*-1</f>
        <v>-7.2957579999999993</v>
      </c>
      <c r="N47" s="196" t="s">
        <v>615</v>
      </c>
    </row>
    <row r="48" spans="1:14" s="193" customFormat="1" ht="30" customHeight="1" x14ac:dyDescent="0.3">
      <c r="A48" s="254" t="s">
        <v>616</v>
      </c>
      <c r="B48" s="318" t="s">
        <v>617</v>
      </c>
      <c r="C48" s="316"/>
      <c r="D48" s="195">
        <v>0.22</v>
      </c>
      <c r="E48" s="265">
        <v>0.12</v>
      </c>
      <c r="F48" s="230">
        <v>0.5</v>
      </c>
      <c r="G48" s="197">
        <f t="shared" si="14"/>
        <v>18.7865</v>
      </c>
      <c r="H48" s="230">
        <f t="shared" si="14"/>
        <v>10</v>
      </c>
      <c r="I48" s="230">
        <v>1</v>
      </c>
      <c r="J48" s="204">
        <f>D48*G48</f>
        <v>4.1330299999999998</v>
      </c>
      <c r="K48" s="230">
        <f>H48*E48</f>
        <v>1.2</v>
      </c>
      <c r="L48" s="230">
        <f>F48*I48</f>
        <v>0.5</v>
      </c>
      <c r="M48" s="210">
        <f>(L48+K48+J48)*-1</f>
        <v>-5.8330299999999999</v>
      </c>
      <c r="N48" s="196" t="s">
        <v>618</v>
      </c>
    </row>
    <row r="49" spans="1:14" s="193" customFormat="1" ht="30" customHeight="1" x14ac:dyDescent="0.3">
      <c r="A49" s="255" t="s">
        <v>619</v>
      </c>
      <c r="B49" s="316" t="s">
        <v>621</v>
      </c>
      <c r="C49" s="316"/>
      <c r="D49" s="195">
        <v>0.22</v>
      </c>
      <c r="E49" s="265">
        <v>0.12</v>
      </c>
      <c r="F49" s="230">
        <v>0.5</v>
      </c>
      <c r="G49" s="197">
        <f t="shared" si="14"/>
        <v>14.872999999999999</v>
      </c>
      <c r="H49" s="230">
        <f t="shared" si="14"/>
        <v>9</v>
      </c>
      <c r="I49" s="230">
        <v>1</v>
      </c>
      <c r="J49" s="204">
        <f>D49*G49</f>
        <v>3.2720599999999997</v>
      </c>
      <c r="K49" s="230">
        <f>H49*E49</f>
        <v>1.08</v>
      </c>
      <c r="L49" s="230">
        <f>F49*I49</f>
        <v>0.5</v>
      </c>
      <c r="M49" s="210">
        <f t="shared" si="8"/>
        <v>-4.8520599999999998</v>
      </c>
      <c r="N49" s="196" t="s">
        <v>622</v>
      </c>
    </row>
    <row r="50" spans="1:14" s="193" customFormat="1" ht="30" customHeight="1" thickBot="1" x14ac:dyDescent="0.35">
      <c r="A50" s="256" t="s">
        <v>623</v>
      </c>
      <c r="B50" s="317" t="s">
        <v>624</v>
      </c>
      <c r="C50" s="317"/>
      <c r="D50" s="257">
        <v>0.22</v>
      </c>
      <c r="E50" s="258">
        <v>0.12</v>
      </c>
      <c r="F50" s="258">
        <v>0.5</v>
      </c>
      <c r="G50" s="259">
        <f t="shared" si="14"/>
        <v>36.228000000000002</v>
      </c>
      <c r="H50" s="258">
        <f t="shared" si="14"/>
        <v>13</v>
      </c>
      <c r="I50" s="258">
        <v>1</v>
      </c>
      <c r="J50" s="260">
        <f>D50*G50</f>
        <v>7.9701600000000008</v>
      </c>
      <c r="K50" s="258">
        <f>H50*E50</f>
        <v>1.56</v>
      </c>
      <c r="L50" s="258">
        <f>F50*I50</f>
        <v>0.5</v>
      </c>
      <c r="M50" s="261">
        <f t="shared" si="8"/>
        <v>-10.03016</v>
      </c>
      <c r="N50" s="262" t="s">
        <v>625</v>
      </c>
    </row>
  </sheetData>
  <mergeCells count="46">
    <mergeCell ref="B15:C15"/>
    <mergeCell ref="A2:N2"/>
    <mergeCell ref="K3:N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4:C14"/>
    <mergeCell ref="B13:C13"/>
    <mergeCell ref="K29:N29"/>
    <mergeCell ref="B17:C17"/>
    <mergeCell ref="B18:C18"/>
    <mergeCell ref="B19:C19"/>
    <mergeCell ref="B20:C20"/>
    <mergeCell ref="B21:C21"/>
    <mergeCell ref="B22:C22"/>
    <mergeCell ref="B23:C23"/>
    <mergeCell ref="B24:C24"/>
    <mergeCell ref="A28:N28"/>
    <mergeCell ref="B36:C36"/>
    <mergeCell ref="B37:C37"/>
    <mergeCell ref="B38:C38"/>
    <mergeCell ref="B40:C40"/>
    <mergeCell ref="B41:C41"/>
    <mergeCell ref="B39:C39"/>
    <mergeCell ref="B16:C16"/>
    <mergeCell ref="B42:C42"/>
    <mergeCell ref="B44:C44"/>
    <mergeCell ref="B50:C50"/>
    <mergeCell ref="B45:C45"/>
    <mergeCell ref="B46:C46"/>
    <mergeCell ref="B47:C47"/>
    <mergeCell ref="B48:C48"/>
    <mergeCell ref="B49:C49"/>
    <mergeCell ref="B43:C43"/>
    <mergeCell ref="B30:C30"/>
    <mergeCell ref="B31:C31"/>
    <mergeCell ref="B32:C32"/>
    <mergeCell ref="B33:C33"/>
    <mergeCell ref="B34:C34"/>
    <mergeCell ref="B35:C35"/>
  </mergeCells>
  <phoneticPr fontId="1" type="noConversion"/>
  <pageMargins left="0.5" right="0.27559055118110237" top="0.41" bottom="0.37" header="0.32" footer="0.32"/>
  <pageSetup paperSize="9" scale="68" orientation="landscape" horizontalDpi="300" verticalDpi="300" r:id="rId1"/>
  <headerFooter alignWithMargins="0"/>
  <rowBreaks count="1" manualBreakCount="1">
    <brk id="26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1"/>
  <sheetViews>
    <sheetView view="pageBreakPreview" zoomScale="70" zoomScaleNormal="100" zoomScaleSheetLayoutView="70" workbookViewId="0">
      <pane ySplit="3" topLeftCell="A4" activePane="bottomLeft" state="frozen"/>
      <selection activeCell="F26" sqref="F26"/>
      <selection pane="bottomLeft" activeCell="F26" sqref="F26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customWidth="1"/>
    <col min="13" max="13" width="9" style="1" customWidth="1"/>
  </cols>
  <sheetData>
    <row r="1" spans="1:14" ht="32.1" customHeight="1" x14ac:dyDescent="0.3">
      <c r="A1" s="341" t="s">
        <v>8</v>
      </c>
      <c r="B1" s="342"/>
      <c r="C1" s="324"/>
      <c r="D1" s="110" t="s">
        <v>11</v>
      </c>
      <c r="E1" s="111" t="s">
        <v>12</v>
      </c>
      <c r="F1" s="340" t="s">
        <v>526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 s="71">
        <f>COUNTIF(N4:N198,0)/COUNT(A:A)</f>
        <v>0.34444444444444444</v>
      </c>
    </row>
    <row r="2" spans="1:14" ht="32.1" customHeight="1" thickBot="1" x14ac:dyDescent="0.35">
      <c r="A2" s="333" t="s">
        <v>9</v>
      </c>
      <c r="B2" s="334"/>
      <c r="C2" s="335"/>
      <c r="D2" s="7" t="s">
        <v>538</v>
      </c>
      <c r="E2" s="112" t="s">
        <v>525</v>
      </c>
      <c r="F2" s="336" t="s">
        <v>5</v>
      </c>
      <c r="G2" s="337"/>
      <c r="H2" s="337" t="s">
        <v>7</v>
      </c>
      <c r="I2" s="337"/>
      <c r="J2" s="338" t="s">
        <v>3</v>
      </c>
      <c r="K2" s="332"/>
      <c r="L2" s="332"/>
      <c r="M2" s="332"/>
    </row>
    <row r="3" spans="1:14" ht="32.1" customHeight="1" x14ac:dyDescent="0.3">
      <c r="A3" s="113" t="s">
        <v>0</v>
      </c>
      <c r="B3" s="113" t="s">
        <v>1</v>
      </c>
      <c r="C3" s="113" t="s">
        <v>23</v>
      </c>
      <c r="D3" s="113" t="s">
        <v>2</v>
      </c>
      <c r="E3" s="113" t="s">
        <v>3</v>
      </c>
      <c r="F3" s="156" t="s">
        <v>4</v>
      </c>
      <c r="G3" s="156" t="s">
        <v>506</v>
      </c>
      <c r="H3" s="156" t="s">
        <v>4</v>
      </c>
      <c r="I3" s="156" t="s">
        <v>506</v>
      </c>
      <c r="J3" s="338"/>
      <c r="K3" s="332"/>
      <c r="L3" s="332"/>
      <c r="M3" s="332"/>
    </row>
    <row r="4" spans="1:14" ht="30.95" customHeight="1" x14ac:dyDescent="0.3">
      <c r="A4" s="64">
        <v>1</v>
      </c>
      <c r="B4" s="344" t="s">
        <v>125</v>
      </c>
      <c r="C4" s="73"/>
      <c r="D4" s="74"/>
      <c r="E4" s="73"/>
      <c r="F4" s="75"/>
      <c r="G4" s="75"/>
      <c r="H4" s="75"/>
      <c r="I4" s="75"/>
      <c r="J4" s="164" t="s">
        <v>539</v>
      </c>
      <c r="K4" s="351"/>
      <c r="L4" s="351"/>
      <c r="M4" s="166"/>
      <c r="N4">
        <f>IF(C4="",0,1)</f>
        <v>0</v>
      </c>
    </row>
    <row r="5" spans="1:14" ht="30.95" customHeight="1" x14ac:dyDescent="0.3">
      <c r="A5" s="18">
        <v>2</v>
      </c>
      <c r="B5" s="344"/>
      <c r="C5" s="76"/>
      <c r="D5" s="77"/>
      <c r="E5" s="76"/>
      <c r="F5" s="78"/>
      <c r="G5" s="78"/>
      <c r="H5" s="78"/>
      <c r="I5" s="78"/>
      <c r="J5" s="164" t="s">
        <v>539</v>
      </c>
      <c r="K5" s="352"/>
      <c r="L5" s="352"/>
      <c r="M5" s="81"/>
      <c r="N5">
        <f t="shared" ref="N5:N68" si="0">IF(C5="",0,1)</f>
        <v>0</v>
      </c>
    </row>
    <row r="6" spans="1:14" ht="30.95" customHeight="1" x14ac:dyDescent="0.3">
      <c r="A6" s="18">
        <v>3</v>
      </c>
      <c r="B6" s="344"/>
      <c r="C6" s="130" t="s">
        <v>62</v>
      </c>
      <c r="D6" s="12" t="s">
        <v>70</v>
      </c>
      <c r="E6" s="130"/>
      <c r="F6" s="155"/>
      <c r="G6" s="155"/>
      <c r="H6" s="155"/>
      <c r="I6" s="155"/>
      <c r="J6" s="163" t="s">
        <v>539</v>
      </c>
      <c r="K6" s="352"/>
      <c r="L6" s="352"/>
      <c r="M6" s="361"/>
      <c r="N6">
        <f t="shared" si="0"/>
        <v>1</v>
      </c>
    </row>
    <row r="7" spans="1:14" ht="30.95" customHeight="1" x14ac:dyDescent="0.3">
      <c r="A7" s="18">
        <v>4</v>
      </c>
      <c r="B7" s="344"/>
      <c r="C7" s="130" t="s">
        <v>62</v>
      </c>
      <c r="D7" s="12" t="s">
        <v>71</v>
      </c>
      <c r="E7" s="130"/>
      <c r="F7" s="155"/>
      <c r="G7" s="155"/>
      <c r="H7" s="155"/>
      <c r="I7" s="155"/>
      <c r="J7" s="163" t="s">
        <v>539</v>
      </c>
      <c r="K7" s="352"/>
      <c r="L7" s="352"/>
      <c r="M7" s="359"/>
      <c r="N7">
        <f t="shared" si="0"/>
        <v>1</v>
      </c>
    </row>
    <row r="8" spans="1:14" ht="30.95" customHeight="1" x14ac:dyDescent="0.3">
      <c r="A8" s="18">
        <v>5</v>
      </c>
      <c r="B8" s="344"/>
      <c r="C8" s="130" t="s">
        <v>26</v>
      </c>
      <c r="D8" s="12" t="s">
        <v>371</v>
      </c>
      <c r="E8" s="130"/>
      <c r="F8" s="155"/>
      <c r="G8" s="155"/>
      <c r="H8" s="155"/>
      <c r="I8" s="155"/>
      <c r="J8" s="163" t="s">
        <v>539</v>
      </c>
      <c r="K8" s="352"/>
      <c r="L8" s="352"/>
      <c r="M8" s="359"/>
      <c r="N8">
        <f t="shared" si="0"/>
        <v>1</v>
      </c>
    </row>
    <row r="9" spans="1:14" ht="30.95" customHeight="1" x14ac:dyDescent="0.3">
      <c r="A9" s="18">
        <v>6</v>
      </c>
      <c r="B9" s="344"/>
      <c r="C9" s="76"/>
      <c r="D9" s="77"/>
      <c r="E9" s="76"/>
      <c r="F9" s="78"/>
      <c r="G9" s="78"/>
      <c r="H9" s="78"/>
      <c r="I9" s="78"/>
      <c r="J9" s="164" t="s">
        <v>539</v>
      </c>
      <c r="K9" s="352"/>
      <c r="L9" s="352"/>
      <c r="M9" s="359"/>
      <c r="N9">
        <f t="shared" si="0"/>
        <v>0</v>
      </c>
    </row>
    <row r="10" spans="1:14" ht="30.95" customHeight="1" x14ac:dyDescent="0.3">
      <c r="A10" s="18">
        <v>7</v>
      </c>
      <c r="B10" s="344"/>
      <c r="C10" s="130" t="s">
        <v>62</v>
      </c>
      <c r="D10" s="12" t="s">
        <v>373</v>
      </c>
      <c r="E10" s="130"/>
      <c r="F10" s="155"/>
      <c r="G10" s="155"/>
      <c r="H10" s="155"/>
      <c r="I10" s="155"/>
      <c r="J10" s="163" t="s">
        <v>539</v>
      </c>
      <c r="K10" s="352"/>
      <c r="L10" s="352"/>
      <c r="M10" s="359"/>
      <c r="N10">
        <f t="shared" si="0"/>
        <v>1</v>
      </c>
    </row>
    <row r="11" spans="1:14" ht="30.95" customHeight="1" x14ac:dyDescent="0.3">
      <c r="A11" s="18">
        <v>8</v>
      </c>
      <c r="B11" s="344"/>
      <c r="C11" s="130" t="s">
        <v>62</v>
      </c>
      <c r="D11" s="12" t="s">
        <v>476</v>
      </c>
      <c r="E11" s="130"/>
      <c r="F11" s="155"/>
      <c r="G11" s="155"/>
      <c r="H11" s="155"/>
      <c r="I11" s="155"/>
      <c r="J11" s="163" t="s">
        <v>539</v>
      </c>
      <c r="K11" s="352"/>
      <c r="L11" s="352"/>
      <c r="M11" s="359"/>
      <c r="N11">
        <f t="shared" si="0"/>
        <v>1</v>
      </c>
    </row>
    <row r="12" spans="1:14" ht="30.95" customHeight="1" x14ac:dyDescent="0.3">
      <c r="A12" s="18">
        <v>9</v>
      </c>
      <c r="B12" s="344"/>
      <c r="C12" s="130" t="s">
        <v>540</v>
      </c>
      <c r="D12" s="12" t="s">
        <v>541</v>
      </c>
      <c r="E12" s="130"/>
      <c r="F12" s="155"/>
      <c r="G12" s="155"/>
      <c r="H12" s="155"/>
      <c r="I12" s="155"/>
      <c r="J12" s="163" t="s">
        <v>539</v>
      </c>
      <c r="K12" s="352"/>
      <c r="L12" s="352"/>
      <c r="M12" s="359"/>
      <c r="N12">
        <f t="shared" si="0"/>
        <v>1</v>
      </c>
    </row>
    <row r="13" spans="1:14" ht="30.95" customHeight="1" x14ac:dyDescent="0.3">
      <c r="A13" s="18">
        <v>10</v>
      </c>
      <c r="B13" s="344"/>
      <c r="C13" s="76"/>
      <c r="D13" s="77"/>
      <c r="E13" s="76"/>
      <c r="F13" s="78"/>
      <c r="G13" s="78"/>
      <c r="H13" s="78"/>
      <c r="I13" s="78"/>
      <c r="J13" s="164" t="s">
        <v>539</v>
      </c>
      <c r="K13" s="352"/>
      <c r="L13" s="352"/>
      <c r="M13" s="359"/>
      <c r="N13">
        <f t="shared" si="0"/>
        <v>0</v>
      </c>
    </row>
    <row r="14" spans="1:14" ht="30.95" customHeight="1" x14ac:dyDescent="0.3">
      <c r="A14" s="18">
        <v>11</v>
      </c>
      <c r="B14" s="344"/>
      <c r="C14" s="76"/>
      <c r="D14" s="77"/>
      <c r="E14" s="76"/>
      <c r="F14" s="78"/>
      <c r="G14" s="78"/>
      <c r="H14" s="78"/>
      <c r="I14" s="78"/>
      <c r="J14" s="164" t="s">
        <v>539</v>
      </c>
      <c r="K14" s="352"/>
      <c r="L14" s="352"/>
      <c r="M14" s="359"/>
      <c r="N14">
        <f t="shared" si="0"/>
        <v>0</v>
      </c>
    </row>
    <row r="15" spans="1:14" ht="30.95" customHeight="1" x14ac:dyDescent="0.3">
      <c r="A15" s="18">
        <v>12</v>
      </c>
      <c r="B15" s="344"/>
      <c r="C15" s="85" t="s">
        <v>63</v>
      </c>
      <c r="D15" s="86" t="s">
        <v>493</v>
      </c>
      <c r="E15" s="85"/>
      <c r="F15" s="87"/>
      <c r="G15" s="87"/>
      <c r="H15" s="87"/>
      <c r="I15" s="87"/>
      <c r="J15" s="163" t="s">
        <v>539</v>
      </c>
      <c r="K15" s="352"/>
      <c r="L15" s="352"/>
      <c r="M15" s="359"/>
      <c r="N15">
        <f t="shared" si="0"/>
        <v>1</v>
      </c>
    </row>
    <row r="16" spans="1:14" ht="30.95" customHeight="1" x14ac:dyDescent="0.3">
      <c r="A16" s="18">
        <v>13</v>
      </c>
      <c r="B16" s="344"/>
      <c r="C16" s="130" t="s">
        <v>62</v>
      </c>
      <c r="D16" s="12" t="s">
        <v>72</v>
      </c>
      <c r="E16" s="130"/>
      <c r="F16" s="155"/>
      <c r="G16" s="155"/>
      <c r="H16" s="155"/>
      <c r="I16" s="155"/>
      <c r="J16" s="163" t="s">
        <v>539</v>
      </c>
      <c r="K16" s="352"/>
      <c r="L16" s="352"/>
      <c r="M16" s="359"/>
      <c r="N16">
        <f t="shared" si="0"/>
        <v>1</v>
      </c>
    </row>
    <row r="17" spans="1:14" ht="30.95" customHeight="1" x14ac:dyDescent="0.3">
      <c r="A17" s="18">
        <v>14</v>
      </c>
      <c r="B17" s="344"/>
      <c r="C17" s="130" t="s">
        <v>62</v>
      </c>
      <c r="D17" s="12" t="s">
        <v>72</v>
      </c>
      <c r="E17" s="130"/>
      <c r="F17" s="155"/>
      <c r="G17" s="155"/>
      <c r="H17" s="155"/>
      <c r="I17" s="155"/>
      <c r="J17" s="163" t="s">
        <v>539</v>
      </c>
      <c r="K17" s="352"/>
      <c r="L17" s="352"/>
      <c r="M17" s="359"/>
      <c r="N17">
        <f t="shared" si="0"/>
        <v>1</v>
      </c>
    </row>
    <row r="18" spans="1:14" ht="30.95" customHeight="1" x14ac:dyDescent="0.3">
      <c r="A18" s="18">
        <v>15</v>
      </c>
      <c r="B18" s="344"/>
      <c r="C18" s="130" t="s">
        <v>62</v>
      </c>
      <c r="D18" s="12" t="s">
        <v>372</v>
      </c>
      <c r="E18" s="130"/>
      <c r="F18" s="155"/>
      <c r="G18" s="155"/>
      <c r="H18" s="155"/>
      <c r="I18" s="155"/>
      <c r="J18" s="163" t="s">
        <v>539</v>
      </c>
      <c r="K18" s="352"/>
      <c r="L18" s="352"/>
      <c r="M18" s="359"/>
      <c r="N18">
        <f t="shared" si="0"/>
        <v>1</v>
      </c>
    </row>
    <row r="19" spans="1:14" ht="30.95" customHeight="1" x14ac:dyDescent="0.3">
      <c r="A19" s="18">
        <v>16</v>
      </c>
      <c r="B19" s="344"/>
      <c r="C19" s="130" t="s">
        <v>62</v>
      </c>
      <c r="D19" s="12" t="s">
        <v>372</v>
      </c>
      <c r="E19" s="130"/>
      <c r="F19" s="155"/>
      <c r="G19" s="155"/>
      <c r="H19" s="155"/>
      <c r="I19" s="155"/>
      <c r="J19" s="163" t="s">
        <v>539</v>
      </c>
      <c r="K19" s="352"/>
      <c r="L19" s="352"/>
      <c r="M19" s="359"/>
      <c r="N19">
        <f t="shared" si="0"/>
        <v>1</v>
      </c>
    </row>
    <row r="20" spans="1:14" ht="30.95" customHeight="1" x14ac:dyDescent="0.3">
      <c r="A20" s="18">
        <v>17</v>
      </c>
      <c r="B20" s="344"/>
      <c r="C20" s="130" t="s">
        <v>62</v>
      </c>
      <c r="D20" s="12" t="s">
        <v>73</v>
      </c>
      <c r="E20" s="130"/>
      <c r="F20" s="155"/>
      <c r="G20" s="155"/>
      <c r="H20" s="155"/>
      <c r="I20" s="155"/>
      <c r="J20" s="163" t="s">
        <v>539</v>
      </c>
      <c r="K20" s="352"/>
      <c r="L20" s="352"/>
      <c r="M20" s="359"/>
      <c r="N20">
        <f t="shared" si="0"/>
        <v>1</v>
      </c>
    </row>
    <row r="21" spans="1:14" ht="30.95" customHeight="1" x14ac:dyDescent="0.3">
      <c r="A21" s="18">
        <v>18</v>
      </c>
      <c r="B21" s="344"/>
      <c r="C21" s="130" t="s">
        <v>62</v>
      </c>
      <c r="D21" s="12" t="s">
        <v>74</v>
      </c>
      <c r="E21" s="130"/>
      <c r="F21" s="155"/>
      <c r="G21" s="155"/>
      <c r="H21" s="155"/>
      <c r="I21" s="155"/>
      <c r="J21" s="163" t="s">
        <v>539</v>
      </c>
      <c r="K21" s="352"/>
      <c r="L21" s="352"/>
      <c r="M21" s="359"/>
      <c r="N21">
        <f t="shared" si="0"/>
        <v>1</v>
      </c>
    </row>
    <row r="22" spans="1:14" ht="30.95" customHeight="1" x14ac:dyDescent="0.3">
      <c r="A22" s="18">
        <v>19</v>
      </c>
      <c r="B22" s="344"/>
      <c r="C22" s="130" t="s">
        <v>29</v>
      </c>
      <c r="D22" s="12" t="s">
        <v>75</v>
      </c>
      <c r="E22" s="130"/>
      <c r="F22" s="155"/>
      <c r="G22" s="155"/>
      <c r="H22" s="155"/>
      <c r="I22" s="155"/>
      <c r="J22" s="163" t="s">
        <v>539</v>
      </c>
      <c r="K22" s="352"/>
      <c r="L22" s="352"/>
      <c r="M22" s="359"/>
      <c r="N22">
        <f t="shared" si="0"/>
        <v>1</v>
      </c>
    </row>
    <row r="23" spans="1:14" ht="30.95" customHeight="1" x14ac:dyDescent="0.3">
      <c r="A23" s="18">
        <v>20</v>
      </c>
      <c r="B23" s="344"/>
      <c r="C23" s="130" t="s">
        <v>29</v>
      </c>
      <c r="D23" s="12" t="s">
        <v>76</v>
      </c>
      <c r="E23" s="130"/>
      <c r="F23" s="155"/>
      <c r="G23" s="155"/>
      <c r="H23" s="155"/>
      <c r="I23" s="155"/>
      <c r="J23" s="163" t="s">
        <v>539</v>
      </c>
      <c r="K23" s="352"/>
      <c r="L23" s="352"/>
      <c r="M23" s="359"/>
      <c r="N23">
        <f t="shared" si="0"/>
        <v>1</v>
      </c>
    </row>
    <row r="24" spans="1:14" ht="30.95" customHeight="1" x14ac:dyDescent="0.3">
      <c r="A24" s="18">
        <v>21</v>
      </c>
      <c r="B24" s="344"/>
      <c r="C24" s="130" t="s">
        <v>62</v>
      </c>
      <c r="D24" s="12" t="s">
        <v>77</v>
      </c>
      <c r="E24" s="130"/>
      <c r="F24" s="155"/>
      <c r="G24" s="155"/>
      <c r="H24" s="155"/>
      <c r="I24" s="155"/>
      <c r="J24" s="163" t="s">
        <v>539</v>
      </c>
      <c r="K24" s="352"/>
      <c r="L24" s="352"/>
      <c r="M24" s="359"/>
      <c r="N24">
        <f t="shared" si="0"/>
        <v>1</v>
      </c>
    </row>
    <row r="25" spans="1:14" ht="30.95" customHeight="1" x14ac:dyDescent="0.3">
      <c r="A25" s="18">
        <v>22</v>
      </c>
      <c r="B25" s="344"/>
      <c r="C25" s="76"/>
      <c r="D25" s="77"/>
      <c r="E25" s="76" t="s">
        <v>78</v>
      </c>
      <c r="F25" s="78"/>
      <c r="G25" s="78"/>
      <c r="H25" s="78"/>
      <c r="I25" s="78"/>
      <c r="J25" s="164" t="s">
        <v>539</v>
      </c>
      <c r="K25" s="352"/>
      <c r="L25" s="352"/>
      <c r="M25" s="359"/>
      <c r="N25">
        <f t="shared" si="0"/>
        <v>0</v>
      </c>
    </row>
    <row r="26" spans="1:14" ht="30.95" customHeight="1" x14ac:dyDescent="0.3">
      <c r="A26" s="18">
        <v>23</v>
      </c>
      <c r="B26" s="344"/>
      <c r="C26" s="130" t="s">
        <v>24</v>
      </c>
      <c r="D26" s="12" t="s">
        <v>79</v>
      </c>
      <c r="E26" s="130"/>
      <c r="F26" s="155"/>
      <c r="G26" s="155"/>
      <c r="H26" s="155"/>
      <c r="I26" s="155"/>
      <c r="J26" s="163" t="s">
        <v>539</v>
      </c>
      <c r="K26" s="352"/>
      <c r="L26" s="352"/>
      <c r="M26" s="359"/>
      <c r="N26">
        <f t="shared" si="0"/>
        <v>1</v>
      </c>
    </row>
    <row r="27" spans="1:14" ht="30.95" customHeight="1" thickBot="1" x14ac:dyDescent="0.35">
      <c r="A27" s="21">
        <v>24</v>
      </c>
      <c r="B27" s="344"/>
      <c r="C27" s="130" t="s">
        <v>24</v>
      </c>
      <c r="D27" s="12" t="s">
        <v>80</v>
      </c>
      <c r="E27" s="130"/>
      <c r="F27" s="155"/>
      <c r="G27" s="155"/>
      <c r="H27" s="155"/>
      <c r="I27" s="155"/>
      <c r="J27" s="163" t="s">
        <v>539</v>
      </c>
      <c r="K27" s="353"/>
      <c r="L27" s="353"/>
      <c r="M27" s="362"/>
      <c r="N27">
        <f t="shared" si="0"/>
        <v>1</v>
      </c>
    </row>
    <row r="28" spans="1:14" ht="30.95" customHeight="1" x14ac:dyDescent="0.3">
      <c r="A28" s="25">
        <v>25</v>
      </c>
      <c r="B28" s="344" t="s">
        <v>125</v>
      </c>
      <c r="C28" s="130" t="s">
        <v>63</v>
      </c>
      <c r="D28" s="12" t="s">
        <v>81</v>
      </c>
      <c r="E28" s="130"/>
      <c r="F28" s="155"/>
      <c r="G28" s="155"/>
      <c r="H28" s="155"/>
      <c r="I28" s="155"/>
      <c r="J28" s="163" t="s">
        <v>539</v>
      </c>
      <c r="K28" s="351"/>
      <c r="L28" s="354"/>
      <c r="M28" s="364"/>
      <c r="N28">
        <f t="shared" si="0"/>
        <v>1</v>
      </c>
    </row>
    <row r="29" spans="1:14" ht="30.95" customHeight="1" x14ac:dyDescent="0.3">
      <c r="A29" s="18">
        <v>26</v>
      </c>
      <c r="B29" s="346"/>
      <c r="C29" s="130" t="s">
        <v>63</v>
      </c>
      <c r="D29" s="12" t="s">
        <v>81</v>
      </c>
      <c r="E29" s="130"/>
      <c r="F29" s="155"/>
      <c r="G29" s="155"/>
      <c r="H29" s="155"/>
      <c r="I29" s="155"/>
      <c r="J29" s="163" t="s">
        <v>539</v>
      </c>
      <c r="K29" s="352"/>
      <c r="L29" s="355"/>
      <c r="M29" s="365"/>
      <c r="N29">
        <f t="shared" si="0"/>
        <v>1</v>
      </c>
    </row>
    <row r="30" spans="1:14" ht="30.95" customHeight="1" x14ac:dyDescent="0.3">
      <c r="A30" s="18">
        <v>27</v>
      </c>
      <c r="B30" s="346"/>
      <c r="C30" s="130" t="s">
        <v>63</v>
      </c>
      <c r="D30" s="12" t="s">
        <v>94</v>
      </c>
      <c r="E30" s="130"/>
      <c r="F30" s="155"/>
      <c r="G30" s="155"/>
      <c r="H30" s="155"/>
      <c r="I30" s="155"/>
      <c r="J30" s="163" t="s">
        <v>539</v>
      </c>
      <c r="K30" s="352"/>
      <c r="L30" s="355"/>
      <c r="M30" s="365"/>
      <c r="N30">
        <f t="shared" si="0"/>
        <v>1</v>
      </c>
    </row>
    <row r="31" spans="1:14" ht="30.95" customHeight="1" x14ac:dyDescent="0.3">
      <c r="A31" s="18">
        <v>28</v>
      </c>
      <c r="B31" s="346"/>
      <c r="C31" s="130" t="s">
        <v>63</v>
      </c>
      <c r="D31" s="12" t="s">
        <v>95</v>
      </c>
      <c r="E31" s="130"/>
      <c r="F31" s="155"/>
      <c r="G31" s="155"/>
      <c r="H31" s="155"/>
      <c r="I31" s="155"/>
      <c r="J31" s="163" t="s">
        <v>539</v>
      </c>
      <c r="K31" s="352"/>
      <c r="L31" s="355"/>
      <c r="M31" s="365"/>
      <c r="N31">
        <f t="shared" si="0"/>
        <v>1</v>
      </c>
    </row>
    <row r="32" spans="1:14" ht="30.95" customHeight="1" x14ac:dyDescent="0.3">
      <c r="A32" s="18">
        <v>29</v>
      </c>
      <c r="B32" s="346"/>
      <c r="C32" s="85" t="s">
        <v>26</v>
      </c>
      <c r="D32" s="86" t="s">
        <v>483</v>
      </c>
      <c r="E32" s="85"/>
      <c r="F32" s="87"/>
      <c r="G32" s="87"/>
      <c r="H32" s="87"/>
      <c r="I32" s="87"/>
      <c r="J32" s="167" t="s">
        <v>539</v>
      </c>
      <c r="K32" s="352"/>
      <c r="L32" s="355"/>
      <c r="M32" s="365"/>
      <c r="N32">
        <f t="shared" si="0"/>
        <v>1</v>
      </c>
    </row>
    <row r="33" spans="1:14" ht="30.95" customHeight="1" x14ac:dyDescent="0.3">
      <c r="A33" s="18">
        <v>30</v>
      </c>
      <c r="B33" s="346"/>
      <c r="C33" s="85" t="s">
        <v>26</v>
      </c>
      <c r="D33" s="86" t="s">
        <v>484</v>
      </c>
      <c r="E33" s="85"/>
      <c r="F33" s="87"/>
      <c r="G33" s="87"/>
      <c r="H33" s="87"/>
      <c r="I33" s="87"/>
      <c r="J33" s="167" t="s">
        <v>539</v>
      </c>
      <c r="K33" s="352"/>
      <c r="L33" s="355"/>
      <c r="M33" s="365"/>
      <c r="N33">
        <f t="shared" si="0"/>
        <v>1</v>
      </c>
    </row>
    <row r="34" spans="1:14" ht="30.95" customHeight="1" x14ac:dyDescent="0.3">
      <c r="A34" s="18">
        <v>31</v>
      </c>
      <c r="B34" s="346"/>
      <c r="C34" s="76"/>
      <c r="D34" s="77"/>
      <c r="E34" s="76"/>
      <c r="F34" s="78"/>
      <c r="G34" s="78"/>
      <c r="H34" s="78"/>
      <c r="I34" s="78"/>
      <c r="J34" s="164" t="s">
        <v>539</v>
      </c>
      <c r="K34" s="352"/>
      <c r="L34" s="355"/>
      <c r="M34" s="365"/>
      <c r="N34">
        <f t="shared" si="0"/>
        <v>0</v>
      </c>
    </row>
    <row r="35" spans="1:14" ht="30.95" customHeight="1" x14ac:dyDescent="0.3">
      <c r="A35" s="18">
        <v>32</v>
      </c>
      <c r="B35" s="346"/>
      <c r="C35" s="76"/>
      <c r="D35" s="77"/>
      <c r="E35" s="76"/>
      <c r="F35" s="78"/>
      <c r="G35" s="78"/>
      <c r="H35" s="78"/>
      <c r="I35" s="78"/>
      <c r="J35" s="164" t="s">
        <v>539</v>
      </c>
      <c r="K35" s="352"/>
      <c r="L35" s="355"/>
      <c r="M35" s="365"/>
      <c r="N35">
        <f t="shared" si="0"/>
        <v>0</v>
      </c>
    </row>
    <row r="36" spans="1:14" ht="30.95" customHeight="1" x14ac:dyDescent="0.3">
      <c r="A36" s="18">
        <v>33</v>
      </c>
      <c r="B36" s="346"/>
      <c r="C36" s="130" t="s">
        <v>62</v>
      </c>
      <c r="D36" s="12" t="s">
        <v>82</v>
      </c>
      <c r="E36" s="130" t="s">
        <v>83</v>
      </c>
      <c r="F36" s="155"/>
      <c r="G36" s="155"/>
      <c r="H36" s="155"/>
      <c r="I36" s="155"/>
      <c r="J36" s="163" t="s">
        <v>539</v>
      </c>
      <c r="K36" s="352"/>
      <c r="L36" s="355"/>
      <c r="M36" s="365"/>
      <c r="N36">
        <f t="shared" si="0"/>
        <v>1</v>
      </c>
    </row>
    <row r="37" spans="1:14" ht="30.95" customHeight="1" x14ac:dyDescent="0.3">
      <c r="A37" s="18">
        <v>34</v>
      </c>
      <c r="B37" s="346"/>
      <c r="C37" s="130" t="s">
        <v>62</v>
      </c>
      <c r="D37" s="12" t="s">
        <v>84</v>
      </c>
      <c r="E37" s="130" t="s">
        <v>83</v>
      </c>
      <c r="F37" s="155"/>
      <c r="G37" s="155"/>
      <c r="H37" s="155"/>
      <c r="I37" s="155"/>
      <c r="J37" s="163" t="s">
        <v>539</v>
      </c>
      <c r="K37" s="352"/>
      <c r="L37" s="355"/>
      <c r="M37" s="365"/>
      <c r="N37">
        <f t="shared" si="0"/>
        <v>1</v>
      </c>
    </row>
    <row r="38" spans="1:14" ht="30.95" customHeight="1" x14ac:dyDescent="0.3">
      <c r="A38" s="18">
        <v>35</v>
      </c>
      <c r="B38" s="346"/>
      <c r="C38" s="130" t="s">
        <v>62</v>
      </c>
      <c r="D38" s="12" t="s">
        <v>73</v>
      </c>
      <c r="E38" s="130"/>
      <c r="F38" s="155"/>
      <c r="G38" s="155"/>
      <c r="H38" s="155"/>
      <c r="I38" s="155"/>
      <c r="J38" s="163" t="s">
        <v>539</v>
      </c>
      <c r="K38" s="352"/>
      <c r="L38" s="355"/>
      <c r="M38" s="365"/>
      <c r="N38">
        <f t="shared" si="0"/>
        <v>1</v>
      </c>
    </row>
    <row r="39" spans="1:14" ht="30.95" customHeight="1" x14ac:dyDescent="0.3">
      <c r="A39" s="18">
        <v>36</v>
      </c>
      <c r="B39" s="346"/>
      <c r="C39" s="130" t="s">
        <v>62</v>
      </c>
      <c r="D39" s="12" t="s">
        <v>85</v>
      </c>
      <c r="E39" s="130"/>
      <c r="F39" s="155"/>
      <c r="G39" s="155"/>
      <c r="H39" s="155"/>
      <c r="I39" s="155"/>
      <c r="J39" s="163" t="s">
        <v>539</v>
      </c>
      <c r="K39" s="352"/>
      <c r="L39" s="355"/>
      <c r="M39" s="365"/>
      <c r="N39">
        <f t="shared" si="0"/>
        <v>1</v>
      </c>
    </row>
    <row r="40" spans="1:14" ht="30.95" customHeight="1" x14ac:dyDescent="0.3">
      <c r="A40" s="18">
        <v>37</v>
      </c>
      <c r="B40" s="346"/>
      <c r="C40" s="130" t="s">
        <v>62</v>
      </c>
      <c r="D40" s="12" t="s">
        <v>86</v>
      </c>
      <c r="E40" s="130"/>
      <c r="F40" s="155"/>
      <c r="G40" s="155"/>
      <c r="H40" s="155"/>
      <c r="I40" s="155"/>
      <c r="J40" s="163" t="s">
        <v>539</v>
      </c>
      <c r="K40" s="352"/>
      <c r="L40" s="355"/>
      <c r="M40" s="365"/>
      <c r="N40">
        <f t="shared" si="0"/>
        <v>1</v>
      </c>
    </row>
    <row r="41" spans="1:14" ht="30.95" customHeight="1" x14ac:dyDescent="0.3">
      <c r="A41" s="18">
        <v>38</v>
      </c>
      <c r="B41" s="346"/>
      <c r="C41" s="130" t="s">
        <v>62</v>
      </c>
      <c r="D41" s="12" t="s">
        <v>86</v>
      </c>
      <c r="E41" s="130"/>
      <c r="F41" s="155"/>
      <c r="G41" s="155"/>
      <c r="H41" s="155"/>
      <c r="I41" s="155"/>
      <c r="J41" s="163" t="s">
        <v>539</v>
      </c>
      <c r="K41" s="352"/>
      <c r="L41" s="355"/>
      <c r="M41" s="365"/>
      <c r="N41">
        <f t="shared" si="0"/>
        <v>1</v>
      </c>
    </row>
    <row r="42" spans="1:14" ht="30.95" customHeight="1" x14ac:dyDescent="0.3">
      <c r="A42" s="18">
        <v>39</v>
      </c>
      <c r="B42" s="346"/>
      <c r="C42" s="130" t="s">
        <v>62</v>
      </c>
      <c r="D42" s="12" t="s">
        <v>87</v>
      </c>
      <c r="E42" s="130" t="s">
        <v>83</v>
      </c>
      <c r="F42" s="155"/>
      <c r="G42" s="155"/>
      <c r="H42" s="155"/>
      <c r="I42" s="155"/>
      <c r="J42" s="163" t="s">
        <v>539</v>
      </c>
      <c r="K42" s="352"/>
      <c r="L42" s="355"/>
      <c r="M42" s="365"/>
      <c r="N42">
        <f t="shared" si="0"/>
        <v>1</v>
      </c>
    </row>
    <row r="43" spans="1:14" ht="30.95" customHeight="1" x14ac:dyDescent="0.3">
      <c r="A43" s="18">
        <v>40</v>
      </c>
      <c r="B43" s="346"/>
      <c r="C43" s="130" t="s">
        <v>62</v>
      </c>
      <c r="D43" s="12" t="s">
        <v>88</v>
      </c>
      <c r="E43" s="130" t="s">
        <v>83</v>
      </c>
      <c r="F43" s="155"/>
      <c r="G43" s="155"/>
      <c r="H43" s="155"/>
      <c r="I43" s="155"/>
      <c r="J43" s="163" t="s">
        <v>539</v>
      </c>
      <c r="K43" s="352"/>
      <c r="L43" s="355"/>
      <c r="M43" s="365"/>
      <c r="N43">
        <f t="shared" si="0"/>
        <v>1</v>
      </c>
    </row>
    <row r="44" spans="1:14" ht="30.95" customHeight="1" x14ac:dyDescent="0.3">
      <c r="A44" s="18">
        <v>41</v>
      </c>
      <c r="B44" s="346"/>
      <c r="C44" s="130" t="s">
        <v>62</v>
      </c>
      <c r="D44" s="12" t="s">
        <v>89</v>
      </c>
      <c r="E44" s="130"/>
      <c r="F44" s="155"/>
      <c r="G44" s="155"/>
      <c r="H44" s="155"/>
      <c r="I44" s="155"/>
      <c r="J44" s="163" t="s">
        <v>539</v>
      </c>
      <c r="K44" s="352"/>
      <c r="L44" s="355"/>
      <c r="M44" s="365"/>
      <c r="N44">
        <f t="shared" si="0"/>
        <v>1</v>
      </c>
    </row>
    <row r="45" spans="1:14" ht="30.95" customHeight="1" x14ac:dyDescent="0.3">
      <c r="A45" s="18">
        <v>42</v>
      </c>
      <c r="B45" s="346"/>
      <c r="C45" s="130" t="s">
        <v>62</v>
      </c>
      <c r="D45" s="12" t="s">
        <v>89</v>
      </c>
      <c r="E45" s="130"/>
      <c r="F45" s="155"/>
      <c r="G45" s="155"/>
      <c r="H45" s="155"/>
      <c r="I45" s="155"/>
      <c r="J45" s="163" t="s">
        <v>539</v>
      </c>
      <c r="K45" s="352"/>
      <c r="L45" s="355"/>
      <c r="M45" s="365"/>
      <c r="N45">
        <f t="shared" si="0"/>
        <v>1</v>
      </c>
    </row>
    <row r="46" spans="1:14" ht="30.95" customHeight="1" x14ac:dyDescent="0.3">
      <c r="A46" s="18">
        <v>43</v>
      </c>
      <c r="B46" s="346"/>
      <c r="C46" s="130" t="s">
        <v>63</v>
      </c>
      <c r="D46" s="12" t="s">
        <v>90</v>
      </c>
      <c r="E46" s="130"/>
      <c r="F46" s="155"/>
      <c r="G46" s="155"/>
      <c r="H46" s="155"/>
      <c r="I46" s="155"/>
      <c r="J46" s="163" t="s">
        <v>539</v>
      </c>
      <c r="K46" s="352"/>
      <c r="L46" s="355"/>
      <c r="M46" s="365"/>
      <c r="N46">
        <f t="shared" si="0"/>
        <v>1</v>
      </c>
    </row>
    <row r="47" spans="1:14" ht="30.95" customHeight="1" x14ac:dyDescent="0.3">
      <c r="A47" s="18">
        <v>44</v>
      </c>
      <c r="B47" s="346"/>
      <c r="C47" s="130" t="s">
        <v>63</v>
      </c>
      <c r="D47" s="12" t="s">
        <v>91</v>
      </c>
      <c r="E47" s="130"/>
      <c r="F47" s="155"/>
      <c r="G47" s="155"/>
      <c r="H47" s="155"/>
      <c r="I47" s="155"/>
      <c r="J47" s="163" t="s">
        <v>539</v>
      </c>
      <c r="K47" s="352"/>
      <c r="L47" s="355"/>
      <c r="M47" s="365"/>
      <c r="N47">
        <f t="shared" si="0"/>
        <v>1</v>
      </c>
    </row>
    <row r="48" spans="1:14" ht="30.95" customHeight="1" x14ac:dyDescent="0.3">
      <c r="A48" s="18">
        <v>45</v>
      </c>
      <c r="B48" s="346"/>
      <c r="C48" s="130" t="s">
        <v>63</v>
      </c>
      <c r="D48" s="12" t="s">
        <v>92</v>
      </c>
      <c r="E48" s="130"/>
      <c r="F48" s="155"/>
      <c r="G48" s="155"/>
      <c r="H48" s="155"/>
      <c r="I48" s="155"/>
      <c r="J48" s="163" t="s">
        <v>539</v>
      </c>
      <c r="K48" s="352"/>
      <c r="L48" s="355"/>
      <c r="M48" s="365"/>
      <c r="N48">
        <f t="shared" si="0"/>
        <v>1</v>
      </c>
    </row>
    <row r="49" spans="1:14" ht="30.95" customHeight="1" x14ac:dyDescent="0.3">
      <c r="A49" s="18">
        <v>46</v>
      </c>
      <c r="B49" s="346"/>
      <c r="C49" s="130" t="s">
        <v>63</v>
      </c>
      <c r="D49" s="12" t="s">
        <v>93</v>
      </c>
      <c r="E49" s="130"/>
      <c r="F49" s="155"/>
      <c r="G49" s="155"/>
      <c r="H49" s="155"/>
      <c r="I49" s="155"/>
      <c r="J49" s="163" t="s">
        <v>539</v>
      </c>
      <c r="K49" s="352"/>
      <c r="L49" s="355"/>
      <c r="M49" s="365"/>
      <c r="N49">
        <f t="shared" si="0"/>
        <v>1</v>
      </c>
    </row>
    <row r="50" spans="1:14" ht="30.95" customHeight="1" x14ac:dyDescent="0.3">
      <c r="A50" s="18">
        <v>47</v>
      </c>
      <c r="B50" s="346"/>
      <c r="C50" s="85" t="s">
        <v>130</v>
      </c>
      <c r="D50" s="86" t="s">
        <v>485</v>
      </c>
      <c r="E50" s="85"/>
      <c r="F50" s="162"/>
      <c r="G50" s="162"/>
      <c r="H50" s="162"/>
      <c r="I50" s="162"/>
      <c r="J50" s="167" t="s">
        <v>539</v>
      </c>
      <c r="K50" s="352"/>
      <c r="L50" s="355"/>
      <c r="M50" s="365"/>
      <c r="N50">
        <f t="shared" si="0"/>
        <v>1</v>
      </c>
    </row>
    <row r="51" spans="1:14" ht="30.95" customHeight="1" thickBot="1" x14ac:dyDescent="0.35">
      <c r="A51" s="21">
        <v>48</v>
      </c>
      <c r="B51" s="347"/>
      <c r="C51" s="169" t="s">
        <v>130</v>
      </c>
      <c r="D51" s="86" t="s">
        <v>486</v>
      </c>
      <c r="E51" s="169"/>
      <c r="F51" s="170"/>
      <c r="G51" s="170"/>
      <c r="H51" s="170"/>
      <c r="I51" s="170"/>
      <c r="J51" s="167" t="s">
        <v>539</v>
      </c>
      <c r="K51" s="353"/>
      <c r="L51" s="363"/>
      <c r="M51" s="366"/>
      <c r="N51">
        <f t="shared" si="0"/>
        <v>1</v>
      </c>
    </row>
    <row r="52" spans="1:14" ht="30.95" customHeight="1" x14ac:dyDescent="0.3">
      <c r="A52" s="341" t="s">
        <v>8</v>
      </c>
      <c r="B52" s="342"/>
      <c r="C52" s="324"/>
      <c r="D52" s="110" t="s">
        <v>11</v>
      </c>
      <c r="E52" s="111" t="s">
        <v>12</v>
      </c>
      <c r="F52" s="340" t="s">
        <v>526</v>
      </c>
      <c r="G52" s="338"/>
      <c r="H52" s="338"/>
      <c r="I52" s="338"/>
      <c r="J52" s="338"/>
      <c r="K52" s="332" t="s">
        <v>10</v>
      </c>
      <c r="L52" s="331" t="s">
        <v>32</v>
      </c>
      <c r="M52" s="331" t="s">
        <v>33</v>
      </c>
      <c r="N52">
        <f t="shared" si="0"/>
        <v>0</v>
      </c>
    </row>
    <row r="53" spans="1:14" ht="30.95" customHeight="1" thickBot="1" x14ac:dyDescent="0.35">
      <c r="A53" s="333" t="s">
        <v>9</v>
      </c>
      <c r="B53" s="334"/>
      <c r="C53" s="335"/>
      <c r="D53" s="7" t="s">
        <v>538</v>
      </c>
      <c r="E53" s="112" t="s">
        <v>525</v>
      </c>
      <c r="F53" s="336" t="s">
        <v>5</v>
      </c>
      <c r="G53" s="337"/>
      <c r="H53" s="337" t="s">
        <v>7</v>
      </c>
      <c r="I53" s="337"/>
      <c r="J53" s="338" t="s">
        <v>3</v>
      </c>
      <c r="K53" s="332"/>
      <c r="L53" s="332"/>
      <c r="M53" s="332"/>
      <c r="N53">
        <f t="shared" si="0"/>
        <v>0</v>
      </c>
    </row>
    <row r="54" spans="1:14" ht="30.95" customHeight="1" x14ac:dyDescent="0.3">
      <c r="A54" s="113" t="s">
        <v>0</v>
      </c>
      <c r="B54" s="113" t="s">
        <v>1</v>
      </c>
      <c r="C54" s="113" t="s">
        <v>23</v>
      </c>
      <c r="D54" s="113" t="s">
        <v>2</v>
      </c>
      <c r="E54" s="113" t="s">
        <v>3</v>
      </c>
      <c r="F54" s="156" t="s">
        <v>4</v>
      </c>
      <c r="G54" s="156" t="s">
        <v>506</v>
      </c>
      <c r="H54" s="156" t="s">
        <v>4</v>
      </c>
      <c r="I54" s="156" t="s">
        <v>506</v>
      </c>
      <c r="J54" s="338"/>
      <c r="K54" s="332"/>
      <c r="L54" s="332"/>
      <c r="M54" s="332"/>
      <c r="N54">
        <f t="shared" si="0"/>
        <v>1</v>
      </c>
    </row>
    <row r="55" spans="1:14" ht="30.95" customHeight="1" x14ac:dyDescent="0.3">
      <c r="A55" s="57">
        <v>1</v>
      </c>
      <c r="B55" s="349" t="s">
        <v>126</v>
      </c>
      <c r="C55" s="68" t="s">
        <v>29</v>
      </c>
      <c r="D55" s="17" t="s">
        <v>47</v>
      </c>
      <c r="E55" s="68"/>
      <c r="F55" s="157"/>
      <c r="G55" s="157"/>
      <c r="H55" s="157"/>
      <c r="I55" s="157"/>
      <c r="J55" s="163" t="s">
        <v>539</v>
      </c>
      <c r="K55" s="354"/>
      <c r="L55" s="354"/>
      <c r="M55" s="361"/>
      <c r="N55">
        <f t="shared" si="0"/>
        <v>1</v>
      </c>
    </row>
    <row r="56" spans="1:14" ht="30.95" customHeight="1" x14ac:dyDescent="0.3">
      <c r="A56" s="57">
        <v>2</v>
      </c>
      <c r="B56" s="337"/>
      <c r="C56" s="130" t="s">
        <v>29</v>
      </c>
      <c r="D56" s="12" t="s">
        <v>48</v>
      </c>
      <c r="E56" s="130"/>
      <c r="F56" s="155"/>
      <c r="G56" s="155"/>
      <c r="H56" s="155"/>
      <c r="I56" s="155"/>
      <c r="J56" s="163" t="s">
        <v>539</v>
      </c>
      <c r="K56" s="355"/>
      <c r="L56" s="355"/>
      <c r="M56" s="359"/>
      <c r="N56">
        <f t="shared" si="0"/>
        <v>1</v>
      </c>
    </row>
    <row r="57" spans="1:14" ht="30.95" customHeight="1" x14ac:dyDescent="0.3">
      <c r="A57" s="57">
        <v>3</v>
      </c>
      <c r="B57" s="337"/>
      <c r="C57" s="130" t="s">
        <v>29</v>
      </c>
      <c r="D57" s="12" t="s">
        <v>49</v>
      </c>
      <c r="E57" s="130"/>
      <c r="F57" s="155"/>
      <c r="G57" s="155"/>
      <c r="H57" s="155"/>
      <c r="I57" s="155"/>
      <c r="J57" s="163" t="s">
        <v>539</v>
      </c>
      <c r="K57" s="355"/>
      <c r="L57" s="355"/>
      <c r="M57" s="359"/>
      <c r="N57">
        <f t="shared" si="0"/>
        <v>1</v>
      </c>
    </row>
    <row r="58" spans="1:14" ht="30.95" customHeight="1" x14ac:dyDescent="0.3">
      <c r="A58" s="57">
        <v>4</v>
      </c>
      <c r="B58" s="337"/>
      <c r="C58" s="130" t="s">
        <v>29</v>
      </c>
      <c r="D58" s="12" t="s">
        <v>50</v>
      </c>
      <c r="E58" s="130"/>
      <c r="F58" s="155"/>
      <c r="G58" s="155"/>
      <c r="H58" s="155"/>
      <c r="I58" s="155"/>
      <c r="J58" s="163" t="s">
        <v>539</v>
      </c>
      <c r="K58" s="355"/>
      <c r="L58" s="355"/>
      <c r="M58" s="359"/>
      <c r="N58">
        <f t="shared" si="0"/>
        <v>1</v>
      </c>
    </row>
    <row r="59" spans="1:14" ht="30.95" customHeight="1" x14ac:dyDescent="0.3">
      <c r="A59" s="57">
        <v>5</v>
      </c>
      <c r="B59" s="337"/>
      <c r="C59" s="130" t="s">
        <v>27</v>
      </c>
      <c r="D59" s="12" t="s">
        <v>51</v>
      </c>
      <c r="E59" s="130"/>
      <c r="F59" s="155"/>
      <c r="G59" s="155"/>
      <c r="H59" s="155"/>
      <c r="I59" s="155"/>
      <c r="J59" s="163" t="s">
        <v>539</v>
      </c>
      <c r="K59" s="355"/>
      <c r="L59" s="355"/>
      <c r="M59" s="359"/>
      <c r="N59">
        <f t="shared" si="0"/>
        <v>1</v>
      </c>
    </row>
    <row r="60" spans="1:14" ht="30.95" customHeight="1" x14ac:dyDescent="0.3">
      <c r="A60" s="57">
        <v>6</v>
      </c>
      <c r="B60" s="337"/>
      <c r="C60" s="130" t="s">
        <v>27</v>
      </c>
      <c r="D60" s="12" t="s">
        <v>51</v>
      </c>
      <c r="E60" s="130"/>
      <c r="F60" s="155"/>
      <c r="G60" s="155"/>
      <c r="H60" s="155"/>
      <c r="I60" s="155"/>
      <c r="J60" s="163" t="s">
        <v>539</v>
      </c>
      <c r="K60" s="355"/>
      <c r="L60" s="355"/>
      <c r="M60" s="359"/>
      <c r="N60">
        <f t="shared" si="0"/>
        <v>1</v>
      </c>
    </row>
    <row r="61" spans="1:14" ht="30.95" customHeight="1" x14ac:dyDescent="0.3">
      <c r="A61" s="57">
        <v>7</v>
      </c>
      <c r="B61" s="337"/>
      <c r="C61" s="85" t="s">
        <v>26</v>
      </c>
      <c r="D61" s="86" t="s">
        <v>529</v>
      </c>
      <c r="E61" s="85"/>
      <c r="F61" s="87"/>
      <c r="G61" s="87"/>
      <c r="H61" s="87"/>
      <c r="I61" s="87"/>
      <c r="J61" s="163" t="s">
        <v>539</v>
      </c>
      <c r="K61" s="355"/>
      <c r="L61" s="355"/>
      <c r="M61" s="359"/>
      <c r="N61">
        <f t="shared" si="0"/>
        <v>1</v>
      </c>
    </row>
    <row r="62" spans="1:14" ht="30.95" customHeight="1" x14ac:dyDescent="0.3">
      <c r="A62" s="57">
        <v>8</v>
      </c>
      <c r="B62" s="337"/>
      <c r="C62" s="85" t="s">
        <v>26</v>
      </c>
      <c r="D62" s="86" t="s">
        <v>529</v>
      </c>
      <c r="E62" s="85"/>
      <c r="F62" s="87"/>
      <c r="G62" s="87"/>
      <c r="H62" s="87"/>
      <c r="I62" s="87"/>
      <c r="J62" s="163" t="s">
        <v>539</v>
      </c>
      <c r="K62" s="355"/>
      <c r="L62" s="355"/>
      <c r="M62" s="359"/>
      <c r="N62">
        <f t="shared" si="0"/>
        <v>1</v>
      </c>
    </row>
    <row r="63" spans="1:14" ht="30.95" customHeight="1" x14ac:dyDescent="0.3">
      <c r="A63" s="57">
        <v>9</v>
      </c>
      <c r="B63" s="337"/>
      <c r="C63" s="76"/>
      <c r="D63" s="77"/>
      <c r="E63" s="76"/>
      <c r="F63" s="78"/>
      <c r="G63" s="78"/>
      <c r="H63" s="78"/>
      <c r="I63" s="78"/>
      <c r="J63" s="164" t="s">
        <v>539</v>
      </c>
      <c r="K63" s="355"/>
      <c r="L63" s="355"/>
      <c r="M63" s="359"/>
      <c r="N63">
        <f t="shared" si="0"/>
        <v>0</v>
      </c>
    </row>
    <row r="64" spans="1:14" ht="30.95" customHeight="1" x14ac:dyDescent="0.3">
      <c r="A64" s="57">
        <v>10</v>
      </c>
      <c r="B64" s="337"/>
      <c r="C64" s="130" t="s">
        <v>30</v>
      </c>
      <c r="D64" s="12" t="s">
        <v>52</v>
      </c>
      <c r="E64" s="130"/>
      <c r="F64" s="155"/>
      <c r="G64" s="155"/>
      <c r="H64" s="155"/>
      <c r="I64" s="155"/>
      <c r="J64" s="163" t="s">
        <v>539</v>
      </c>
      <c r="K64" s="355"/>
      <c r="L64" s="355"/>
      <c r="M64" s="359"/>
      <c r="N64">
        <f t="shared" si="0"/>
        <v>1</v>
      </c>
    </row>
    <row r="65" spans="1:14" ht="30.95" customHeight="1" x14ac:dyDescent="0.3">
      <c r="A65" s="57">
        <v>11</v>
      </c>
      <c r="B65" s="337"/>
      <c r="C65" s="130" t="s">
        <v>30</v>
      </c>
      <c r="D65" s="12" t="s">
        <v>53</v>
      </c>
      <c r="E65" s="130"/>
      <c r="F65" s="155"/>
      <c r="G65" s="155"/>
      <c r="H65" s="155"/>
      <c r="I65" s="155"/>
      <c r="J65" s="163" t="s">
        <v>539</v>
      </c>
      <c r="K65" s="355"/>
      <c r="L65" s="355"/>
      <c r="M65" s="359"/>
      <c r="N65">
        <f t="shared" si="0"/>
        <v>1</v>
      </c>
    </row>
    <row r="66" spans="1:14" ht="30.95" customHeight="1" x14ac:dyDescent="0.3">
      <c r="A66" s="57">
        <v>12</v>
      </c>
      <c r="B66" s="337"/>
      <c r="C66" s="76"/>
      <c r="D66" s="77"/>
      <c r="E66" s="76"/>
      <c r="F66" s="78"/>
      <c r="G66" s="78"/>
      <c r="H66" s="78"/>
      <c r="I66" s="78"/>
      <c r="J66" s="164" t="s">
        <v>539</v>
      </c>
      <c r="K66" s="355"/>
      <c r="L66" s="355"/>
      <c r="M66" s="359"/>
      <c r="N66">
        <f t="shared" si="0"/>
        <v>0</v>
      </c>
    </row>
    <row r="67" spans="1:14" ht="30.95" customHeight="1" x14ac:dyDescent="0.3">
      <c r="A67" s="57">
        <v>13</v>
      </c>
      <c r="B67" s="337"/>
      <c r="C67" s="85" t="s">
        <v>26</v>
      </c>
      <c r="D67" s="86" t="s">
        <v>481</v>
      </c>
      <c r="E67" s="85"/>
      <c r="F67" s="87"/>
      <c r="G67" s="87"/>
      <c r="H67" s="87"/>
      <c r="I67" s="87"/>
      <c r="J67" s="163" t="s">
        <v>539</v>
      </c>
      <c r="K67" s="355"/>
      <c r="L67" s="355"/>
      <c r="M67" s="359"/>
      <c r="N67">
        <f t="shared" si="0"/>
        <v>1</v>
      </c>
    </row>
    <row r="68" spans="1:14" ht="30.95" customHeight="1" x14ac:dyDescent="0.3">
      <c r="A68" s="57">
        <v>14</v>
      </c>
      <c r="B68" s="337"/>
      <c r="C68" s="85" t="s">
        <v>26</v>
      </c>
      <c r="D68" s="86" t="s">
        <v>482</v>
      </c>
      <c r="E68" s="85"/>
      <c r="F68" s="87"/>
      <c r="G68" s="87"/>
      <c r="H68" s="87"/>
      <c r="I68" s="87"/>
      <c r="J68" s="163" t="s">
        <v>539</v>
      </c>
      <c r="K68" s="355"/>
      <c r="L68" s="355"/>
      <c r="M68" s="359"/>
      <c r="N68">
        <f t="shared" si="0"/>
        <v>1</v>
      </c>
    </row>
    <row r="69" spans="1:14" ht="30.95" customHeight="1" x14ac:dyDescent="0.3">
      <c r="A69" s="57">
        <v>15</v>
      </c>
      <c r="B69" s="337"/>
      <c r="C69" s="76"/>
      <c r="D69" s="77"/>
      <c r="E69" s="76"/>
      <c r="F69" s="78"/>
      <c r="G69" s="78"/>
      <c r="H69" s="78"/>
      <c r="I69" s="78"/>
      <c r="J69" s="164" t="s">
        <v>539</v>
      </c>
      <c r="K69" s="355"/>
      <c r="L69" s="355"/>
      <c r="M69" s="359"/>
      <c r="N69">
        <f t="shared" ref="N69:N123" si="1">IF(C69="",0,1)</f>
        <v>0</v>
      </c>
    </row>
    <row r="70" spans="1:14" ht="30.95" customHeight="1" x14ac:dyDescent="0.3">
      <c r="A70" s="57">
        <v>16</v>
      </c>
      <c r="B70" s="337"/>
      <c r="C70" s="76"/>
      <c r="D70" s="77"/>
      <c r="E70" s="76"/>
      <c r="F70" s="78"/>
      <c r="G70" s="78"/>
      <c r="H70" s="78"/>
      <c r="I70" s="78"/>
      <c r="J70" s="164" t="s">
        <v>539</v>
      </c>
      <c r="K70" s="355"/>
      <c r="L70" s="355"/>
      <c r="M70" s="359"/>
      <c r="N70">
        <f t="shared" si="1"/>
        <v>0</v>
      </c>
    </row>
    <row r="71" spans="1:14" ht="30.95" customHeight="1" x14ac:dyDescent="0.3">
      <c r="A71" s="57">
        <v>17</v>
      </c>
      <c r="B71" s="337"/>
      <c r="C71" s="130" t="s">
        <v>63</v>
      </c>
      <c r="D71" s="12" t="s">
        <v>54</v>
      </c>
      <c r="E71" s="130"/>
      <c r="F71" s="155"/>
      <c r="G71" s="155"/>
      <c r="H71" s="155"/>
      <c r="I71" s="155"/>
      <c r="J71" s="163" t="s">
        <v>539</v>
      </c>
      <c r="K71" s="355"/>
      <c r="L71" s="355"/>
      <c r="M71" s="359"/>
      <c r="N71">
        <f t="shared" si="1"/>
        <v>1</v>
      </c>
    </row>
    <row r="72" spans="1:14" ht="30.95" customHeight="1" x14ac:dyDescent="0.3">
      <c r="A72" s="57">
        <v>18</v>
      </c>
      <c r="B72" s="337"/>
      <c r="C72" s="130" t="s">
        <v>63</v>
      </c>
      <c r="D72" s="12" t="s">
        <v>54</v>
      </c>
      <c r="E72" s="130"/>
      <c r="F72" s="155"/>
      <c r="G72" s="155"/>
      <c r="H72" s="155"/>
      <c r="I72" s="155"/>
      <c r="J72" s="163" t="s">
        <v>539</v>
      </c>
      <c r="K72" s="355"/>
      <c r="L72" s="355"/>
      <c r="M72" s="359"/>
      <c r="N72">
        <f t="shared" si="1"/>
        <v>1</v>
      </c>
    </row>
    <row r="73" spans="1:14" ht="30.95" customHeight="1" x14ac:dyDescent="0.3">
      <c r="A73" s="57">
        <v>19</v>
      </c>
      <c r="B73" s="337"/>
      <c r="C73" s="130" t="s">
        <v>25</v>
      </c>
      <c r="D73" s="12" t="s">
        <v>55</v>
      </c>
      <c r="E73" s="130"/>
      <c r="F73" s="155"/>
      <c r="G73" s="155"/>
      <c r="H73" s="155"/>
      <c r="I73" s="155"/>
      <c r="J73" s="163" t="s">
        <v>539</v>
      </c>
      <c r="K73" s="355"/>
      <c r="L73" s="355"/>
      <c r="M73" s="359"/>
      <c r="N73">
        <f t="shared" si="1"/>
        <v>1</v>
      </c>
    </row>
    <row r="74" spans="1:14" ht="30.95" customHeight="1" x14ac:dyDescent="0.3">
      <c r="A74" s="57">
        <v>20</v>
      </c>
      <c r="B74" s="337"/>
      <c r="C74" s="130" t="s">
        <v>25</v>
      </c>
      <c r="D74" s="12" t="s">
        <v>55</v>
      </c>
      <c r="E74" s="130"/>
      <c r="F74" s="155"/>
      <c r="G74" s="155"/>
      <c r="H74" s="155"/>
      <c r="I74" s="155"/>
      <c r="J74" s="163" t="s">
        <v>539</v>
      </c>
      <c r="K74" s="355"/>
      <c r="L74" s="355"/>
      <c r="M74" s="359"/>
      <c r="N74">
        <f t="shared" si="1"/>
        <v>1</v>
      </c>
    </row>
    <row r="75" spans="1:14" ht="30.95" customHeight="1" x14ac:dyDescent="0.3">
      <c r="A75" s="57">
        <v>21</v>
      </c>
      <c r="B75" s="337"/>
      <c r="C75" s="130" t="s">
        <v>29</v>
      </c>
      <c r="D75" s="12" t="s">
        <v>57</v>
      </c>
      <c r="E75" s="130"/>
      <c r="F75" s="155"/>
      <c r="G75" s="155"/>
      <c r="H75" s="155"/>
      <c r="I75" s="155"/>
      <c r="J75" s="163" t="s">
        <v>539</v>
      </c>
      <c r="K75" s="355"/>
      <c r="L75" s="355"/>
      <c r="M75" s="359"/>
      <c r="N75">
        <f t="shared" si="1"/>
        <v>1</v>
      </c>
    </row>
    <row r="76" spans="1:14" ht="30.95" customHeight="1" x14ac:dyDescent="0.3">
      <c r="A76" s="57">
        <v>22</v>
      </c>
      <c r="B76" s="337"/>
      <c r="C76" s="130" t="s">
        <v>29</v>
      </c>
      <c r="D76" s="12" t="s">
        <v>56</v>
      </c>
      <c r="E76" s="130"/>
      <c r="F76" s="155"/>
      <c r="G76" s="155"/>
      <c r="H76" s="155"/>
      <c r="I76" s="155"/>
      <c r="J76" s="163" t="s">
        <v>539</v>
      </c>
      <c r="K76" s="355"/>
      <c r="L76" s="355"/>
      <c r="M76" s="359"/>
      <c r="N76">
        <f t="shared" si="1"/>
        <v>1</v>
      </c>
    </row>
    <row r="77" spans="1:14" ht="30.95" customHeight="1" x14ac:dyDescent="0.3">
      <c r="A77" s="57">
        <v>23</v>
      </c>
      <c r="B77" s="337"/>
      <c r="C77" s="130" t="s">
        <v>29</v>
      </c>
      <c r="D77" s="12" t="s">
        <v>58</v>
      </c>
      <c r="E77" s="130"/>
      <c r="F77" s="155"/>
      <c r="G77" s="155"/>
      <c r="H77" s="155"/>
      <c r="I77" s="155"/>
      <c r="J77" s="163" t="s">
        <v>539</v>
      </c>
      <c r="K77" s="355"/>
      <c r="L77" s="355"/>
      <c r="M77" s="359"/>
      <c r="N77">
        <f t="shared" si="1"/>
        <v>1</v>
      </c>
    </row>
    <row r="78" spans="1:14" ht="30.95" customHeight="1" thickBot="1" x14ac:dyDescent="0.35">
      <c r="A78" s="57">
        <v>24</v>
      </c>
      <c r="B78" s="348"/>
      <c r="C78" s="38" t="s">
        <v>29</v>
      </c>
      <c r="D78" s="16" t="s">
        <v>59</v>
      </c>
      <c r="E78" s="38"/>
      <c r="F78" s="235"/>
      <c r="G78" s="235"/>
      <c r="H78" s="235"/>
      <c r="I78" s="235"/>
      <c r="J78" s="263" t="s">
        <v>539</v>
      </c>
      <c r="K78" s="355"/>
      <c r="L78" s="356"/>
      <c r="M78" s="360"/>
      <c r="N78">
        <f t="shared" si="1"/>
        <v>1</v>
      </c>
    </row>
    <row r="79" spans="1:14" ht="30.95" customHeight="1" x14ac:dyDescent="0.3">
      <c r="A79" s="341" t="s">
        <v>8</v>
      </c>
      <c r="B79" s="342"/>
      <c r="C79" s="324"/>
      <c r="D79" s="232" t="s">
        <v>11</v>
      </c>
      <c r="E79" s="111" t="s">
        <v>12</v>
      </c>
      <c r="F79" s="324" t="s">
        <v>526</v>
      </c>
      <c r="G79" s="325"/>
      <c r="H79" s="325"/>
      <c r="I79" s="325"/>
      <c r="J79" s="325"/>
      <c r="K79" s="326" t="s">
        <v>10</v>
      </c>
      <c r="L79" s="329" t="s">
        <v>32</v>
      </c>
      <c r="M79" s="331" t="s">
        <v>33</v>
      </c>
      <c r="N79">
        <f t="shared" si="1"/>
        <v>0</v>
      </c>
    </row>
    <row r="80" spans="1:14" ht="30.95" customHeight="1" thickBot="1" x14ac:dyDescent="0.35">
      <c r="A80" s="333" t="s">
        <v>9</v>
      </c>
      <c r="B80" s="334"/>
      <c r="C80" s="335"/>
      <c r="D80" s="7" t="s">
        <v>538</v>
      </c>
      <c r="E80" s="112" t="s">
        <v>525</v>
      </c>
      <c r="F80" s="336" t="s">
        <v>5</v>
      </c>
      <c r="G80" s="337"/>
      <c r="H80" s="337" t="s">
        <v>7</v>
      </c>
      <c r="I80" s="337"/>
      <c r="J80" s="338" t="s">
        <v>3</v>
      </c>
      <c r="K80" s="327"/>
      <c r="L80" s="330"/>
      <c r="M80" s="332"/>
      <c r="N80">
        <f t="shared" si="1"/>
        <v>0</v>
      </c>
    </row>
    <row r="81" spans="1:14" ht="30.95" customHeight="1" thickBot="1" x14ac:dyDescent="0.35">
      <c r="A81" s="264" t="s">
        <v>0</v>
      </c>
      <c r="B81" s="233" t="s">
        <v>1</v>
      </c>
      <c r="C81" s="233" t="s">
        <v>23</v>
      </c>
      <c r="D81" s="233" t="s">
        <v>2</v>
      </c>
      <c r="E81" s="233" t="s">
        <v>3</v>
      </c>
      <c r="F81" s="234" t="s">
        <v>4</v>
      </c>
      <c r="G81" s="234" t="s">
        <v>506</v>
      </c>
      <c r="H81" s="234" t="s">
        <v>4</v>
      </c>
      <c r="I81" s="234" t="s">
        <v>506</v>
      </c>
      <c r="J81" s="339"/>
      <c r="K81" s="328"/>
      <c r="L81" s="330"/>
      <c r="M81" s="332"/>
      <c r="N81">
        <f t="shared" si="1"/>
        <v>1</v>
      </c>
    </row>
    <row r="82" spans="1:14" ht="30.95" customHeight="1" x14ac:dyDescent="0.3">
      <c r="A82" s="64">
        <v>1</v>
      </c>
      <c r="B82" s="345" t="s">
        <v>542</v>
      </c>
      <c r="C82" s="68" t="s">
        <v>62</v>
      </c>
      <c r="D82" s="17" t="s">
        <v>528</v>
      </c>
      <c r="E82" s="68"/>
      <c r="F82" s="123"/>
      <c r="G82" s="123"/>
      <c r="H82" s="123"/>
      <c r="I82" s="123"/>
      <c r="J82" s="163" t="s">
        <v>539</v>
      </c>
      <c r="K82" s="355"/>
      <c r="L82" s="357"/>
      <c r="M82" s="358"/>
      <c r="N82">
        <f t="shared" si="1"/>
        <v>1</v>
      </c>
    </row>
    <row r="83" spans="1:14" ht="30.95" customHeight="1" x14ac:dyDescent="0.3">
      <c r="A83" s="18">
        <v>2</v>
      </c>
      <c r="B83" s="337"/>
      <c r="C83" s="130" t="s">
        <v>63</v>
      </c>
      <c r="D83" s="12" t="s">
        <v>38</v>
      </c>
      <c r="E83" s="130"/>
      <c r="F83" s="116"/>
      <c r="G83" s="116"/>
      <c r="H83" s="116"/>
      <c r="I83" s="116"/>
      <c r="J83" s="163" t="s">
        <v>539</v>
      </c>
      <c r="K83" s="355"/>
      <c r="L83" s="355"/>
      <c r="M83" s="359"/>
      <c r="N83">
        <f t="shared" si="1"/>
        <v>1</v>
      </c>
    </row>
    <row r="84" spans="1:14" ht="30.95" customHeight="1" x14ac:dyDescent="0.3">
      <c r="A84" s="18">
        <v>3</v>
      </c>
      <c r="B84" s="337"/>
      <c r="C84" s="130" t="s">
        <v>63</v>
      </c>
      <c r="D84" s="12" t="s">
        <v>39</v>
      </c>
      <c r="E84" s="130"/>
      <c r="F84" s="116"/>
      <c r="G84" s="116"/>
      <c r="H84" s="116"/>
      <c r="I84" s="116"/>
      <c r="J84" s="163" t="s">
        <v>539</v>
      </c>
      <c r="K84" s="355"/>
      <c r="L84" s="355"/>
      <c r="M84" s="359"/>
      <c r="N84">
        <f t="shared" si="1"/>
        <v>1</v>
      </c>
    </row>
    <row r="85" spans="1:14" ht="30.95" customHeight="1" x14ac:dyDescent="0.3">
      <c r="A85" s="18">
        <v>4</v>
      </c>
      <c r="B85" s="337"/>
      <c r="C85" s="130" t="s">
        <v>63</v>
      </c>
      <c r="D85" s="12" t="s">
        <v>40</v>
      </c>
      <c r="E85" s="130"/>
      <c r="F85" s="116"/>
      <c r="G85" s="116"/>
      <c r="H85" s="116"/>
      <c r="I85" s="116"/>
      <c r="J85" s="163" t="s">
        <v>539</v>
      </c>
      <c r="K85" s="355"/>
      <c r="L85" s="355"/>
      <c r="M85" s="359"/>
      <c r="N85">
        <f t="shared" si="1"/>
        <v>1</v>
      </c>
    </row>
    <row r="86" spans="1:14" ht="30.95" customHeight="1" x14ac:dyDescent="0.3">
      <c r="A86" s="18">
        <v>5</v>
      </c>
      <c r="B86" s="337"/>
      <c r="C86" s="130" t="s">
        <v>62</v>
      </c>
      <c r="D86" s="12" t="s">
        <v>41</v>
      </c>
      <c r="E86" s="130"/>
      <c r="F86" s="116"/>
      <c r="G86" s="116"/>
      <c r="H86" s="116"/>
      <c r="I86" s="116"/>
      <c r="J86" s="163" t="s">
        <v>539</v>
      </c>
      <c r="K86" s="355"/>
      <c r="L86" s="355"/>
      <c r="M86" s="359"/>
      <c r="N86">
        <f t="shared" si="1"/>
        <v>1</v>
      </c>
    </row>
    <row r="87" spans="1:14" ht="30.95" customHeight="1" x14ac:dyDescent="0.3">
      <c r="A87" s="18">
        <v>6</v>
      </c>
      <c r="B87" s="337"/>
      <c r="C87" s="130" t="s">
        <v>62</v>
      </c>
      <c r="D87" s="12" t="s">
        <v>42</v>
      </c>
      <c r="E87" s="130"/>
      <c r="F87" s="116"/>
      <c r="G87" s="116"/>
      <c r="H87" s="116"/>
      <c r="I87" s="116"/>
      <c r="J87" s="163" t="s">
        <v>539</v>
      </c>
      <c r="K87" s="355"/>
      <c r="L87" s="355"/>
      <c r="M87" s="359"/>
      <c r="N87">
        <f t="shared" si="1"/>
        <v>1</v>
      </c>
    </row>
    <row r="88" spans="1:14" ht="30.95" customHeight="1" x14ac:dyDescent="0.3">
      <c r="A88" s="18">
        <v>7</v>
      </c>
      <c r="B88" s="337"/>
      <c r="C88" s="130" t="s">
        <v>63</v>
      </c>
      <c r="D88" s="12" t="s">
        <v>43</v>
      </c>
      <c r="E88" s="130"/>
      <c r="F88" s="116"/>
      <c r="G88" s="116"/>
      <c r="H88" s="116"/>
      <c r="I88" s="116"/>
      <c r="J88" s="163" t="s">
        <v>539</v>
      </c>
      <c r="K88" s="355"/>
      <c r="L88" s="355"/>
      <c r="M88" s="359"/>
      <c r="N88">
        <f t="shared" si="1"/>
        <v>1</v>
      </c>
    </row>
    <row r="89" spans="1:14" ht="30.95" customHeight="1" x14ac:dyDescent="0.3">
      <c r="A89" s="18">
        <v>8</v>
      </c>
      <c r="B89" s="337"/>
      <c r="C89" s="130" t="s">
        <v>62</v>
      </c>
      <c r="D89" s="12" t="s">
        <v>44</v>
      </c>
      <c r="E89" s="130"/>
      <c r="F89" s="116"/>
      <c r="G89" s="116"/>
      <c r="H89" s="116"/>
      <c r="I89" s="116"/>
      <c r="J89" s="163" t="s">
        <v>539</v>
      </c>
      <c r="K89" s="355"/>
      <c r="L89" s="355"/>
      <c r="M89" s="359"/>
      <c r="N89">
        <f t="shared" si="1"/>
        <v>1</v>
      </c>
    </row>
    <row r="90" spans="1:14" ht="30.95" customHeight="1" x14ac:dyDescent="0.3">
      <c r="A90" s="18">
        <v>9</v>
      </c>
      <c r="B90" s="337"/>
      <c r="C90" s="76"/>
      <c r="D90" s="77"/>
      <c r="E90" s="76"/>
      <c r="F90" s="118"/>
      <c r="G90" s="118"/>
      <c r="H90" s="118"/>
      <c r="I90" s="118"/>
      <c r="J90" s="164" t="s">
        <v>539</v>
      </c>
      <c r="K90" s="355"/>
      <c r="L90" s="355"/>
      <c r="M90" s="359"/>
      <c r="N90">
        <f t="shared" si="1"/>
        <v>0</v>
      </c>
    </row>
    <row r="91" spans="1:14" ht="30.95" customHeight="1" x14ac:dyDescent="0.3">
      <c r="A91" s="18">
        <v>10</v>
      </c>
      <c r="B91" s="337"/>
      <c r="C91" s="76"/>
      <c r="D91" s="77"/>
      <c r="E91" s="76"/>
      <c r="F91" s="118"/>
      <c r="G91" s="118"/>
      <c r="H91" s="118"/>
      <c r="I91" s="118"/>
      <c r="J91" s="164" t="s">
        <v>539</v>
      </c>
      <c r="K91" s="355"/>
      <c r="L91" s="355"/>
      <c r="M91" s="359"/>
      <c r="N91">
        <f t="shared" si="1"/>
        <v>0</v>
      </c>
    </row>
    <row r="92" spans="1:14" ht="30.95" customHeight="1" x14ac:dyDescent="0.3">
      <c r="A92" s="18">
        <v>11</v>
      </c>
      <c r="B92" s="337"/>
      <c r="C92" s="130" t="s">
        <v>29</v>
      </c>
      <c r="D92" s="12" t="s">
        <v>45</v>
      </c>
      <c r="E92" s="130"/>
      <c r="F92" s="116"/>
      <c r="G92" s="116"/>
      <c r="H92" s="116"/>
      <c r="I92" s="116"/>
      <c r="J92" s="163" t="s">
        <v>539</v>
      </c>
      <c r="K92" s="355"/>
      <c r="L92" s="355"/>
      <c r="M92" s="359"/>
      <c r="N92">
        <f t="shared" si="1"/>
        <v>1</v>
      </c>
    </row>
    <row r="93" spans="1:14" ht="30.95" customHeight="1" thickBot="1" x14ac:dyDescent="0.35">
      <c r="A93" s="21">
        <v>12</v>
      </c>
      <c r="B93" s="350"/>
      <c r="C93" s="100" t="s">
        <v>29</v>
      </c>
      <c r="D93" s="22" t="s">
        <v>46</v>
      </c>
      <c r="E93" s="100"/>
      <c r="F93" s="128"/>
      <c r="G93" s="128"/>
      <c r="H93" s="128"/>
      <c r="I93" s="128"/>
      <c r="J93" s="163" t="s">
        <v>539</v>
      </c>
      <c r="K93" s="356"/>
      <c r="L93" s="356"/>
      <c r="M93" s="360"/>
      <c r="N93">
        <f t="shared" si="1"/>
        <v>1</v>
      </c>
    </row>
    <row r="94" spans="1:14" ht="30.95" customHeight="1" x14ac:dyDescent="0.3">
      <c r="A94" s="341" t="s">
        <v>8</v>
      </c>
      <c r="B94" s="342"/>
      <c r="C94" s="324"/>
      <c r="D94" s="110" t="s">
        <v>11</v>
      </c>
      <c r="E94" s="111" t="s">
        <v>12</v>
      </c>
      <c r="F94" s="340" t="s">
        <v>526</v>
      </c>
      <c r="G94" s="338"/>
      <c r="H94" s="338"/>
      <c r="I94" s="338"/>
      <c r="J94" s="338"/>
      <c r="K94" s="332" t="s">
        <v>10</v>
      </c>
      <c r="L94" s="331" t="s">
        <v>32</v>
      </c>
      <c r="M94" s="331" t="s">
        <v>33</v>
      </c>
      <c r="N94">
        <f t="shared" si="1"/>
        <v>0</v>
      </c>
    </row>
    <row r="95" spans="1:14" ht="30.95" customHeight="1" thickBot="1" x14ac:dyDescent="0.35">
      <c r="A95" s="333" t="s">
        <v>9</v>
      </c>
      <c r="B95" s="334"/>
      <c r="C95" s="335"/>
      <c r="D95" s="7" t="s">
        <v>538</v>
      </c>
      <c r="E95" s="112" t="s">
        <v>525</v>
      </c>
      <c r="F95" s="336" t="s">
        <v>5</v>
      </c>
      <c r="G95" s="337"/>
      <c r="H95" s="337" t="s">
        <v>7</v>
      </c>
      <c r="I95" s="337"/>
      <c r="J95" s="338" t="s">
        <v>3</v>
      </c>
      <c r="K95" s="332"/>
      <c r="L95" s="332"/>
      <c r="M95" s="332"/>
      <c r="N95">
        <f t="shared" si="1"/>
        <v>0</v>
      </c>
    </row>
    <row r="96" spans="1:14" ht="30.95" customHeight="1" x14ac:dyDescent="0.3">
      <c r="A96" s="113" t="s">
        <v>0</v>
      </c>
      <c r="B96" s="113" t="s">
        <v>1</v>
      </c>
      <c r="C96" s="113" t="s">
        <v>23</v>
      </c>
      <c r="D96" s="113" t="s">
        <v>2</v>
      </c>
      <c r="E96" s="113" t="s">
        <v>3</v>
      </c>
      <c r="F96" s="156" t="s">
        <v>4</v>
      </c>
      <c r="G96" s="156" t="s">
        <v>506</v>
      </c>
      <c r="H96" s="156" t="s">
        <v>4</v>
      </c>
      <c r="I96" s="156" t="s">
        <v>506</v>
      </c>
      <c r="J96" s="338"/>
      <c r="K96" s="332"/>
      <c r="L96" s="332"/>
      <c r="M96" s="332"/>
      <c r="N96">
        <f t="shared" si="1"/>
        <v>1</v>
      </c>
    </row>
    <row r="97" spans="1:14" ht="30.95" customHeight="1" x14ac:dyDescent="0.3">
      <c r="A97" s="64">
        <v>1</v>
      </c>
      <c r="B97" s="345" t="s">
        <v>543</v>
      </c>
      <c r="C97" s="68" t="s">
        <v>62</v>
      </c>
      <c r="D97" s="17" t="s">
        <v>103</v>
      </c>
      <c r="E97" s="68"/>
      <c r="F97" s="157"/>
      <c r="G97" s="157"/>
      <c r="H97" s="157"/>
      <c r="I97" s="157"/>
      <c r="J97" s="163" t="s">
        <v>539</v>
      </c>
      <c r="K97" s="354"/>
      <c r="L97" s="354"/>
      <c r="M97" s="361"/>
      <c r="N97">
        <f t="shared" si="1"/>
        <v>1</v>
      </c>
    </row>
    <row r="98" spans="1:14" ht="30.95" customHeight="1" x14ac:dyDescent="0.3">
      <c r="A98" s="18">
        <v>2</v>
      </c>
      <c r="B98" s="337"/>
      <c r="C98" s="130" t="s">
        <v>62</v>
      </c>
      <c r="D98" s="12" t="s">
        <v>104</v>
      </c>
      <c r="E98" s="130"/>
      <c r="F98" s="155"/>
      <c r="G98" s="155"/>
      <c r="H98" s="155"/>
      <c r="I98" s="155"/>
      <c r="J98" s="163" t="s">
        <v>539</v>
      </c>
      <c r="K98" s="355"/>
      <c r="L98" s="355"/>
      <c r="M98" s="359"/>
      <c r="N98">
        <f t="shared" si="1"/>
        <v>1</v>
      </c>
    </row>
    <row r="99" spans="1:14" ht="30.95" customHeight="1" x14ac:dyDescent="0.3">
      <c r="A99" s="18">
        <v>3</v>
      </c>
      <c r="B99" s="337"/>
      <c r="C99" s="130" t="s">
        <v>25</v>
      </c>
      <c r="D99" s="12" t="s">
        <v>105</v>
      </c>
      <c r="E99" s="130"/>
      <c r="F99" s="155"/>
      <c r="G99" s="155"/>
      <c r="H99" s="155"/>
      <c r="I99" s="155"/>
      <c r="J99" s="163" t="s">
        <v>539</v>
      </c>
      <c r="K99" s="355"/>
      <c r="L99" s="355"/>
      <c r="M99" s="359"/>
      <c r="N99">
        <f t="shared" si="1"/>
        <v>1</v>
      </c>
    </row>
    <row r="100" spans="1:14" ht="30.95" customHeight="1" x14ac:dyDescent="0.3">
      <c r="A100" s="18">
        <v>4</v>
      </c>
      <c r="B100" s="337"/>
      <c r="C100" s="130" t="s">
        <v>25</v>
      </c>
      <c r="D100" s="12" t="s">
        <v>106</v>
      </c>
      <c r="E100" s="130"/>
      <c r="F100" s="155"/>
      <c r="G100" s="155"/>
      <c r="H100" s="155"/>
      <c r="I100" s="155"/>
      <c r="J100" s="163" t="s">
        <v>539</v>
      </c>
      <c r="K100" s="355"/>
      <c r="L100" s="355"/>
      <c r="M100" s="359"/>
      <c r="N100">
        <f t="shared" si="1"/>
        <v>1</v>
      </c>
    </row>
    <row r="101" spans="1:14" ht="30.95" customHeight="1" x14ac:dyDescent="0.3">
      <c r="A101" s="18">
        <v>5</v>
      </c>
      <c r="B101" s="337"/>
      <c r="C101" s="130" t="s">
        <v>27</v>
      </c>
      <c r="D101" s="12" t="s">
        <v>107</v>
      </c>
      <c r="E101" s="130"/>
      <c r="F101" s="155"/>
      <c r="G101" s="155"/>
      <c r="H101" s="155"/>
      <c r="I101" s="155"/>
      <c r="J101" s="163" t="s">
        <v>539</v>
      </c>
      <c r="K101" s="355"/>
      <c r="L101" s="355"/>
      <c r="M101" s="359"/>
      <c r="N101">
        <f t="shared" si="1"/>
        <v>1</v>
      </c>
    </row>
    <row r="102" spans="1:14" ht="30.95" customHeight="1" x14ac:dyDescent="0.3">
      <c r="A102" s="18">
        <v>6</v>
      </c>
      <c r="B102" s="337"/>
      <c r="C102" s="130" t="s">
        <v>27</v>
      </c>
      <c r="D102" s="12" t="s">
        <v>107</v>
      </c>
      <c r="E102" s="130"/>
      <c r="F102" s="155"/>
      <c r="G102" s="155"/>
      <c r="H102" s="155"/>
      <c r="I102" s="155"/>
      <c r="J102" s="163" t="s">
        <v>539</v>
      </c>
      <c r="K102" s="355"/>
      <c r="L102" s="355"/>
      <c r="M102" s="359"/>
      <c r="N102">
        <f t="shared" si="1"/>
        <v>1</v>
      </c>
    </row>
    <row r="103" spans="1:14" ht="30.95" customHeight="1" x14ac:dyDescent="0.3">
      <c r="A103" s="18">
        <v>7</v>
      </c>
      <c r="B103" s="337"/>
      <c r="C103" s="76"/>
      <c r="D103" s="77"/>
      <c r="E103" s="76"/>
      <c r="F103" s="78"/>
      <c r="G103" s="78"/>
      <c r="H103" s="78"/>
      <c r="I103" s="78"/>
      <c r="J103" s="164" t="s">
        <v>539</v>
      </c>
      <c r="K103" s="355"/>
      <c r="L103" s="355"/>
      <c r="M103" s="359"/>
      <c r="N103">
        <f t="shared" si="1"/>
        <v>0</v>
      </c>
    </row>
    <row r="104" spans="1:14" ht="30.95" customHeight="1" x14ac:dyDescent="0.3">
      <c r="A104" s="18">
        <v>8</v>
      </c>
      <c r="B104" s="337"/>
      <c r="C104" s="76"/>
      <c r="D104" s="77"/>
      <c r="E104" s="76"/>
      <c r="F104" s="78"/>
      <c r="G104" s="78"/>
      <c r="H104" s="78"/>
      <c r="I104" s="78"/>
      <c r="J104" s="164" t="s">
        <v>539</v>
      </c>
      <c r="K104" s="355"/>
      <c r="L104" s="355"/>
      <c r="M104" s="359"/>
      <c r="N104">
        <f t="shared" si="1"/>
        <v>0</v>
      </c>
    </row>
    <row r="105" spans="1:14" ht="30.95" customHeight="1" x14ac:dyDescent="0.3">
      <c r="A105" s="18">
        <v>9</v>
      </c>
      <c r="B105" s="337"/>
      <c r="C105" s="130" t="s">
        <v>63</v>
      </c>
      <c r="D105" s="12" t="s">
        <v>375</v>
      </c>
      <c r="E105" s="130"/>
      <c r="F105" s="155"/>
      <c r="G105" s="155"/>
      <c r="H105" s="155"/>
      <c r="I105" s="155"/>
      <c r="J105" s="163" t="s">
        <v>539</v>
      </c>
      <c r="K105" s="355"/>
      <c r="L105" s="355"/>
      <c r="M105" s="359"/>
      <c r="N105">
        <f t="shared" si="1"/>
        <v>1</v>
      </c>
    </row>
    <row r="106" spans="1:14" ht="30.95" customHeight="1" x14ac:dyDescent="0.3">
      <c r="A106" s="18">
        <v>10</v>
      </c>
      <c r="B106" s="337"/>
      <c r="C106" s="130" t="s">
        <v>63</v>
      </c>
      <c r="D106" s="12" t="s">
        <v>375</v>
      </c>
      <c r="E106" s="130"/>
      <c r="F106" s="155"/>
      <c r="G106" s="155"/>
      <c r="H106" s="155"/>
      <c r="I106" s="155"/>
      <c r="J106" s="163" t="s">
        <v>539</v>
      </c>
      <c r="K106" s="355"/>
      <c r="L106" s="355"/>
      <c r="M106" s="359"/>
      <c r="N106">
        <f t="shared" si="1"/>
        <v>1</v>
      </c>
    </row>
    <row r="107" spans="1:14" ht="30.95" customHeight="1" x14ac:dyDescent="0.3">
      <c r="A107" s="18">
        <v>11</v>
      </c>
      <c r="B107" s="337"/>
      <c r="C107" s="76"/>
      <c r="D107" s="77"/>
      <c r="E107" s="76"/>
      <c r="F107" s="78"/>
      <c r="G107" s="78"/>
      <c r="H107" s="78"/>
      <c r="I107" s="78"/>
      <c r="J107" s="164" t="s">
        <v>539</v>
      </c>
      <c r="K107" s="355"/>
      <c r="L107" s="355"/>
      <c r="M107" s="359"/>
      <c r="N107">
        <f t="shared" si="1"/>
        <v>0</v>
      </c>
    </row>
    <row r="108" spans="1:14" ht="30.95" customHeight="1" x14ac:dyDescent="0.3">
      <c r="A108" s="18">
        <v>12</v>
      </c>
      <c r="B108" s="337"/>
      <c r="C108" s="76"/>
      <c r="D108" s="77"/>
      <c r="E108" s="76"/>
      <c r="F108" s="78"/>
      <c r="G108" s="78"/>
      <c r="H108" s="78"/>
      <c r="I108" s="78"/>
      <c r="J108" s="164" t="s">
        <v>539</v>
      </c>
      <c r="K108" s="355"/>
      <c r="L108" s="355"/>
      <c r="M108" s="359"/>
      <c r="N108">
        <f t="shared" si="1"/>
        <v>0</v>
      </c>
    </row>
    <row r="109" spans="1:14" ht="30.95" customHeight="1" x14ac:dyDescent="0.3">
      <c r="A109" s="18">
        <v>13</v>
      </c>
      <c r="B109" s="337"/>
      <c r="C109" s="130" t="s">
        <v>110</v>
      </c>
      <c r="D109" s="12" t="s">
        <v>108</v>
      </c>
      <c r="E109" s="130"/>
      <c r="F109" s="155"/>
      <c r="G109" s="155"/>
      <c r="H109" s="155"/>
      <c r="I109" s="155"/>
      <c r="J109" s="163" t="s">
        <v>539</v>
      </c>
      <c r="K109" s="355"/>
      <c r="L109" s="355"/>
      <c r="M109" s="359"/>
      <c r="N109">
        <f t="shared" si="1"/>
        <v>1</v>
      </c>
    </row>
    <row r="110" spans="1:14" ht="30.95" customHeight="1" x14ac:dyDescent="0.3">
      <c r="A110" s="18">
        <v>14</v>
      </c>
      <c r="B110" s="337"/>
      <c r="C110" s="130" t="s">
        <v>62</v>
      </c>
      <c r="D110" s="12" t="s">
        <v>376</v>
      </c>
      <c r="E110" s="130"/>
      <c r="F110" s="155"/>
      <c r="G110" s="155"/>
      <c r="H110" s="155"/>
      <c r="I110" s="155"/>
      <c r="J110" s="163" t="s">
        <v>539</v>
      </c>
      <c r="K110" s="355"/>
      <c r="L110" s="355"/>
      <c r="M110" s="359"/>
      <c r="N110">
        <f t="shared" si="1"/>
        <v>1</v>
      </c>
    </row>
    <row r="111" spans="1:14" ht="30.95" customHeight="1" x14ac:dyDescent="0.3">
      <c r="A111" s="18">
        <v>15</v>
      </c>
      <c r="B111" s="337"/>
      <c r="C111" s="130" t="s">
        <v>62</v>
      </c>
      <c r="D111" s="12" t="s">
        <v>376</v>
      </c>
      <c r="E111" s="130"/>
      <c r="F111" s="155"/>
      <c r="G111" s="155"/>
      <c r="H111" s="155"/>
      <c r="I111" s="155"/>
      <c r="J111" s="163" t="s">
        <v>539</v>
      </c>
      <c r="K111" s="355"/>
      <c r="L111" s="355"/>
      <c r="M111" s="359"/>
      <c r="N111">
        <f t="shared" si="1"/>
        <v>1</v>
      </c>
    </row>
    <row r="112" spans="1:14" ht="30.95" customHeight="1" x14ac:dyDescent="0.3">
      <c r="A112" s="18">
        <v>16</v>
      </c>
      <c r="B112" s="337"/>
      <c r="C112" s="130" t="s">
        <v>62</v>
      </c>
      <c r="D112" s="12" t="s">
        <v>377</v>
      </c>
      <c r="E112" s="130"/>
      <c r="F112" s="155"/>
      <c r="G112" s="155"/>
      <c r="H112" s="155"/>
      <c r="I112" s="155"/>
      <c r="J112" s="163" t="s">
        <v>539</v>
      </c>
      <c r="K112" s="355"/>
      <c r="L112" s="355"/>
      <c r="M112" s="359"/>
      <c r="N112">
        <f t="shared" si="1"/>
        <v>1</v>
      </c>
    </row>
    <row r="113" spans="1:14" ht="30.95" customHeight="1" x14ac:dyDescent="0.3">
      <c r="A113" s="18">
        <v>17</v>
      </c>
      <c r="B113" s="337"/>
      <c r="C113" s="130" t="s">
        <v>62</v>
      </c>
      <c r="D113" s="12" t="s">
        <v>378</v>
      </c>
      <c r="E113" s="130"/>
      <c r="F113" s="155"/>
      <c r="G113" s="155"/>
      <c r="H113" s="155"/>
      <c r="I113" s="155"/>
      <c r="J113" s="163" t="s">
        <v>539</v>
      </c>
      <c r="K113" s="355"/>
      <c r="L113" s="355"/>
      <c r="M113" s="359"/>
      <c r="N113">
        <f t="shared" si="1"/>
        <v>1</v>
      </c>
    </row>
    <row r="114" spans="1:14" ht="30.95" customHeight="1" x14ac:dyDescent="0.3">
      <c r="A114" s="18">
        <v>18</v>
      </c>
      <c r="B114" s="337"/>
      <c r="C114" s="76"/>
      <c r="D114" s="77"/>
      <c r="E114" s="76"/>
      <c r="F114" s="78"/>
      <c r="G114" s="78"/>
      <c r="H114" s="78"/>
      <c r="I114" s="78"/>
      <c r="J114" s="164" t="s">
        <v>539</v>
      </c>
      <c r="K114" s="355"/>
      <c r="L114" s="355"/>
      <c r="M114" s="359"/>
      <c r="N114">
        <f t="shared" si="1"/>
        <v>0</v>
      </c>
    </row>
    <row r="115" spans="1:14" ht="30.95" customHeight="1" x14ac:dyDescent="0.3">
      <c r="A115" s="18">
        <v>19</v>
      </c>
      <c r="B115" s="337"/>
      <c r="C115" s="130" t="s">
        <v>27</v>
      </c>
      <c r="D115" s="12" t="s">
        <v>109</v>
      </c>
      <c r="E115" s="130"/>
      <c r="F115" s="155"/>
      <c r="G115" s="155"/>
      <c r="H115" s="155"/>
      <c r="I115" s="155"/>
      <c r="J115" s="163" t="s">
        <v>539</v>
      </c>
      <c r="K115" s="355"/>
      <c r="L115" s="355"/>
      <c r="M115" s="359"/>
      <c r="N115">
        <f t="shared" si="1"/>
        <v>1</v>
      </c>
    </row>
    <row r="116" spans="1:14" ht="30.95" customHeight="1" x14ac:dyDescent="0.3">
      <c r="A116" s="18">
        <v>20</v>
      </c>
      <c r="B116" s="337"/>
      <c r="C116" s="130" t="s">
        <v>27</v>
      </c>
      <c r="D116" s="12" t="s">
        <v>109</v>
      </c>
      <c r="E116" s="130"/>
      <c r="F116" s="155"/>
      <c r="G116" s="155"/>
      <c r="H116" s="155"/>
      <c r="I116" s="155"/>
      <c r="J116" s="163" t="s">
        <v>539</v>
      </c>
      <c r="K116" s="355"/>
      <c r="L116" s="355"/>
      <c r="M116" s="359"/>
      <c r="N116">
        <f t="shared" si="1"/>
        <v>1</v>
      </c>
    </row>
    <row r="117" spans="1:14" ht="30.95" customHeight="1" x14ac:dyDescent="0.3">
      <c r="A117" s="18">
        <v>21</v>
      </c>
      <c r="B117" s="337"/>
      <c r="C117" s="76"/>
      <c r="D117" s="77"/>
      <c r="E117" s="76"/>
      <c r="F117" s="78"/>
      <c r="G117" s="78"/>
      <c r="H117" s="78"/>
      <c r="I117" s="78"/>
      <c r="J117" s="164" t="s">
        <v>539</v>
      </c>
      <c r="K117" s="355"/>
      <c r="L117" s="355"/>
      <c r="M117" s="359"/>
      <c r="N117">
        <f t="shared" si="1"/>
        <v>0</v>
      </c>
    </row>
    <row r="118" spans="1:14" ht="30.95" customHeight="1" x14ac:dyDescent="0.3">
      <c r="A118" s="18">
        <v>22</v>
      </c>
      <c r="B118" s="337"/>
      <c r="C118" s="76"/>
      <c r="D118" s="77"/>
      <c r="E118" s="76"/>
      <c r="F118" s="78"/>
      <c r="G118" s="78"/>
      <c r="H118" s="78"/>
      <c r="I118" s="78"/>
      <c r="J118" s="164" t="s">
        <v>539</v>
      </c>
      <c r="K118" s="355"/>
      <c r="L118" s="355"/>
      <c r="M118" s="359"/>
      <c r="N118">
        <f t="shared" si="1"/>
        <v>0</v>
      </c>
    </row>
    <row r="119" spans="1:14" ht="30.95" customHeight="1" x14ac:dyDescent="0.3">
      <c r="A119" s="18">
        <v>23</v>
      </c>
      <c r="B119" s="337"/>
      <c r="C119" s="76"/>
      <c r="D119" s="77"/>
      <c r="E119" s="76"/>
      <c r="F119" s="78"/>
      <c r="G119" s="78"/>
      <c r="H119" s="78"/>
      <c r="I119" s="78"/>
      <c r="J119" s="164" t="s">
        <v>539</v>
      </c>
      <c r="K119" s="355"/>
      <c r="L119" s="355"/>
      <c r="M119" s="359"/>
      <c r="N119">
        <f t="shared" si="1"/>
        <v>0</v>
      </c>
    </row>
    <row r="120" spans="1:14" ht="30.95" customHeight="1" thickBot="1" x14ac:dyDescent="0.35">
      <c r="A120" s="21">
        <v>24</v>
      </c>
      <c r="B120" s="350"/>
      <c r="C120" s="82"/>
      <c r="D120" s="147"/>
      <c r="E120" s="82"/>
      <c r="F120" s="160"/>
      <c r="G120" s="160"/>
      <c r="H120" s="160"/>
      <c r="I120" s="160"/>
      <c r="J120" s="164" t="s">
        <v>539</v>
      </c>
      <c r="K120" s="356"/>
      <c r="L120" s="356"/>
      <c r="M120" s="360"/>
      <c r="N120">
        <f t="shared" si="1"/>
        <v>0</v>
      </c>
    </row>
    <row r="121" spans="1:14" ht="30.95" customHeight="1" x14ac:dyDescent="0.3">
      <c r="A121" s="341" t="s">
        <v>8</v>
      </c>
      <c r="B121" s="342"/>
      <c r="C121" s="324"/>
      <c r="D121" s="110" t="s">
        <v>11</v>
      </c>
      <c r="E121" s="111" t="s">
        <v>12</v>
      </c>
      <c r="F121" s="340" t="s">
        <v>526</v>
      </c>
      <c r="G121" s="338"/>
      <c r="H121" s="338"/>
      <c r="I121" s="338"/>
      <c r="J121" s="338"/>
      <c r="K121" s="332" t="s">
        <v>10</v>
      </c>
      <c r="L121" s="331" t="s">
        <v>32</v>
      </c>
      <c r="M121" s="331" t="s">
        <v>33</v>
      </c>
      <c r="N121">
        <f t="shared" si="1"/>
        <v>0</v>
      </c>
    </row>
    <row r="122" spans="1:14" ht="30.95" customHeight="1" thickBot="1" x14ac:dyDescent="0.35">
      <c r="A122" s="333" t="s">
        <v>9</v>
      </c>
      <c r="B122" s="334"/>
      <c r="C122" s="335"/>
      <c r="D122" s="7" t="s">
        <v>538</v>
      </c>
      <c r="E122" s="112" t="s">
        <v>525</v>
      </c>
      <c r="F122" s="336" t="s">
        <v>5</v>
      </c>
      <c r="G122" s="337"/>
      <c r="H122" s="337" t="s">
        <v>7</v>
      </c>
      <c r="I122" s="337"/>
      <c r="J122" s="338" t="s">
        <v>3</v>
      </c>
      <c r="K122" s="332"/>
      <c r="L122" s="332"/>
      <c r="M122" s="332"/>
      <c r="N122">
        <f t="shared" si="1"/>
        <v>0</v>
      </c>
    </row>
    <row r="123" spans="1:14" ht="30.95" customHeight="1" x14ac:dyDescent="0.3">
      <c r="A123" s="113" t="s">
        <v>0</v>
      </c>
      <c r="B123" s="113" t="s">
        <v>1</v>
      </c>
      <c r="C123" s="113" t="s">
        <v>23</v>
      </c>
      <c r="D123" s="113" t="s">
        <v>2</v>
      </c>
      <c r="E123" s="113" t="s">
        <v>3</v>
      </c>
      <c r="F123" s="156" t="s">
        <v>4</v>
      </c>
      <c r="G123" s="156" t="s">
        <v>506</v>
      </c>
      <c r="H123" s="156" t="s">
        <v>4</v>
      </c>
      <c r="I123" s="156" t="s">
        <v>506</v>
      </c>
      <c r="J123" s="338"/>
      <c r="K123" s="332"/>
      <c r="L123" s="332"/>
      <c r="M123" s="332"/>
      <c r="N123">
        <f t="shared" si="1"/>
        <v>1</v>
      </c>
    </row>
    <row r="124" spans="1:14" ht="30.95" customHeight="1" x14ac:dyDescent="0.3">
      <c r="A124" s="64">
        <v>1</v>
      </c>
      <c r="B124" s="345" t="s">
        <v>400</v>
      </c>
      <c r="C124" s="90"/>
      <c r="D124" s="91"/>
      <c r="E124" s="90"/>
      <c r="F124" s="92"/>
      <c r="G124" s="92"/>
      <c r="H124" s="92"/>
      <c r="I124" s="92"/>
      <c r="J124" s="93"/>
      <c r="K124" s="351"/>
      <c r="L124" s="351"/>
      <c r="M124" s="351"/>
      <c r="N124">
        <f t="shared" ref="N124:N187" si="2">IF(C124="",0,1)</f>
        <v>0</v>
      </c>
    </row>
    <row r="125" spans="1:14" ht="30.95" customHeight="1" x14ac:dyDescent="0.3">
      <c r="A125" s="18">
        <v>2</v>
      </c>
      <c r="B125" s="337"/>
      <c r="C125" s="94"/>
      <c r="D125" s="95"/>
      <c r="E125" s="94"/>
      <c r="F125" s="96"/>
      <c r="G125" s="96"/>
      <c r="H125" s="96"/>
      <c r="I125" s="96"/>
      <c r="J125" s="97"/>
      <c r="K125" s="352"/>
      <c r="L125" s="352"/>
      <c r="M125" s="352"/>
      <c r="N125">
        <f t="shared" si="2"/>
        <v>0</v>
      </c>
    </row>
    <row r="126" spans="1:14" ht="30.95" customHeight="1" x14ac:dyDescent="0.3">
      <c r="A126" s="18">
        <v>3</v>
      </c>
      <c r="B126" s="337"/>
      <c r="C126" s="130" t="s">
        <v>24</v>
      </c>
      <c r="D126" s="12" t="s">
        <v>157</v>
      </c>
      <c r="E126" s="130"/>
      <c r="F126" s="155"/>
      <c r="G126" s="155"/>
      <c r="H126" s="155"/>
      <c r="I126" s="155"/>
      <c r="J126" s="54"/>
      <c r="K126" s="352"/>
      <c r="L126" s="352"/>
      <c r="M126" s="352"/>
      <c r="N126">
        <f t="shared" si="2"/>
        <v>1</v>
      </c>
    </row>
    <row r="127" spans="1:14" ht="30.95" customHeight="1" x14ac:dyDescent="0.3">
      <c r="A127" s="18">
        <v>4</v>
      </c>
      <c r="B127" s="337"/>
      <c r="C127" s="130" t="s">
        <v>24</v>
      </c>
      <c r="D127" s="12" t="s">
        <v>157</v>
      </c>
      <c r="E127" s="15"/>
      <c r="F127" s="155"/>
      <c r="G127" s="155"/>
      <c r="H127" s="155"/>
      <c r="I127" s="155"/>
      <c r="J127" s="54"/>
      <c r="K127" s="352"/>
      <c r="L127" s="352"/>
      <c r="M127" s="352"/>
      <c r="N127">
        <f t="shared" si="2"/>
        <v>1</v>
      </c>
    </row>
    <row r="128" spans="1:14" ht="30.95" customHeight="1" x14ac:dyDescent="0.3">
      <c r="A128" s="18">
        <v>5</v>
      </c>
      <c r="B128" s="337"/>
      <c r="C128" s="76"/>
      <c r="D128" s="77"/>
      <c r="E128" s="76"/>
      <c r="F128" s="78"/>
      <c r="G128" s="78"/>
      <c r="H128" s="78"/>
      <c r="I128" s="78"/>
      <c r="J128" s="84"/>
      <c r="K128" s="352"/>
      <c r="L128" s="352"/>
      <c r="M128" s="352"/>
      <c r="N128">
        <f t="shared" si="2"/>
        <v>0</v>
      </c>
    </row>
    <row r="129" spans="1:14" ht="30.95" customHeight="1" x14ac:dyDescent="0.3">
      <c r="A129" s="18">
        <v>6</v>
      </c>
      <c r="B129" s="337"/>
      <c r="C129" s="76"/>
      <c r="D129" s="77"/>
      <c r="E129" s="76"/>
      <c r="F129" s="78"/>
      <c r="G129" s="78"/>
      <c r="H129" s="78"/>
      <c r="I129" s="78"/>
      <c r="J129" s="84"/>
      <c r="K129" s="352"/>
      <c r="L129" s="352"/>
      <c r="M129" s="352"/>
      <c r="N129">
        <f t="shared" si="2"/>
        <v>0</v>
      </c>
    </row>
    <row r="130" spans="1:14" ht="30.95" customHeight="1" x14ac:dyDescent="0.3">
      <c r="A130" s="18">
        <v>7</v>
      </c>
      <c r="B130" s="337"/>
      <c r="C130" s="130" t="s">
        <v>62</v>
      </c>
      <c r="D130" s="12" t="s">
        <v>159</v>
      </c>
      <c r="E130" s="130"/>
      <c r="F130" s="155"/>
      <c r="G130" s="155"/>
      <c r="H130" s="155"/>
      <c r="I130" s="155"/>
      <c r="J130" s="54"/>
      <c r="K130" s="352"/>
      <c r="L130" s="352"/>
      <c r="M130" s="352"/>
      <c r="N130">
        <f t="shared" si="2"/>
        <v>1</v>
      </c>
    </row>
    <row r="131" spans="1:14" ht="30.95" customHeight="1" x14ac:dyDescent="0.3">
      <c r="A131" s="18">
        <v>8</v>
      </c>
      <c r="B131" s="337"/>
      <c r="C131" s="76"/>
      <c r="D131" s="77"/>
      <c r="E131" s="76"/>
      <c r="F131" s="78"/>
      <c r="G131" s="78"/>
      <c r="H131" s="78"/>
      <c r="I131" s="78"/>
      <c r="J131" s="84"/>
      <c r="K131" s="352"/>
      <c r="L131" s="352"/>
      <c r="M131" s="352"/>
      <c r="N131">
        <f t="shared" si="2"/>
        <v>0</v>
      </c>
    </row>
    <row r="132" spans="1:14" ht="30.95" customHeight="1" x14ac:dyDescent="0.3">
      <c r="A132" s="18">
        <v>9</v>
      </c>
      <c r="B132" s="337"/>
      <c r="C132" s="130" t="s">
        <v>27</v>
      </c>
      <c r="D132" s="12" t="s">
        <v>158</v>
      </c>
      <c r="E132" s="130"/>
      <c r="F132" s="155"/>
      <c r="G132" s="155"/>
      <c r="H132" s="155"/>
      <c r="I132" s="155"/>
      <c r="J132" s="54"/>
      <c r="K132" s="352"/>
      <c r="L132" s="352"/>
      <c r="M132" s="352"/>
      <c r="N132">
        <f t="shared" si="2"/>
        <v>1</v>
      </c>
    </row>
    <row r="133" spans="1:14" ht="30.95" customHeight="1" x14ac:dyDescent="0.3">
      <c r="A133" s="18">
        <v>10</v>
      </c>
      <c r="B133" s="337"/>
      <c r="C133" s="130" t="s">
        <v>27</v>
      </c>
      <c r="D133" s="12" t="s">
        <v>158</v>
      </c>
      <c r="E133" s="130"/>
      <c r="F133" s="155"/>
      <c r="G133" s="155"/>
      <c r="H133" s="155"/>
      <c r="I133" s="155"/>
      <c r="J133" s="54"/>
      <c r="K133" s="352"/>
      <c r="L133" s="352"/>
      <c r="M133" s="352"/>
      <c r="N133">
        <f t="shared" si="2"/>
        <v>1</v>
      </c>
    </row>
    <row r="134" spans="1:14" ht="30.95" customHeight="1" x14ac:dyDescent="0.3">
      <c r="A134" s="18">
        <v>11</v>
      </c>
      <c r="B134" s="337"/>
      <c r="C134" s="130" t="s">
        <v>27</v>
      </c>
      <c r="D134" s="12" t="s">
        <v>161</v>
      </c>
      <c r="E134" s="130"/>
      <c r="F134" s="155"/>
      <c r="G134" s="155"/>
      <c r="H134" s="155"/>
      <c r="I134" s="155"/>
      <c r="J134" s="54"/>
      <c r="K134" s="352"/>
      <c r="L134" s="352"/>
      <c r="M134" s="352"/>
      <c r="N134">
        <f t="shared" si="2"/>
        <v>1</v>
      </c>
    </row>
    <row r="135" spans="1:14" ht="30.95" customHeight="1" x14ac:dyDescent="0.3">
      <c r="A135" s="18">
        <v>12</v>
      </c>
      <c r="B135" s="337"/>
      <c r="C135" s="130" t="s">
        <v>27</v>
      </c>
      <c r="D135" s="12" t="s">
        <v>161</v>
      </c>
      <c r="E135" s="130"/>
      <c r="F135" s="155"/>
      <c r="G135" s="155"/>
      <c r="H135" s="155"/>
      <c r="I135" s="155"/>
      <c r="J135" s="54"/>
      <c r="K135" s="352"/>
      <c r="L135" s="352"/>
      <c r="M135" s="352"/>
      <c r="N135">
        <f t="shared" si="2"/>
        <v>1</v>
      </c>
    </row>
    <row r="136" spans="1:14" ht="30.95" customHeight="1" x14ac:dyDescent="0.3">
      <c r="A136" s="18">
        <v>13</v>
      </c>
      <c r="B136" s="337"/>
      <c r="C136" s="76"/>
      <c r="D136" s="77"/>
      <c r="E136" s="76"/>
      <c r="F136" s="78"/>
      <c r="G136" s="78"/>
      <c r="H136" s="78"/>
      <c r="I136" s="78"/>
      <c r="J136" s="84"/>
      <c r="K136" s="352"/>
      <c r="L136" s="352"/>
      <c r="M136" s="352"/>
      <c r="N136">
        <f t="shared" si="2"/>
        <v>0</v>
      </c>
    </row>
    <row r="137" spans="1:14" ht="30.95" customHeight="1" x14ac:dyDescent="0.3">
      <c r="A137" s="18">
        <v>14</v>
      </c>
      <c r="B137" s="337"/>
      <c r="C137" s="76"/>
      <c r="D137" s="77"/>
      <c r="E137" s="76"/>
      <c r="F137" s="78"/>
      <c r="G137" s="78"/>
      <c r="H137" s="78"/>
      <c r="I137" s="78"/>
      <c r="J137" s="84"/>
      <c r="K137" s="352"/>
      <c r="L137" s="352"/>
      <c r="M137" s="352"/>
      <c r="N137">
        <f t="shared" si="2"/>
        <v>0</v>
      </c>
    </row>
    <row r="138" spans="1:14" ht="30.95" customHeight="1" x14ac:dyDescent="0.3">
      <c r="A138" s="18">
        <v>15</v>
      </c>
      <c r="B138" s="337"/>
      <c r="C138" s="130" t="s">
        <v>25</v>
      </c>
      <c r="D138" s="12" t="s">
        <v>162</v>
      </c>
      <c r="E138" s="130"/>
      <c r="F138" s="155"/>
      <c r="G138" s="155"/>
      <c r="H138" s="155"/>
      <c r="I138" s="155"/>
      <c r="J138" s="54"/>
      <c r="K138" s="352"/>
      <c r="L138" s="352"/>
      <c r="M138" s="352"/>
      <c r="N138">
        <f t="shared" si="2"/>
        <v>1</v>
      </c>
    </row>
    <row r="139" spans="1:14" ht="30.95" customHeight="1" x14ac:dyDescent="0.3">
      <c r="A139" s="18">
        <v>16</v>
      </c>
      <c r="B139" s="337"/>
      <c r="C139" s="130" t="s">
        <v>25</v>
      </c>
      <c r="D139" s="12" t="s">
        <v>162</v>
      </c>
      <c r="E139" s="130"/>
      <c r="F139" s="155"/>
      <c r="G139" s="155"/>
      <c r="H139" s="155"/>
      <c r="I139" s="155"/>
      <c r="J139" s="54"/>
      <c r="K139" s="352"/>
      <c r="L139" s="352"/>
      <c r="M139" s="352"/>
      <c r="N139">
        <f t="shared" si="2"/>
        <v>1</v>
      </c>
    </row>
    <row r="140" spans="1:14" ht="30.95" customHeight="1" x14ac:dyDescent="0.3">
      <c r="A140" s="18">
        <v>17</v>
      </c>
      <c r="B140" s="337"/>
      <c r="C140" s="85" t="s">
        <v>26</v>
      </c>
      <c r="D140" s="86" t="s">
        <v>481</v>
      </c>
      <c r="E140" s="85"/>
      <c r="F140" s="87"/>
      <c r="G140" s="87"/>
      <c r="H140" s="87"/>
      <c r="I140" s="87"/>
      <c r="J140" s="89"/>
      <c r="K140" s="352"/>
      <c r="L140" s="352"/>
      <c r="M140" s="352"/>
      <c r="N140">
        <f t="shared" si="2"/>
        <v>1</v>
      </c>
    </row>
    <row r="141" spans="1:14" ht="30.95" customHeight="1" x14ac:dyDescent="0.3">
      <c r="A141" s="18">
        <v>18</v>
      </c>
      <c r="B141" s="337"/>
      <c r="C141" s="85" t="s">
        <v>26</v>
      </c>
      <c r="D141" s="86" t="s">
        <v>482</v>
      </c>
      <c r="E141" s="85"/>
      <c r="F141" s="87"/>
      <c r="G141" s="87"/>
      <c r="H141" s="87"/>
      <c r="I141" s="87"/>
      <c r="J141" s="89"/>
      <c r="K141" s="352"/>
      <c r="L141" s="352"/>
      <c r="M141" s="352"/>
      <c r="N141">
        <f t="shared" si="2"/>
        <v>1</v>
      </c>
    </row>
    <row r="142" spans="1:14" ht="30.95" customHeight="1" x14ac:dyDescent="0.3">
      <c r="A142" s="18">
        <v>19</v>
      </c>
      <c r="B142" s="337"/>
      <c r="C142" s="76"/>
      <c r="D142" s="77"/>
      <c r="E142" s="76"/>
      <c r="F142" s="78"/>
      <c r="G142" s="78"/>
      <c r="H142" s="78"/>
      <c r="I142" s="78"/>
      <c r="J142" s="84"/>
      <c r="K142" s="352"/>
      <c r="L142" s="352"/>
      <c r="M142" s="352"/>
      <c r="N142">
        <f t="shared" si="2"/>
        <v>0</v>
      </c>
    </row>
    <row r="143" spans="1:14" ht="30.95" customHeight="1" x14ac:dyDescent="0.3">
      <c r="A143" s="18">
        <v>20</v>
      </c>
      <c r="B143" s="337"/>
      <c r="C143" s="76"/>
      <c r="D143" s="77"/>
      <c r="E143" s="76"/>
      <c r="F143" s="78"/>
      <c r="G143" s="78"/>
      <c r="H143" s="78"/>
      <c r="I143" s="78"/>
      <c r="J143" s="84"/>
      <c r="K143" s="352"/>
      <c r="L143" s="352"/>
      <c r="M143" s="352"/>
      <c r="N143">
        <f t="shared" si="2"/>
        <v>0</v>
      </c>
    </row>
    <row r="144" spans="1:14" ht="30.95" customHeight="1" x14ac:dyDescent="0.3">
      <c r="A144" s="18">
        <v>21</v>
      </c>
      <c r="B144" s="337"/>
      <c r="C144" s="85" t="s">
        <v>26</v>
      </c>
      <c r="D144" s="86" t="s">
        <v>164</v>
      </c>
      <c r="E144" s="130"/>
      <c r="F144" s="155"/>
      <c r="G144" s="155"/>
      <c r="H144" s="155"/>
      <c r="I144" s="155"/>
      <c r="J144" s="89"/>
      <c r="K144" s="352"/>
      <c r="L144" s="352"/>
      <c r="M144" s="352"/>
      <c r="N144">
        <f t="shared" si="2"/>
        <v>1</v>
      </c>
    </row>
    <row r="145" spans="1:14" ht="30.95" customHeight="1" x14ac:dyDescent="0.3">
      <c r="A145" s="18">
        <v>22</v>
      </c>
      <c r="B145" s="337"/>
      <c r="C145" s="85" t="s">
        <v>26</v>
      </c>
      <c r="D145" s="86" t="s">
        <v>163</v>
      </c>
      <c r="E145" s="130"/>
      <c r="F145" s="155"/>
      <c r="G145" s="155"/>
      <c r="H145" s="155"/>
      <c r="I145" s="155"/>
      <c r="J145" s="89"/>
      <c r="K145" s="352"/>
      <c r="L145" s="352"/>
      <c r="M145" s="352"/>
      <c r="N145">
        <f t="shared" si="2"/>
        <v>1</v>
      </c>
    </row>
    <row r="146" spans="1:14" ht="30.95" customHeight="1" x14ac:dyDescent="0.3">
      <c r="A146" s="18">
        <v>23</v>
      </c>
      <c r="B146" s="337"/>
      <c r="C146" s="130" t="s">
        <v>30</v>
      </c>
      <c r="D146" s="12" t="s">
        <v>52</v>
      </c>
      <c r="E146" s="130"/>
      <c r="F146" s="155"/>
      <c r="G146" s="155"/>
      <c r="H146" s="155"/>
      <c r="I146" s="155"/>
      <c r="J146" s="54"/>
      <c r="K146" s="352"/>
      <c r="L146" s="352"/>
      <c r="M146" s="352"/>
      <c r="N146">
        <f t="shared" si="2"/>
        <v>1</v>
      </c>
    </row>
    <row r="147" spans="1:14" ht="30.95" customHeight="1" thickBot="1" x14ac:dyDescent="0.35">
      <c r="A147" s="20">
        <v>24</v>
      </c>
      <c r="B147" s="348"/>
      <c r="C147" s="100" t="s">
        <v>30</v>
      </c>
      <c r="D147" s="22" t="s">
        <v>53</v>
      </c>
      <c r="E147" s="100"/>
      <c r="F147" s="158"/>
      <c r="G147" s="158"/>
      <c r="H147" s="158"/>
      <c r="I147" s="158"/>
      <c r="J147" s="55"/>
      <c r="K147" s="353"/>
      <c r="L147" s="353"/>
      <c r="M147" s="353"/>
      <c r="N147">
        <f t="shared" si="2"/>
        <v>1</v>
      </c>
    </row>
    <row r="148" spans="1:14" ht="30.95" customHeight="1" x14ac:dyDescent="0.3">
      <c r="A148" s="341" t="s">
        <v>8</v>
      </c>
      <c r="B148" s="342"/>
      <c r="C148" s="324"/>
      <c r="D148" s="110" t="s">
        <v>11</v>
      </c>
      <c r="E148" s="111" t="s">
        <v>12</v>
      </c>
      <c r="F148" s="340" t="s">
        <v>526</v>
      </c>
      <c r="G148" s="338"/>
      <c r="H148" s="338"/>
      <c r="I148" s="338"/>
      <c r="J148" s="338"/>
      <c r="K148" s="332" t="s">
        <v>10</v>
      </c>
      <c r="L148" s="331" t="s">
        <v>32</v>
      </c>
      <c r="M148" s="331" t="s">
        <v>33</v>
      </c>
      <c r="N148">
        <f t="shared" si="2"/>
        <v>0</v>
      </c>
    </row>
    <row r="149" spans="1:14" ht="30.95" customHeight="1" thickBot="1" x14ac:dyDescent="0.35">
      <c r="A149" s="333" t="s">
        <v>9</v>
      </c>
      <c r="B149" s="334"/>
      <c r="C149" s="335"/>
      <c r="D149" s="7" t="s">
        <v>538</v>
      </c>
      <c r="E149" s="112" t="s">
        <v>525</v>
      </c>
      <c r="F149" s="336" t="s">
        <v>5</v>
      </c>
      <c r="G149" s="337"/>
      <c r="H149" s="337" t="s">
        <v>7</v>
      </c>
      <c r="I149" s="337"/>
      <c r="J149" s="338" t="s">
        <v>3</v>
      </c>
      <c r="K149" s="332"/>
      <c r="L149" s="332"/>
      <c r="M149" s="332"/>
      <c r="N149">
        <f t="shared" si="2"/>
        <v>0</v>
      </c>
    </row>
    <row r="150" spans="1:14" ht="30.95" customHeight="1" x14ac:dyDescent="0.3">
      <c r="A150" s="113" t="s">
        <v>0</v>
      </c>
      <c r="B150" s="113" t="s">
        <v>1</v>
      </c>
      <c r="C150" s="113" t="s">
        <v>23</v>
      </c>
      <c r="D150" s="113" t="s">
        <v>2</v>
      </c>
      <c r="E150" s="113" t="s">
        <v>3</v>
      </c>
      <c r="F150" s="156" t="s">
        <v>4</v>
      </c>
      <c r="G150" s="156" t="s">
        <v>506</v>
      </c>
      <c r="H150" s="156" t="s">
        <v>4</v>
      </c>
      <c r="I150" s="156" t="s">
        <v>506</v>
      </c>
      <c r="J150" s="338"/>
      <c r="K150" s="332"/>
      <c r="L150" s="332"/>
      <c r="M150" s="332"/>
      <c r="N150">
        <f t="shared" si="2"/>
        <v>1</v>
      </c>
    </row>
    <row r="151" spans="1:14" ht="30.95" customHeight="1" x14ac:dyDescent="0.3">
      <c r="A151" s="64">
        <v>1</v>
      </c>
      <c r="B151" s="343" t="s">
        <v>401</v>
      </c>
      <c r="C151" s="68" t="s">
        <v>62</v>
      </c>
      <c r="D151" s="17" t="s">
        <v>402</v>
      </c>
      <c r="E151" s="68"/>
      <c r="F151" s="70"/>
      <c r="G151" s="70"/>
      <c r="H151" s="70"/>
      <c r="I151" s="70"/>
      <c r="J151" s="70"/>
      <c r="K151" s="351"/>
      <c r="L151" s="354"/>
      <c r="M151" s="354"/>
      <c r="N151">
        <f t="shared" si="2"/>
        <v>1</v>
      </c>
    </row>
    <row r="152" spans="1:14" ht="30.95" customHeight="1" x14ac:dyDescent="0.3">
      <c r="A152" s="18">
        <v>2</v>
      </c>
      <c r="B152" s="344"/>
      <c r="C152" s="42" t="s">
        <v>62</v>
      </c>
      <c r="D152" s="12" t="s">
        <v>402</v>
      </c>
      <c r="E152" s="42"/>
      <c r="F152" s="4"/>
      <c r="G152" s="4"/>
      <c r="H152" s="4"/>
      <c r="I152" s="4"/>
      <c r="J152" s="4"/>
      <c r="K152" s="352"/>
      <c r="L152" s="355"/>
      <c r="M152" s="355"/>
      <c r="N152">
        <f t="shared" si="2"/>
        <v>1</v>
      </c>
    </row>
    <row r="153" spans="1:14" ht="30.95" customHeight="1" x14ac:dyDescent="0.3">
      <c r="A153" s="18">
        <v>3</v>
      </c>
      <c r="B153" s="344"/>
      <c r="C153" s="42" t="s">
        <v>62</v>
      </c>
      <c r="D153" s="12" t="s">
        <v>403</v>
      </c>
      <c r="E153" s="42"/>
      <c r="F153" s="4"/>
      <c r="G153" s="4"/>
      <c r="H153" s="4"/>
      <c r="I153" s="4"/>
      <c r="J153" s="4"/>
      <c r="K153" s="352"/>
      <c r="L153" s="355"/>
      <c r="M153" s="355"/>
      <c r="N153">
        <f t="shared" si="2"/>
        <v>1</v>
      </c>
    </row>
    <row r="154" spans="1:14" ht="30.95" customHeight="1" x14ac:dyDescent="0.3">
      <c r="A154" s="18">
        <v>4</v>
      </c>
      <c r="B154" s="344"/>
      <c r="C154" s="42" t="s">
        <v>62</v>
      </c>
      <c r="D154" s="12" t="s">
        <v>403</v>
      </c>
      <c r="E154" s="42"/>
      <c r="F154" s="4"/>
      <c r="G154" s="4"/>
      <c r="H154" s="4"/>
      <c r="I154" s="4"/>
      <c r="J154" s="4"/>
      <c r="K154" s="352"/>
      <c r="L154" s="355"/>
      <c r="M154" s="355"/>
      <c r="N154">
        <f t="shared" si="2"/>
        <v>1</v>
      </c>
    </row>
    <row r="155" spans="1:14" ht="30.95" customHeight="1" x14ac:dyDescent="0.3">
      <c r="A155" s="18">
        <v>5</v>
      </c>
      <c r="B155" s="344"/>
      <c r="C155" s="42" t="s">
        <v>62</v>
      </c>
      <c r="D155" s="12" t="s">
        <v>404</v>
      </c>
      <c r="E155" s="42"/>
      <c r="F155" s="4"/>
      <c r="G155" s="4"/>
      <c r="H155" s="4"/>
      <c r="I155" s="4"/>
      <c r="J155" s="4"/>
      <c r="K155" s="352"/>
      <c r="L155" s="355"/>
      <c r="M155" s="355"/>
      <c r="N155">
        <f t="shared" si="2"/>
        <v>1</v>
      </c>
    </row>
    <row r="156" spans="1:14" ht="30.95" customHeight="1" x14ac:dyDescent="0.3">
      <c r="A156" s="18">
        <v>6</v>
      </c>
      <c r="B156" s="344"/>
      <c r="C156" s="42" t="s">
        <v>62</v>
      </c>
      <c r="D156" s="12" t="s">
        <v>404</v>
      </c>
      <c r="E156" s="42"/>
      <c r="F156" s="4"/>
      <c r="G156" s="4"/>
      <c r="H156" s="4"/>
      <c r="I156" s="4"/>
      <c r="J156" s="4"/>
      <c r="K156" s="352"/>
      <c r="L156" s="355"/>
      <c r="M156" s="355"/>
      <c r="N156">
        <f t="shared" si="2"/>
        <v>1</v>
      </c>
    </row>
    <row r="157" spans="1:14" ht="30.95" customHeight="1" x14ac:dyDescent="0.3">
      <c r="A157" s="18">
        <v>7</v>
      </c>
      <c r="B157" s="344"/>
      <c r="C157" s="42" t="s">
        <v>62</v>
      </c>
      <c r="D157" s="12" t="s">
        <v>405</v>
      </c>
      <c r="E157" s="42"/>
      <c r="F157" s="4"/>
      <c r="G157" s="4"/>
      <c r="H157" s="4"/>
      <c r="I157" s="4"/>
      <c r="J157" s="4"/>
      <c r="K157" s="352"/>
      <c r="L157" s="355"/>
      <c r="M157" s="355"/>
      <c r="N157">
        <f t="shared" si="2"/>
        <v>1</v>
      </c>
    </row>
    <row r="158" spans="1:14" ht="30.95" customHeight="1" x14ac:dyDescent="0.3">
      <c r="A158" s="18">
        <v>8</v>
      </c>
      <c r="B158" s="344"/>
      <c r="C158" s="76"/>
      <c r="D158" s="77"/>
      <c r="E158" s="76"/>
      <c r="F158" s="80"/>
      <c r="G158" s="80"/>
      <c r="H158" s="80"/>
      <c r="I158" s="80"/>
      <c r="J158" s="80"/>
      <c r="K158" s="352"/>
      <c r="L158" s="355"/>
      <c r="M158" s="355"/>
      <c r="N158">
        <f t="shared" si="2"/>
        <v>0</v>
      </c>
    </row>
    <row r="159" spans="1:14" ht="30.95" customHeight="1" x14ac:dyDescent="0.3">
      <c r="A159" s="18">
        <v>9</v>
      </c>
      <c r="B159" s="344"/>
      <c r="C159" s="76"/>
      <c r="D159" s="77"/>
      <c r="E159" s="76"/>
      <c r="F159" s="80"/>
      <c r="G159" s="80"/>
      <c r="H159" s="80"/>
      <c r="I159" s="80"/>
      <c r="J159" s="80"/>
      <c r="K159" s="352"/>
      <c r="L159" s="355"/>
      <c r="M159" s="355"/>
      <c r="N159">
        <f t="shared" si="2"/>
        <v>0</v>
      </c>
    </row>
    <row r="160" spans="1:14" ht="30.95" customHeight="1" x14ac:dyDescent="0.3">
      <c r="A160" s="18">
        <v>10</v>
      </c>
      <c r="B160" s="344"/>
      <c r="C160" s="76"/>
      <c r="D160" s="77"/>
      <c r="E160" s="76"/>
      <c r="F160" s="80"/>
      <c r="G160" s="80"/>
      <c r="H160" s="80"/>
      <c r="I160" s="80"/>
      <c r="J160" s="80"/>
      <c r="K160" s="352"/>
      <c r="L160" s="355"/>
      <c r="M160" s="355"/>
      <c r="N160">
        <f t="shared" si="2"/>
        <v>0</v>
      </c>
    </row>
    <row r="161" spans="1:14" ht="30.95" customHeight="1" x14ac:dyDescent="0.3">
      <c r="A161" s="18">
        <v>11</v>
      </c>
      <c r="B161" s="344"/>
      <c r="C161" s="76"/>
      <c r="D161" s="77"/>
      <c r="E161" s="76"/>
      <c r="F161" s="80"/>
      <c r="G161" s="80"/>
      <c r="H161" s="80"/>
      <c r="I161" s="80"/>
      <c r="J161" s="80"/>
      <c r="K161" s="352"/>
      <c r="L161" s="355"/>
      <c r="M161" s="355"/>
      <c r="N161">
        <f t="shared" si="2"/>
        <v>0</v>
      </c>
    </row>
    <row r="162" spans="1:14" ht="30.95" customHeight="1" x14ac:dyDescent="0.3">
      <c r="A162" s="18">
        <v>12</v>
      </c>
      <c r="B162" s="344"/>
      <c r="C162" s="42" t="s">
        <v>62</v>
      </c>
      <c r="D162" s="12" t="s">
        <v>406</v>
      </c>
      <c r="E162" s="42"/>
      <c r="F162" s="4"/>
      <c r="G162" s="4"/>
      <c r="H162" s="4"/>
      <c r="I162" s="4"/>
      <c r="J162" s="4"/>
      <c r="K162" s="352"/>
      <c r="L162" s="355"/>
      <c r="M162" s="355"/>
      <c r="N162">
        <f t="shared" si="2"/>
        <v>1</v>
      </c>
    </row>
    <row r="163" spans="1:14" ht="30.95" customHeight="1" x14ac:dyDescent="0.3">
      <c r="A163" s="18">
        <v>13</v>
      </c>
      <c r="B163" s="344"/>
      <c r="C163" s="42" t="s">
        <v>62</v>
      </c>
      <c r="D163" s="12" t="s">
        <v>407</v>
      </c>
      <c r="E163" s="42"/>
      <c r="F163" s="4"/>
      <c r="G163" s="4"/>
      <c r="H163" s="4"/>
      <c r="I163" s="4"/>
      <c r="J163" s="4"/>
      <c r="K163" s="352"/>
      <c r="L163" s="355"/>
      <c r="M163" s="355"/>
      <c r="N163">
        <f t="shared" si="2"/>
        <v>1</v>
      </c>
    </row>
    <row r="164" spans="1:14" ht="30.95" customHeight="1" x14ac:dyDescent="0.3">
      <c r="A164" s="18">
        <v>14</v>
      </c>
      <c r="B164" s="344"/>
      <c r="C164" s="76"/>
      <c r="D164" s="77"/>
      <c r="E164" s="76"/>
      <c r="F164" s="80"/>
      <c r="G164" s="80"/>
      <c r="H164" s="80"/>
      <c r="I164" s="80"/>
      <c r="J164" s="80"/>
      <c r="K164" s="352"/>
      <c r="L164" s="355"/>
      <c r="M164" s="355"/>
      <c r="N164">
        <f t="shared" si="2"/>
        <v>0</v>
      </c>
    </row>
    <row r="165" spans="1:14" ht="30.95" customHeight="1" x14ac:dyDescent="0.3">
      <c r="A165" s="18">
        <v>15</v>
      </c>
      <c r="B165" s="344"/>
      <c r="C165" s="76"/>
      <c r="D165" s="77"/>
      <c r="E165" s="76"/>
      <c r="F165" s="80"/>
      <c r="G165" s="80"/>
      <c r="H165" s="80"/>
      <c r="I165" s="80"/>
      <c r="J165" s="80"/>
      <c r="K165" s="352"/>
      <c r="L165" s="355"/>
      <c r="M165" s="355"/>
      <c r="N165">
        <f t="shared" si="2"/>
        <v>0</v>
      </c>
    </row>
    <row r="166" spans="1:14" ht="30.95" customHeight="1" x14ac:dyDescent="0.3">
      <c r="A166" s="18">
        <v>16</v>
      </c>
      <c r="B166" s="344"/>
      <c r="C166" s="76"/>
      <c r="D166" s="77"/>
      <c r="E166" s="76"/>
      <c r="F166" s="80"/>
      <c r="G166" s="80"/>
      <c r="H166" s="80"/>
      <c r="I166" s="80"/>
      <c r="J166" s="80"/>
      <c r="K166" s="352"/>
      <c r="L166" s="355"/>
      <c r="M166" s="355"/>
      <c r="N166">
        <f t="shared" si="2"/>
        <v>0</v>
      </c>
    </row>
    <row r="167" spans="1:14" ht="30.95" customHeight="1" x14ac:dyDescent="0.3">
      <c r="A167" s="18">
        <v>17</v>
      </c>
      <c r="B167" s="344"/>
      <c r="C167" s="76"/>
      <c r="D167" s="77"/>
      <c r="E167" s="76"/>
      <c r="F167" s="80"/>
      <c r="G167" s="80"/>
      <c r="H167" s="80"/>
      <c r="I167" s="80"/>
      <c r="J167" s="80"/>
      <c r="K167" s="352"/>
      <c r="L167" s="355"/>
      <c r="M167" s="355"/>
      <c r="N167">
        <f t="shared" si="2"/>
        <v>0</v>
      </c>
    </row>
    <row r="168" spans="1:14" ht="30.95" customHeight="1" x14ac:dyDescent="0.3">
      <c r="A168" s="18">
        <v>18</v>
      </c>
      <c r="B168" s="344"/>
      <c r="C168" s="76"/>
      <c r="D168" s="77"/>
      <c r="E168" s="76"/>
      <c r="F168" s="80"/>
      <c r="G168" s="80"/>
      <c r="H168" s="80"/>
      <c r="I168" s="80"/>
      <c r="J168" s="80"/>
      <c r="K168" s="352"/>
      <c r="L168" s="355"/>
      <c r="M168" s="355"/>
      <c r="N168">
        <f t="shared" si="2"/>
        <v>0</v>
      </c>
    </row>
    <row r="169" spans="1:14" ht="30.95" customHeight="1" x14ac:dyDescent="0.3">
      <c r="A169" s="18">
        <v>19</v>
      </c>
      <c r="B169" s="344"/>
      <c r="C169" s="76"/>
      <c r="D169" s="77"/>
      <c r="E169" s="76"/>
      <c r="F169" s="80"/>
      <c r="G169" s="80"/>
      <c r="H169" s="80"/>
      <c r="I169" s="80"/>
      <c r="J169" s="80"/>
      <c r="K169" s="352"/>
      <c r="L169" s="355"/>
      <c r="M169" s="355"/>
      <c r="N169">
        <f t="shared" si="2"/>
        <v>0</v>
      </c>
    </row>
    <row r="170" spans="1:14" ht="30.95" customHeight="1" x14ac:dyDescent="0.3">
      <c r="A170" s="18">
        <v>20</v>
      </c>
      <c r="B170" s="344"/>
      <c r="C170" s="42" t="s">
        <v>62</v>
      </c>
      <c r="D170" s="12" t="s">
        <v>408</v>
      </c>
      <c r="E170" s="42"/>
      <c r="F170" s="4"/>
      <c r="G170" s="4"/>
      <c r="H170" s="4"/>
      <c r="I170" s="4"/>
      <c r="J170" s="4"/>
      <c r="K170" s="352"/>
      <c r="L170" s="355"/>
      <c r="M170" s="355"/>
      <c r="N170">
        <f t="shared" si="2"/>
        <v>1</v>
      </c>
    </row>
    <row r="171" spans="1:14" ht="30.95" customHeight="1" x14ac:dyDescent="0.3">
      <c r="A171" s="18">
        <v>21</v>
      </c>
      <c r="B171" s="344"/>
      <c r="C171" s="76"/>
      <c r="D171" s="77"/>
      <c r="E171" s="76"/>
      <c r="F171" s="80"/>
      <c r="G171" s="80"/>
      <c r="H171" s="80"/>
      <c r="I171" s="80"/>
      <c r="J171" s="80"/>
      <c r="K171" s="352"/>
      <c r="L171" s="355"/>
      <c r="M171" s="355"/>
      <c r="N171">
        <f t="shared" si="2"/>
        <v>0</v>
      </c>
    </row>
    <row r="172" spans="1:14" ht="30.95" customHeight="1" x14ac:dyDescent="0.3">
      <c r="A172" s="18">
        <v>22</v>
      </c>
      <c r="B172" s="344"/>
      <c r="C172" s="76"/>
      <c r="D172" s="77"/>
      <c r="E172" s="76"/>
      <c r="F172" s="80"/>
      <c r="G172" s="80"/>
      <c r="H172" s="80"/>
      <c r="I172" s="80"/>
      <c r="J172" s="80"/>
      <c r="K172" s="352"/>
      <c r="L172" s="355"/>
      <c r="M172" s="355"/>
      <c r="N172">
        <f t="shared" si="2"/>
        <v>0</v>
      </c>
    </row>
    <row r="173" spans="1:14" ht="30.95" customHeight="1" x14ac:dyDescent="0.3">
      <c r="A173" s="18">
        <v>23</v>
      </c>
      <c r="B173" s="344"/>
      <c r="C173" s="76"/>
      <c r="D173" s="77"/>
      <c r="E173" s="76"/>
      <c r="F173" s="80"/>
      <c r="G173" s="80"/>
      <c r="H173" s="80"/>
      <c r="I173" s="80"/>
      <c r="J173" s="80"/>
      <c r="K173" s="352"/>
      <c r="L173" s="355"/>
      <c r="M173" s="355"/>
      <c r="N173">
        <f t="shared" si="2"/>
        <v>0</v>
      </c>
    </row>
    <row r="174" spans="1:14" ht="30.95" customHeight="1" x14ac:dyDescent="0.3">
      <c r="A174" s="18">
        <v>24</v>
      </c>
      <c r="B174" s="344"/>
      <c r="C174" s="76"/>
      <c r="D174" s="77"/>
      <c r="E174" s="76"/>
      <c r="F174" s="80"/>
      <c r="G174" s="80"/>
      <c r="H174" s="80"/>
      <c r="I174" s="80"/>
      <c r="J174" s="80"/>
      <c r="K174" s="353"/>
      <c r="L174" s="363"/>
      <c r="M174" s="363"/>
      <c r="N174">
        <f t="shared" si="2"/>
        <v>0</v>
      </c>
    </row>
    <row r="175" spans="1:14" ht="30.95" customHeight="1" x14ac:dyDescent="0.3">
      <c r="A175" s="18">
        <v>25</v>
      </c>
      <c r="B175" s="344" t="s">
        <v>446</v>
      </c>
      <c r="C175" s="42" t="s">
        <v>62</v>
      </c>
      <c r="D175" s="12" t="s">
        <v>409</v>
      </c>
      <c r="E175" s="42"/>
      <c r="F175" s="4"/>
      <c r="G175" s="4"/>
      <c r="H175" s="4"/>
      <c r="I175" s="4"/>
      <c r="J175" s="4"/>
      <c r="K175" s="354"/>
      <c r="L175" s="354"/>
      <c r="M175" s="354"/>
      <c r="N175">
        <f t="shared" si="2"/>
        <v>1</v>
      </c>
    </row>
    <row r="176" spans="1:14" ht="30.95" customHeight="1" x14ac:dyDescent="0.3">
      <c r="A176" s="18">
        <v>26</v>
      </c>
      <c r="B176" s="344"/>
      <c r="C176" s="42" t="s">
        <v>62</v>
      </c>
      <c r="D176" s="12" t="s">
        <v>409</v>
      </c>
      <c r="E176" s="42"/>
      <c r="F176" s="4"/>
      <c r="G176" s="4"/>
      <c r="H176" s="4"/>
      <c r="I176" s="4"/>
      <c r="J176" s="4"/>
      <c r="K176" s="355"/>
      <c r="L176" s="355"/>
      <c r="M176" s="355"/>
      <c r="N176">
        <f t="shared" si="2"/>
        <v>1</v>
      </c>
    </row>
    <row r="177" spans="1:14" ht="30.95" customHeight="1" x14ac:dyDescent="0.3">
      <c r="A177" s="18">
        <v>27</v>
      </c>
      <c r="B177" s="344"/>
      <c r="C177" s="42" t="s">
        <v>62</v>
      </c>
      <c r="D177" s="12" t="s">
        <v>410</v>
      </c>
      <c r="E177" s="42"/>
      <c r="F177" s="4"/>
      <c r="G177" s="4"/>
      <c r="H177" s="4"/>
      <c r="I177" s="4"/>
      <c r="J177" s="4"/>
      <c r="K177" s="355"/>
      <c r="L177" s="355"/>
      <c r="M177" s="355"/>
      <c r="N177">
        <f t="shared" si="2"/>
        <v>1</v>
      </c>
    </row>
    <row r="178" spans="1:14" ht="30.95" customHeight="1" x14ac:dyDescent="0.3">
      <c r="A178" s="18">
        <v>28</v>
      </c>
      <c r="B178" s="344"/>
      <c r="C178" s="42" t="s">
        <v>62</v>
      </c>
      <c r="D178" s="12" t="s">
        <v>410</v>
      </c>
      <c r="E178" s="42"/>
      <c r="F178" s="4"/>
      <c r="G178" s="4"/>
      <c r="H178" s="4"/>
      <c r="I178" s="4"/>
      <c r="J178" s="4"/>
      <c r="K178" s="355"/>
      <c r="L178" s="355"/>
      <c r="M178" s="355"/>
      <c r="N178">
        <f t="shared" si="2"/>
        <v>1</v>
      </c>
    </row>
    <row r="179" spans="1:14" ht="30.95" customHeight="1" x14ac:dyDescent="0.3">
      <c r="A179" s="18">
        <v>29</v>
      </c>
      <c r="B179" s="344"/>
      <c r="C179" s="42" t="s">
        <v>62</v>
      </c>
      <c r="D179" s="12" t="s">
        <v>411</v>
      </c>
      <c r="E179" s="42"/>
      <c r="F179" s="4"/>
      <c r="G179" s="4"/>
      <c r="H179" s="4"/>
      <c r="I179" s="4"/>
      <c r="J179" s="4"/>
      <c r="K179" s="355"/>
      <c r="L179" s="355"/>
      <c r="M179" s="355"/>
      <c r="N179">
        <f t="shared" si="2"/>
        <v>1</v>
      </c>
    </row>
    <row r="180" spans="1:14" ht="30.95" customHeight="1" x14ac:dyDescent="0.3">
      <c r="A180" s="18">
        <v>30</v>
      </c>
      <c r="B180" s="344"/>
      <c r="C180" s="42" t="s">
        <v>62</v>
      </c>
      <c r="D180" s="12" t="s">
        <v>411</v>
      </c>
      <c r="E180" s="42"/>
      <c r="F180" s="4"/>
      <c r="G180" s="4"/>
      <c r="H180" s="4"/>
      <c r="I180" s="4"/>
      <c r="J180" s="4"/>
      <c r="K180" s="355"/>
      <c r="L180" s="355"/>
      <c r="M180" s="355"/>
      <c r="N180">
        <f t="shared" si="2"/>
        <v>1</v>
      </c>
    </row>
    <row r="181" spans="1:14" ht="30.95" customHeight="1" x14ac:dyDescent="0.3">
      <c r="A181" s="18">
        <v>31</v>
      </c>
      <c r="B181" s="344"/>
      <c r="C181" s="42" t="s">
        <v>62</v>
      </c>
      <c r="D181" s="12" t="s">
        <v>412</v>
      </c>
      <c r="E181" s="42"/>
      <c r="F181" s="4"/>
      <c r="G181" s="4"/>
      <c r="H181" s="4"/>
      <c r="I181" s="4"/>
      <c r="J181" s="4"/>
      <c r="K181" s="355"/>
      <c r="L181" s="355"/>
      <c r="M181" s="355"/>
      <c r="N181">
        <f t="shared" si="2"/>
        <v>1</v>
      </c>
    </row>
    <row r="182" spans="1:14" ht="30.95" customHeight="1" x14ac:dyDescent="0.3">
      <c r="A182" s="18">
        <v>32</v>
      </c>
      <c r="B182" s="344"/>
      <c r="C182" s="42" t="s">
        <v>62</v>
      </c>
      <c r="D182" s="12" t="s">
        <v>412</v>
      </c>
      <c r="E182" s="42"/>
      <c r="F182" s="4"/>
      <c r="G182" s="4"/>
      <c r="H182" s="4"/>
      <c r="I182" s="4"/>
      <c r="J182" s="4"/>
      <c r="K182" s="355"/>
      <c r="L182" s="355"/>
      <c r="M182" s="355"/>
      <c r="N182">
        <f t="shared" si="2"/>
        <v>1</v>
      </c>
    </row>
    <row r="183" spans="1:14" ht="30.95" customHeight="1" x14ac:dyDescent="0.3">
      <c r="A183" s="18">
        <v>33</v>
      </c>
      <c r="B183" s="344"/>
      <c r="C183" s="76"/>
      <c r="D183" s="77"/>
      <c r="E183" s="76"/>
      <c r="F183" s="80"/>
      <c r="G183" s="80"/>
      <c r="H183" s="80"/>
      <c r="I183" s="80"/>
      <c r="J183" s="80"/>
      <c r="K183" s="355"/>
      <c r="L183" s="355"/>
      <c r="M183" s="355"/>
      <c r="N183">
        <f t="shared" si="2"/>
        <v>0</v>
      </c>
    </row>
    <row r="184" spans="1:14" ht="30.95" customHeight="1" x14ac:dyDescent="0.3">
      <c r="A184" s="18">
        <v>34</v>
      </c>
      <c r="B184" s="344"/>
      <c r="C184" s="76"/>
      <c r="D184" s="77"/>
      <c r="E184" s="76"/>
      <c r="F184" s="80"/>
      <c r="G184" s="80"/>
      <c r="H184" s="80"/>
      <c r="I184" s="80"/>
      <c r="J184" s="80"/>
      <c r="K184" s="355"/>
      <c r="L184" s="355"/>
      <c r="M184" s="355"/>
      <c r="N184">
        <f t="shared" si="2"/>
        <v>0</v>
      </c>
    </row>
    <row r="185" spans="1:14" ht="30.95" customHeight="1" x14ac:dyDescent="0.3">
      <c r="A185" s="18">
        <v>35</v>
      </c>
      <c r="B185" s="344"/>
      <c r="C185" s="76"/>
      <c r="D185" s="77"/>
      <c r="E185" s="76"/>
      <c r="F185" s="80"/>
      <c r="G185" s="80"/>
      <c r="H185" s="80"/>
      <c r="I185" s="80"/>
      <c r="J185" s="80"/>
      <c r="K185" s="355"/>
      <c r="L185" s="355"/>
      <c r="M185" s="355"/>
      <c r="N185">
        <f t="shared" si="2"/>
        <v>0</v>
      </c>
    </row>
    <row r="186" spans="1:14" ht="30.95" customHeight="1" x14ac:dyDescent="0.3">
      <c r="A186" s="18">
        <v>36</v>
      </c>
      <c r="B186" s="344"/>
      <c r="C186" s="76"/>
      <c r="D186" s="77"/>
      <c r="E186" s="76"/>
      <c r="F186" s="80"/>
      <c r="G186" s="80"/>
      <c r="H186" s="80"/>
      <c r="I186" s="80"/>
      <c r="J186" s="80"/>
      <c r="K186" s="355"/>
      <c r="L186" s="355"/>
      <c r="M186" s="355"/>
      <c r="N186">
        <f t="shared" si="2"/>
        <v>0</v>
      </c>
    </row>
    <row r="187" spans="1:14" ht="30.95" customHeight="1" x14ac:dyDescent="0.3">
      <c r="A187" s="18">
        <v>37</v>
      </c>
      <c r="B187" s="344"/>
      <c r="C187" s="42" t="s">
        <v>62</v>
      </c>
      <c r="D187" s="12" t="s">
        <v>413</v>
      </c>
      <c r="E187" s="42"/>
      <c r="F187" s="4"/>
      <c r="G187" s="4"/>
      <c r="H187" s="4"/>
      <c r="I187" s="4"/>
      <c r="J187" s="4"/>
      <c r="K187" s="355"/>
      <c r="L187" s="355"/>
      <c r="M187" s="355"/>
      <c r="N187">
        <f t="shared" si="2"/>
        <v>1</v>
      </c>
    </row>
    <row r="188" spans="1:14" ht="30.95" customHeight="1" x14ac:dyDescent="0.3">
      <c r="A188" s="18">
        <v>38</v>
      </c>
      <c r="B188" s="344"/>
      <c r="C188" s="42" t="s">
        <v>62</v>
      </c>
      <c r="D188" s="12" t="s">
        <v>413</v>
      </c>
      <c r="E188" s="42"/>
      <c r="F188" s="4"/>
      <c r="G188" s="4"/>
      <c r="H188" s="4"/>
      <c r="I188" s="4"/>
      <c r="J188" s="4"/>
      <c r="K188" s="355"/>
      <c r="L188" s="355"/>
      <c r="M188" s="355"/>
      <c r="N188">
        <f t="shared" ref="N188:N198" si="3">IF(C188="",0,1)</f>
        <v>1</v>
      </c>
    </row>
    <row r="189" spans="1:14" ht="30.95" customHeight="1" x14ac:dyDescent="0.3">
      <c r="A189" s="18">
        <v>39</v>
      </c>
      <c r="B189" s="344"/>
      <c r="C189" s="42" t="s">
        <v>62</v>
      </c>
      <c r="D189" s="12" t="s">
        <v>414</v>
      </c>
      <c r="E189" s="42"/>
      <c r="F189" s="4"/>
      <c r="G189" s="4"/>
      <c r="H189" s="4"/>
      <c r="I189" s="4"/>
      <c r="J189" s="4"/>
      <c r="K189" s="355"/>
      <c r="L189" s="355"/>
      <c r="M189" s="355"/>
      <c r="N189">
        <f t="shared" si="3"/>
        <v>1</v>
      </c>
    </row>
    <row r="190" spans="1:14" ht="30.95" customHeight="1" x14ac:dyDescent="0.3">
      <c r="A190" s="18">
        <v>40</v>
      </c>
      <c r="B190" s="344"/>
      <c r="C190" s="42" t="s">
        <v>62</v>
      </c>
      <c r="D190" s="12" t="s">
        <v>414</v>
      </c>
      <c r="E190" s="42"/>
      <c r="F190" s="4"/>
      <c r="G190" s="4"/>
      <c r="H190" s="4"/>
      <c r="I190" s="4"/>
      <c r="J190" s="4"/>
      <c r="K190" s="355"/>
      <c r="L190" s="355"/>
      <c r="M190" s="355"/>
      <c r="N190">
        <f t="shared" si="3"/>
        <v>1</v>
      </c>
    </row>
    <row r="191" spans="1:14" ht="30.95" customHeight="1" x14ac:dyDescent="0.3">
      <c r="A191" s="18">
        <v>41</v>
      </c>
      <c r="B191" s="344"/>
      <c r="C191" s="42" t="s">
        <v>62</v>
      </c>
      <c r="D191" s="12" t="s">
        <v>415</v>
      </c>
      <c r="E191" s="42"/>
      <c r="F191" s="4"/>
      <c r="G191" s="4"/>
      <c r="H191" s="4"/>
      <c r="I191" s="4"/>
      <c r="J191" s="4"/>
      <c r="K191" s="355"/>
      <c r="L191" s="355"/>
      <c r="M191" s="355"/>
      <c r="N191">
        <f t="shared" si="3"/>
        <v>1</v>
      </c>
    </row>
    <row r="192" spans="1:14" ht="30.95" customHeight="1" x14ac:dyDescent="0.3">
      <c r="A192" s="18">
        <v>42</v>
      </c>
      <c r="B192" s="344"/>
      <c r="C192" s="42" t="s">
        <v>62</v>
      </c>
      <c r="D192" s="12" t="s">
        <v>415</v>
      </c>
      <c r="E192" s="42"/>
      <c r="F192" s="4"/>
      <c r="G192" s="4"/>
      <c r="H192" s="4"/>
      <c r="I192" s="4"/>
      <c r="J192" s="4"/>
      <c r="K192" s="355"/>
      <c r="L192" s="355"/>
      <c r="M192" s="355"/>
      <c r="N192">
        <f t="shared" si="3"/>
        <v>1</v>
      </c>
    </row>
    <row r="193" spans="1:14" ht="30.95" customHeight="1" x14ac:dyDescent="0.3">
      <c r="A193" s="18">
        <v>43</v>
      </c>
      <c r="B193" s="344"/>
      <c r="C193" s="42" t="s">
        <v>62</v>
      </c>
      <c r="D193" s="12" t="s">
        <v>416</v>
      </c>
      <c r="E193" s="42"/>
      <c r="F193" s="4"/>
      <c r="G193" s="4"/>
      <c r="H193" s="4"/>
      <c r="I193" s="4"/>
      <c r="J193" s="4"/>
      <c r="K193" s="355"/>
      <c r="L193" s="355"/>
      <c r="M193" s="355"/>
      <c r="N193">
        <f t="shared" si="3"/>
        <v>1</v>
      </c>
    </row>
    <row r="194" spans="1:14" ht="30.95" customHeight="1" x14ac:dyDescent="0.3">
      <c r="A194" s="18">
        <v>44</v>
      </c>
      <c r="B194" s="344"/>
      <c r="C194" s="42" t="s">
        <v>62</v>
      </c>
      <c r="D194" s="12" t="s">
        <v>417</v>
      </c>
      <c r="E194" s="42"/>
      <c r="F194" s="4"/>
      <c r="G194" s="4"/>
      <c r="H194" s="4"/>
      <c r="I194" s="4"/>
      <c r="J194" s="4"/>
      <c r="K194" s="355"/>
      <c r="L194" s="355"/>
      <c r="M194" s="355"/>
      <c r="N194">
        <f t="shared" si="3"/>
        <v>1</v>
      </c>
    </row>
    <row r="195" spans="1:14" ht="30.95" customHeight="1" x14ac:dyDescent="0.3">
      <c r="A195" s="18">
        <v>45</v>
      </c>
      <c r="B195" s="344"/>
      <c r="C195" s="42" t="s">
        <v>62</v>
      </c>
      <c r="D195" s="12" t="s">
        <v>418</v>
      </c>
      <c r="E195" s="42"/>
      <c r="F195" s="4"/>
      <c r="G195" s="4"/>
      <c r="H195" s="4"/>
      <c r="I195" s="4"/>
      <c r="J195" s="4"/>
      <c r="K195" s="355"/>
      <c r="L195" s="355"/>
      <c r="M195" s="355"/>
      <c r="N195">
        <f t="shared" si="3"/>
        <v>1</v>
      </c>
    </row>
    <row r="196" spans="1:14" ht="30.95" customHeight="1" x14ac:dyDescent="0.3">
      <c r="A196" s="18">
        <v>46</v>
      </c>
      <c r="B196" s="344"/>
      <c r="C196" s="42" t="s">
        <v>62</v>
      </c>
      <c r="D196" s="12" t="s">
        <v>419</v>
      </c>
      <c r="E196" s="42"/>
      <c r="F196" s="4"/>
      <c r="G196" s="4"/>
      <c r="H196" s="4"/>
      <c r="I196" s="4"/>
      <c r="J196" s="4"/>
      <c r="K196" s="355"/>
      <c r="L196" s="355"/>
      <c r="M196" s="355"/>
      <c r="N196">
        <f t="shared" si="3"/>
        <v>1</v>
      </c>
    </row>
    <row r="197" spans="1:14" ht="30.95" customHeight="1" x14ac:dyDescent="0.3">
      <c r="A197" s="18">
        <v>47</v>
      </c>
      <c r="B197" s="344"/>
      <c r="C197" s="76"/>
      <c r="D197" s="77"/>
      <c r="E197" s="76"/>
      <c r="F197" s="80"/>
      <c r="G197" s="80"/>
      <c r="H197" s="80"/>
      <c r="I197" s="80"/>
      <c r="J197" s="80"/>
      <c r="K197" s="355"/>
      <c r="L197" s="355"/>
      <c r="M197" s="355"/>
      <c r="N197">
        <f t="shared" si="3"/>
        <v>0</v>
      </c>
    </row>
    <row r="198" spans="1:14" ht="30.95" customHeight="1" thickBot="1" x14ac:dyDescent="0.35">
      <c r="A198" s="21">
        <v>48</v>
      </c>
      <c r="B198" s="345"/>
      <c r="C198" s="82"/>
      <c r="D198" s="147"/>
      <c r="E198" s="82"/>
      <c r="F198" s="83"/>
      <c r="G198" s="83"/>
      <c r="H198" s="83"/>
      <c r="I198" s="83"/>
      <c r="J198" s="83"/>
      <c r="K198" s="363"/>
      <c r="L198" s="363"/>
      <c r="M198" s="363"/>
      <c r="N198">
        <f t="shared" si="3"/>
        <v>0</v>
      </c>
    </row>
    <row r="199" spans="1:14" ht="32.1" customHeight="1" x14ac:dyDescent="0.3"/>
    <row r="200" spans="1:14" ht="32.1" customHeight="1" x14ac:dyDescent="0.3"/>
    <row r="201" spans="1:14" ht="32.1" customHeight="1" x14ac:dyDescent="0.3"/>
    <row r="202" spans="1:14" ht="32.1" customHeight="1" x14ac:dyDescent="0.3"/>
    <row r="203" spans="1:14" ht="32.1" customHeight="1" x14ac:dyDescent="0.3"/>
    <row r="204" spans="1:14" ht="32.1" customHeight="1" x14ac:dyDescent="0.3"/>
    <row r="205" spans="1:14" ht="32.1" customHeight="1" x14ac:dyDescent="0.3"/>
    <row r="206" spans="1:14" ht="32.1" customHeight="1" x14ac:dyDescent="0.3"/>
    <row r="207" spans="1:14" ht="32.1" customHeight="1" x14ac:dyDescent="0.3"/>
    <row r="208" spans="1:14" s="11" customFormat="1" ht="32.1" customHeight="1" x14ac:dyDescent="0.3">
      <c r="D208" s="13"/>
      <c r="F208"/>
      <c r="G208"/>
      <c r="H208"/>
      <c r="I208"/>
      <c r="J208"/>
      <c r="K208" s="1"/>
      <c r="L208" s="1"/>
      <c r="M208" s="1"/>
    </row>
    <row r="209" spans="4:13" s="11" customFormat="1" ht="32.1" customHeight="1" x14ac:dyDescent="0.3">
      <c r="D209" s="13"/>
      <c r="F209"/>
      <c r="G209"/>
      <c r="H209"/>
      <c r="I209"/>
      <c r="J209"/>
      <c r="K209" s="1"/>
      <c r="L209" s="1"/>
      <c r="M209" s="1"/>
    </row>
    <row r="210" spans="4:13" s="11" customFormat="1" ht="32.1" customHeight="1" x14ac:dyDescent="0.3">
      <c r="D210" s="13"/>
      <c r="F210"/>
      <c r="G210"/>
      <c r="H210"/>
      <c r="I210"/>
      <c r="J210"/>
      <c r="K210" s="1"/>
      <c r="L210" s="1"/>
      <c r="M210" s="1"/>
    </row>
    <row r="211" spans="4:13" s="11" customFormat="1" ht="32.1" customHeight="1" x14ac:dyDescent="0.3">
      <c r="D211" s="13"/>
      <c r="F211"/>
      <c r="G211"/>
      <c r="H211"/>
      <c r="I211"/>
      <c r="J211"/>
      <c r="K211" s="1"/>
      <c r="L211" s="1"/>
      <c r="M211" s="1"/>
    </row>
    <row r="212" spans="4:13" s="11" customFormat="1" ht="32.1" customHeight="1" x14ac:dyDescent="0.3">
      <c r="D212" s="13"/>
      <c r="F212"/>
      <c r="G212"/>
      <c r="H212"/>
      <c r="I212"/>
      <c r="J212"/>
      <c r="K212" s="1"/>
      <c r="L212" s="1"/>
      <c r="M212" s="1"/>
    </row>
    <row r="213" spans="4:13" s="11" customFormat="1" ht="32.1" customHeight="1" x14ac:dyDescent="0.3">
      <c r="D213" s="13"/>
      <c r="F213"/>
      <c r="G213"/>
      <c r="H213"/>
      <c r="I213"/>
      <c r="J213"/>
      <c r="K213" s="1"/>
      <c r="L213" s="1"/>
      <c r="M213" s="1"/>
    </row>
    <row r="214" spans="4:13" s="11" customFormat="1" ht="32.1" customHeight="1" x14ac:dyDescent="0.3">
      <c r="D214" s="13"/>
      <c r="F214"/>
      <c r="G214"/>
      <c r="H214"/>
      <c r="I214"/>
      <c r="J214"/>
      <c r="K214" s="1"/>
      <c r="L214" s="1"/>
      <c r="M214" s="1"/>
    </row>
    <row r="215" spans="4:13" s="11" customFormat="1" ht="32.1" customHeight="1" x14ac:dyDescent="0.3">
      <c r="D215" s="13"/>
      <c r="F215"/>
      <c r="G215"/>
      <c r="H215"/>
      <c r="I215"/>
      <c r="J215"/>
      <c r="K215" s="1"/>
      <c r="L215" s="1"/>
      <c r="M215" s="1"/>
    </row>
    <row r="216" spans="4:13" s="11" customFormat="1" ht="32.1" customHeight="1" x14ac:dyDescent="0.3">
      <c r="D216" s="13"/>
      <c r="F216"/>
      <c r="G216"/>
      <c r="H216"/>
      <c r="I216"/>
      <c r="J216"/>
      <c r="K216" s="1"/>
      <c r="L216" s="1"/>
      <c r="M216" s="1"/>
    </row>
    <row r="217" spans="4:13" s="11" customFormat="1" ht="32.1" customHeight="1" x14ac:dyDescent="0.3">
      <c r="D217" s="13"/>
      <c r="F217"/>
      <c r="G217"/>
      <c r="H217"/>
      <c r="I217"/>
      <c r="J217"/>
      <c r="K217" s="1"/>
      <c r="L217" s="1"/>
      <c r="M217" s="1"/>
    </row>
    <row r="218" spans="4:13" s="11" customFormat="1" ht="32.1" customHeight="1" x14ac:dyDescent="0.3">
      <c r="D218" s="13"/>
      <c r="F218"/>
      <c r="G218"/>
      <c r="H218"/>
      <c r="I218"/>
      <c r="J218"/>
      <c r="K218" s="1"/>
      <c r="L218" s="1"/>
      <c r="M218" s="1"/>
    </row>
    <row r="219" spans="4:13" s="11" customFormat="1" ht="32.1" customHeight="1" x14ac:dyDescent="0.3">
      <c r="D219" s="13"/>
      <c r="F219"/>
      <c r="G219"/>
      <c r="H219"/>
      <c r="I219"/>
      <c r="J219"/>
      <c r="K219" s="1"/>
      <c r="L219" s="1"/>
      <c r="M219" s="1"/>
    </row>
    <row r="220" spans="4:13" s="11" customFormat="1" ht="32.1" customHeight="1" x14ac:dyDescent="0.3">
      <c r="D220" s="13"/>
      <c r="F220"/>
      <c r="G220"/>
      <c r="H220"/>
      <c r="I220"/>
      <c r="J220"/>
      <c r="K220" s="1"/>
      <c r="L220" s="1"/>
      <c r="M220" s="1"/>
    </row>
    <row r="221" spans="4:13" s="11" customFormat="1" ht="32.1" customHeight="1" x14ac:dyDescent="0.3">
      <c r="D221" s="13"/>
      <c r="F221"/>
      <c r="G221"/>
      <c r="H221"/>
      <c r="I221"/>
      <c r="J221"/>
      <c r="K221" s="1"/>
      <c r="L221" s="1"/>
      <c r="M221" s="1"/>
    </row>
    <row r="222" spans="4:13" s="11" customFormat="1" ht="32.1" customHeight="1" x14ac:dyDescent="0.3">
      <c r="D222" s="13"/>
      <c r="F222"/>
      <c r="G222"/>
      <c r="H222"/>
      <c r="I222"/>
      <c r="J222"/>
      <c r="K222" s="1"/>
      <c r="L222" s="1"/>
      <c r="M222" s="1"/>
    </row>
    <row r="223" spans="4:13" s="11" customFormat="1" ht="32.1" customHeight="1" x14ac:dyDescent="0.3">
      <c r="D223" s="13"/>
      <c r="F223"/>
      <c r="G223"/>
      <c r="H223"/>
      <c r="I223"/>
      <c r="J223"/>
      <c r="K223" s="1"/>
      <c r="L223" s="1"/>
      <c r="M223" s="1"/>
    </row>
    <row r="224" spans="4:13" s="11" customFormat="1" ht="32.1" customHeight="1" x14ac:dyDescent="0.3">
      <c r="D224" s="13"/>
      <c r="F224"/>
      <c r="G224"/>
      <c r="H224"/>
      <c r="I224"/>
      <c r="J224"/>
      <c r="K224" s="1"/>
      <c r="L224" s="1"/>
      <c r="M224" s="1"/>
    </row>
    <row r="225" spans="4:13" s="11" customFormat="1" ht="32.1" customHeight="1" x14ac:dyDescent="0.3">
      <c r="D225" s="13"/>
      <c r="F225"/>
      <c r="G225"/>
      <c r="H225"/>
      <c r="I225"/>
      <c r="J225"/>
      <c r="K225" s="1"/>
      <c r="L225" s="1"/>
      <c r="M225" s="1"/>
    </row>
    <row r="226" spans="4:13" s="11" customFormat="1" ht="32.1" customHeight="1" x14ac:dyDescent="0.3">
      <c r="D226" s="13"/>
      <c r="F226"/>
      <c r="G226"/>
      <c r="H226"/>
      <c r="I226"/>
      <c r="J226"/>
      <c r="K226" s="1"/>
      <c r="L226" s="1"/>
      <c r="M226" s="1"/>
    </row>
    <row r="227" spans="4:13" s="11" customFormat="1" ht="32.1" customHeight="1" x14ac:dyDescent="0.3">
      <c r="D227" s="13"/>
      <c r="F227"/>
      <c r="G227"/>
      <c r="H227"/>
      <c r="I227"/>
      <c r="J227"/>
      <c r="K227" s="1"/>
      <c r="L227" s="1"/>
      <c r="M227" s="1"/>
    </row>
    <row r="228" spans="4:13" s="11" customFormat="1" ht="32.1" customHeight="1" x14ac:dyDescent="0.3">
      <c r="D228" s="13"/>
      <c r="F228"/>
      <c r="G228"/>
      <c r="H228"/>
      <c r="I228"/>
      <c r="J228"/>
      <c r="K228" s="1"/>
      <c r="L228" s="1"/>
      <c r="M228" s="1"/>
    </row>
    <row r="229" spans="4:13" s="11" customFormat="1" ht="32.1" customHeight="1" x14ac:dyDescent="0.3">
      <c r="D229" s="13"/>
      <c r="F229"/>
      <c r="G229"/>
      <c r="H229"/>
      <c r="I229"/>
      <c r="J229"/>
      <c r="K229" s="1"/>
      <c r="L229" s="1"/>
      <c r="M229" s="1"/>
    </row>
    <row r="230" spans="4:13" s="11" customFormat="1" ht="32.1" customHeight="1" x14ac:dyDescent="0.3">
      <c r="D230" s="13"/>
      <c r="F230"/>
      <c r="G230"/>
      <c r="H230"/>
      <c r="I230"/>
      <c r="J230"/>
      <c r="K230" s="1"/>
      <c r="L230" s="1"/>
      <c r="M230" s="1"/>
    </row>
    <row r="231" spans="4:13" s="11" customFormat="1" ht="32.1" customHeight="1" x14ac:dyDescent="0.3">
      <c r="D231" s="13"/>
      <c r="F231"/>
      <c r="G231"/>
      <c r="H231"/>
      <c r="I231"/>
      <c r="J231"/>
      <c r="K231" s="1"/>
      <c r="L231" s="1"/>
      <c r="M231" s="1"/>
    </row>
    <row r="232" spans="4:13" s="11" customFormat="1" ht="32.1" customHeight="1" x14ac:dyDescent="0.3">
      <c r="D232" s="13"/>
      <c r="F232"/>
      <c r="G232"/>
      <c r="H232"/>
      <c r="I232"/>
      <c r="J232"/>
      <c r="K232" s="1"/>
      <c r="L232" s="1"/>
      <c r="M232" s="1"/>
    </row>
    <row r="233" spans="4:13" s="11" customFormat="1" ht="32.1" customHeight="1" x14ac:dyDescent="0.3">
      <c r="D233" s="13"/>
      <c r="F233"/>
      <c r="G233"/>
      <c r="H233"/>
      <c r="I233"/>
      <c r="J233"/>
      <c r="K233" s="1"/>
      <c r="L233" s="1"/>
      <c r="M233" s="1"/>
    </row>
    <row r="234" spans="4:13" s="11" customFormat="1" ht="32.1" customHeight="1" x14ac:dyDescent="0.3">
      <c r="D234" s="13"/>
      <c r="F234"/>
      <c r="G234"/>
      <c r="H234"/>
      <c r="I234"/>
      <c r="J234"/>
      <c r="K234" s="1"/>
      <c r="L234" s="1"/>
      <c r="M234" s="1"/>
    </row>
    <row r="235" spans="4:13" s="11" customFormat="1" ht="32.1" customHeight="1" x14ac:dyDescent="0.3">
      <c r="D235" s="13"/>
      <c r="F235"/>
      <c r="G235"/>
      <c r="H235"/>
      <c r="I235"/>
      <c r="J235"/>
      <c r="K235" s="1"/>
      <c r="L235" s="1"/>
      <c r="M235" s="1"/>
    </row>
    <row r="236" spans="4:13" s="11" customFormat="1" ht="32.1" customHeight="1" x14ac:dyDescent="0.3">
      <c r="D236" s="13"/>
      <c r="F236"/>
      <c r="G236"/>
      <c r="H236"/>
      <c r="I236"/>
      <c r="J236"/>
      <c r="K236" s="1"/>
      <c r="L236" s="1"/>
      <c r="M236" s="1"/>
    </row>
    <row r="237" spans="4:13" s="11" customFormat="1" ht="32.1" customHeight="1" x14ac:dyDescent="0.3">
      <c r="D237" s="13"/>
      <c r="F237"/>
      <c r="G237"/>
      <c r="H237"/>
      <c r="I237"/>
      <c r="J237"/>
      <c r="K237" s="1"/>
      <c r="L237" s="1"/>
      <c r="M237" s="1"/>
    </row>
    <row r="238" spans="4:13" s="11" customFormat="1" ht="32.1" customHeight="1" x14ac:dyDescent="0.3">
      <c r="D238" s="13"/>
      <c r="F238"/>
      <c r="G238"/>
      <c r="H238"/>
      <c r="I238"/>
      <c r="J238"/>
      <c r="K238" s="1"/>
      <c r="L238" s="1"/>
      <c r="M238" s="1"/>
    </row>
    <row r="239" spans="4:13" s="11" customFormat="1" ht="32.1" customHeight="1" x14ac:dyDescent="0.3">
      <c r="D239" s="13"/>
      <c r="F239"/>
      <c r="G239"/>
      <c r="H239"/>
      <c r="I239"/>
      <c r="J239"/>
      <c r="K239" s="1"/>
      <c r="L239" s="1"/>
      <c r="M239" s="1"/>
    </row>
    <row r="240" spans="4:13" s="11" customFormat="1" ht="32.1" customHeight="1" x14ac:dyDescent="0.3">
      <c r="D240" s="13"/>
      <c r="F240"/>
      <c r="G240"/>
      <c r="H240"/>
      <c r="I240"/>
      <c r="J240"/>
      <c r="K240" s="1"/>
      <c r="L240" s="1"/>
      <c r="M240" s="1"/>
    </row>
    <row r="241" spans="4:13" s="11" customFormat="1" ht="32.1" customHeight="1" x14ac:dyDescent="0.3">
      <c r="D241" s="13"/>
      <c r="F241"/>
      <c r="G241"/>
      <c r="H241"/>
      <c r="I241"/>
      <c r="J241"/>
      <c r="K241" s="1"/>
      <c r="L241" s="1"/>
      <c r="M241" s="1"/>
    </row>
    <row r="242" spans="4:13" s="11" customFormat="1" ht="32.1" customHeight="1" x14ac:dyDescent="0.3">
      <c r="D242" s="13"/>
      <c r="F242"/>
      <c r="G242"/>
      <c r="H242"/>
      <c r="I242"/>
      <c r="J242"/>
      <c r="K242" s="1"/>
      <c r="L242" s="1"/>
      <c r="M242" s="1"/>
    </row>
    <row r="243" spans="4:13" s="11" customFormat="1" ht="32.1" customHeight="1" x14ac:dyDescent="0.3">
      <c r="D243" s="13"/>
      <c r="F243"/>
      <c r="G243"/>
      <c r="H243"/>
      <c r="I243"/>
      <c r="J243"/>
      <c r="K243" s="1"/>
      <c r="L243" s="1"/>
      <c r="M243" s="1"/>
    </row>
    <row r="244" spans="4:13" s="11" customFormat="1" ht="32.1" customHeight="1" x14ac:dyDescent="0.3">
      <c r="D244" s="13"/>
      <c r="F244"/>
      <c r="G244"/>
      <c r="H244"/>
      <c r="I244"/>
      <c r="J244"/>
      <c r="K244" s="1"/>
      <c r="L244" s="1"/>
      <c r="M244" s="1"/>
    </row>
    <row r="245" spans="4:13" s="11" customFormat="1" ht="32.1" customHeight="1" x14ac:dyDescent="0.3">
      <c r="D245" s="13"/>
      <c r="F245"/>
      <c r="G245"/>
      <c r="H245"/>
      <c r="I245"/>
      <c r="J245"/>
      <c r="K245" s="1"/>
      <c r="L245" s="1"/>
      <c r="M245" s="1"/>
    </row>
    <row r="246" spans="4:13" s="11" customFormat="1" ht="32.1" customHeight="1" x14ac:dyDescent="0.3">
      <c r="D246" s="13"/>
      <c r="F246"/>
      <c r="G246"/>
      <c r="H246"/>
      <c r="I246"/>
      <c r="J246"/>
      <c r="K246" s="1"/>
      <c r="L246" s="1"/>
      <c r="M246" s="1"/>
    </row>
    <row r="247" spans="4:13" s="11" customFormat="1" ht="32.1" customHeight="1" x14ac:dyDescent="0.3">
      <c r="D247" s="13"/>
      <c r="F247"/>
      <c r="G247"/>
      <c r="H247"/>
      <c r="I247"/>
      <c r="J247"/>
      <c r="K247" s="1"/>
      <c r="L247" s="1"/>
      <c r="M247" s="1"/>
    </row>
    <row r="248" spans="4:13" s="11" customFormat="1" ht="32.1" customHeight="1" x14ac:dyDescent="0.3">
      <c r="D248" s="13"/>
      <c r="F248"/>
      <c r="G248"/>
      <c r="H248"/>
      <c r="I248"/>
      <c r="J248"/>
      <c r="K248" s="1"/>
      <c r="L248" s="1"/>
      <c r="M248" s="1"/>
    </row>
    <row r="249" spans="4:13" s="11" customFormat="1" ht="32.1" customHeight="1" x14ac:dyDescent="0.3">
      <c r="D249" s="13"/>
      <c r="F249"/>
      <c r="G249"/>
      <c r="H249"/>
      <c r="I249"/>
      <c r="J249"/>
      <c r="K249" s="1"/>
      <c r="L249" s="1"/>
      <c r="M249" s="1"/>
    </row>
    <row r="250" spans="4:13" s="11" customFormat="1" ht="32.1" customHeight="1" x14ac:dyDescent="0.3">
      <c r="D250" s="13"/>
      <c r="F250"/>
      <c r="G250"/>
      <c r="H250"/>
      <c r="I250"/>
      <c r="J250"/>
      <c r="K250" s="1"/>
      <c r="L250" s="1"/>
      <c r="M250" s="1"/>
    </row>
    <row r="251" spans="4:13" s="11" customFormat="1" ht="32.1" customHeight="1" x14ac:dyDescent="0.3">
      <c r="D251" s="13"/>
      <c r="F251"/>
      <c r="G251"/>
      <c r="H251"/>
      <c r="I251"/>
      <c r="J251"/>
      <c r="K251" s="1"/>
      <c r="L251" s="1"/>
      <c r="M251" s="1"/>
    </row>
    <row r="252" spans="4:13" s="11" customFormat="1" ht="32.1" customHeight="1" x14ac:dyDescent="0.3">
      <c r="D252" s="13"/>
      <c r="F252"/>
      <c r="G252"/>
      <c r="H252"/>
      <c r="I252"/>
      <c r="J252"/>
      <c r="K252" s="1"/>
      <c r="L252" s="1"/>
      <c r="M252" s="1"/>
    </row>
    <row r="253" spans="4:13" s="11" customFormat="1" ht="32.1" customHeight="1" x14ac:dyDescent="0.3">
      <c r="D253" s="13"/>
      <c r="F253"/>
      <c r="G253"/>
      <c r="H253"/>
      <c r="I253"/>
      <c r="J253"/>
      <c r="K253" s="1"/>
      <c r="L253" s="1"/>
      <c r="M253" s="1"/>
    </row>
    <row r="254" spans="4:13" s="11" customFormat="1" ht="32.1" customHeight="1" x14ac:dyDescent="0.3">
      <c r="D254" s="13"/>
      <c r="F254"/>
      <c r="G254"/>
      <c r="H254"/>
      <c r="I254"/>
      <c r="J254"/>
      <c r="K254" s="1"/>
      <c r="L254" s="1"/>
      <c r="M254" s="1"/>
    </row>
    <row r="255" spans="4:13" s="11" customFormat="1" ht="32.1" customHeight="1" x14ac:dyDescent="0.3">
      <c r="D255" s="13"/>
      <c r="F255"/>
      <c r="G255"/>
      <c r="H255"/>
      <c r="I255"/>
      <c r="J255"/>
      <c r="K255" s="1"/>
      <c r="L255" s="1"/>
      <c r="M255" s="1"/>
    </row>
    <row r="256" spans="4:13" s="11" customFormat="1" ht="32.1" customHeight="1" x14ac:dyDescent="0.3">
      <c r="D256" s="13"/>
      <c r="F256"/>
      <c r="G256"/>
      <c r="H256"/>
      <c r="I256"/>
      <c r="J256"/>
      <c r="K256" s="1"/>
      <c r="L256" s="1"/>
      <c r="M256" s="1"/>
    </row>
    <row r="257" spans="4:13" s="11" customFormat="1" ht="32.1" customHeight="1" x14ac:dyDescent="0.3">
      <c r="D257" s="13"/>
      <c r="F257"/>
      <c r="G257"/>
      <c r="H257"/>
      <c r="I257"/>
      <c r="J257"/>
      <c r="K257" s="1"/>
      <c r="L257" s="1"/>
      <c r="M257" s="1"/>
    </row>
    <row r="258" spans="4:13" s="11" customFormat="1" ht="32.1" customHeight="1" x14ac:dyDescent="0.3">
      <c r="D258" s="13"/>
      <c r="F258"/>
      <c r="G258"/>
      <c r="H258"/>
      <c r="I258"/>
      <c r="J258"/>
      <c r="K258" s="1"/>
      <c r="L258" s="1"/>
      <c r="M258" s="1"/>
    </row>
    <row r="259" spans="4:13" s="11" customFormat="1" ht="32.1" customHeight="1" x14ac:dyDescent="0.3">
      <c r="D259" s="13"/>
      <c r="F259"/>
      <c r="G259"/>
      <c r="H259"/>
      <c r="I259"/>
      <c r="J259"/>
      <c r="K259" s="1"/>
      <c r="L259" s="1"/>
      <c r="M259" s="1"/>
    </row>
    <row r="260" spans="4:13" s="11" customFormat="1" ht="32.1" customHeight="1" x14ac:dyDescent="0.3">
      <c r="D260" s="13"/>
      <c r="F260"/>
      <c r="G260"/>
      <c r="H260"/>
      <c r="I260"/>
      <c r="J260"/>
      <c r="K260" s="1"/>
      <c r="L260" s="1"/>
      <c r="M260" s="1"/>
    </row>
    <row r="261" spans="4:13" s="11" customFormat="1" ht="32.1" customHeight="1" x14ac:dyDescent="0.3">
      <c r="D261" s="13"/>
      <c r="F261"/>
      <c r="G261"/>
      <c r="H261"/>
      <c r="I261"/>
      <c r="J261"/>
      <c r="K261" s="1"/>
      <c r="L261" s="1"/>
      <c r="M261" s="1"/>
    </row>
    <row r="262" spans="4:13" s="11" customFormat="1" ht="32.1" customHeight="1" x14ac:dyDescent="0.3">
      <c r="D262" s="13"/>
      <c r="F262"/>
      <c r="G262"/>
      <c r="H262"/>
      <c r="I262"/>
      <c r="J262"/>
      <c r="K262" s="1"/>
      <c r="L262" s="1"/>
      <c r="M262" s="1"/>
    </row>
    <row r="263" spans="4:13" s="11" customFormat="1" ht="32.1" customHeight="1" x14ac:dyDescent="0.3">
      <c r="D263" s="13"/>
      <c r="F263"/>
      <c r="G263"/>
      <c r="H263"/>
      <c r="I263"/>
      <c r="J263"/>
      <c r="K263" s="1"/>
      <c r="L263" s="1"/>
      <c r="M263" s="1"/>
    </row>
    <row r="264" spans="4:13" s="11" customFormat="1" ht="32.1" customHeight="1" x14ac:dyDescent="0.3">
      <c r="D264" s="13"/>
      <c r="F264"/>
      <c r="G264"/>
      <c r="H264"/>
      <c r="I264"/>
      <c r="J264"/>
      <c r="K264" s="1"/>
      <c r="L264" s="1"/>
      <c r="M264" s="1"/>
    </row>
    <row r="265" spans="4:13" s="11" customFormat="1" ht="32.1" customHeight="1" x14ac:dyDescent="0.3">
      <c r="D265" s="13"/>
      <c r="F265"/>
      <c r="G265"/>
      <c r="H265"/>
      <c r="I265"/>
      <c r="J265"/>
      <c r="K265" s="1"/>
      <c r="L265" s="1"/>
      <c r="M265" s="1"/>
    </row>
    <row r="266" spans="4:13" s="11" customFormat="1" ht="32.1" customHeight="1" x14ac:dyDescent="0.3">
      <c r="D266" s="13"/>
      <c r="F266"/>
      <c r="G266"/>
      <c r="H266"/>
      <c r="I266"/>
      <c r="J266"/>
      <c r="K266" s="1"/>
      <c r="L266" s="1"/>
      <c r="M266" s="1"/>
    </row>
    <row r="267" spans="4:13" s="11" customFormat="1" ht="32.1" customHeight="1" x14ac:dyDescent="0.3">
      <c r="D267" s="13"/>
      <c r="F267"/>
      <c r="G267"/>
      <c r="H267"/>
      <c r="I267"/>
      <c r="J267"/>
      <c r="K267" s="1"/>
      <c r="L267" s="1"/>
      <c r="M267" s="1"/>
    </row>
    <row r="268" spans="4:13" s="11" customFormat="1" ht="32.1" customHeight="1" x14ac:dyDescent="0.3">
      <c r="D268" s="13"/>
      <c r="F268"/>
      <c r="G268"/>
      <c r="H268"/>
      <c r="I268"/>
      <c r="J268"/>
      <c r="K268" s="1"/>
      <c r="L268" s="1"/>
      <c r="M268" s="1"/>
    </row>
    <row r="269" spans="4:13" s="11" customFormat="1" ht="32.1" customHeight="1" x14ac:dyDescent="0.3">
      <c r="D269" s="13"/>
      <c r="F269"/>
      <c r="G269"/>
      <c r="H269"/>
      <c r="I269"/>
      <c r="J269"/>
      <c r="K269" s="1"/>
      <c r="L269" s="1"/>
      <c r="M269" s="1"/>
    </row>
    <row r="270" spans="4:13" s="11" customFormat="1" ht="32.1" customHeight="1" x14ac:dyDescent="0.3">
      <c r="D270" s="13"/>
      <c r="F270"/>
      <c r="G270"/>
      <c r="H270"/>
      <c r="I270"/>
      <c r="J270"/>
      <c r="K270" s="1"/>
      <c r="L270" s="1"/>
      <c r="M270" s="1"/>
    </row>
    <row r="271" spans="4:13" s="11" customFormat="1" ht="32.1" customHeight="1" x14ac:dyDescent="0.3">
      <c r="D271" s="13"/>
      <c r="F271"/>
      <c r="G271"/>
      <c r="H271"/>
      <c r="I271"/>
      <c r="J271"/>
      <c r="K271" s="1"/>
      <c r="L271" s="1"/>
      <c r="M271" s="1"/>
    </row>
    <row r="272" spans="4:13" s="11" customFormat="1" ht="32.1" customHeight="1" x14ac:dyDescent="0.3">
      <c r="D272" s="13"/>
      <c r="F272"/>
      <c r="G272"/>
      <c r="H272"/>
      <c r="I272"/>
      <c r="J272"/>
      <c r="K272" s="1"/>
      <c r="L272" s="1"/>
      <c r="M272" s="1"/>
    </row>
    <row r="273" spans="4:13" s="11" customFormat="1" ht="32.1" customHeight="1" x14ac:dyDescent="0.3">
      <c r="D273" s="13"/>
      <c r="F273"/>
      <c r="G273"/>
      <c r="H273"/>
      <c r="I273"/>
      <c r="J273"/>
      <c r="K273" s="1"/>
      <c r="L273" s="1"/>
      <c r="M273" s="1"/>
    </row>
    <row r="274" spans="4:13" s="11" customFormat="1" ht="32.1" customHeight="1" x14ac:dyDescent="0.3">
      <c r="D274" s="13"/>
      <c r="F274"/>
      <c r="G274"/>
      <c r="H274"/>
      <c r="I274"/>
      <c r="J274"/>
      <c r="K274" s="1"/>
      <c r="L274" s="1"/>
      <c r="M274" s="1"/>
    </row>
    <row r="275" spans="4:13" s="11" customFormat="1" ht="32.1" customHeight="1" x14ac:dyDescent="0.3">
      <c r="D275" s="13"/>
      <c r="F275"/>
      <c r="G275"/>
      <c r="H275"/>
      <c r="I275"/>
      <c r="J275"/>
      <c r="K275" s="1"/>
      <c r="L275" s="1"/>
      <c r="M275" s="1"/>
    </row>
    <row r="276" spans="4:13" s="11" customFormat="1" ht="32.1" customHeight="1" x14ac:dyDescent="0.3">
      <c r="D276" s="13"/>
      <c r="F276"/>
      <c r="G276"/>
      <c r="H276"/>
      <c r="I276"/>
      <c r="J276"/>
      <c r="K276" s="1"/>
      <c r="L276" s="1"/>
      <c r="M276" s="1"/>
    </row>
    <row r="277" spans="4:13" s="11" customFormat="1" ht="32.1" customHeight="1" x14ac:dyDescent="0.3">
      <c r="D277" s="13"/>
      <c r="F277"/>
      <c r="G277"/>
      <c r="H277"/>
      <c r="I277"/>
      <c r="J277"/>
      <c r="K277" s="1"/>
      <c r="L277" s="1"/>
      <c r="M277" s="1"/>
    </row>
    <row r="278" spans="4:13" s="11" customFormat="1" ht="32.1" customHeight="1" x14ac:dyDescent="0.3">
      <c r="D278" s="13"/>
      <c r="F278"/>
      <c r="G278"/>
      <c r="H278"/>
      <c r="I278"/>
      <c r="J278"/>
      <c r="K278" s="1"/>
      <c r="L278" s="1"/>
      <c r="M278" s="1"/>
    </row>
    <row r="279" spans="4:13" s="11" customFormat="1" ht="32.1" customHeight="1" x14ac:dyDescent="0.3">
      <c r="D279" s="13"/>
      <c r="F279"/>
      <c r="G279"/>
      <c r="H279"/>
      <c r="I279"/>
      <c r="J279"/>
      <c r="K279" s="1"/>
      <c r="L279" s="1"/>
      <c r="M279" s="1"/>
    </row>
    <row r="280" spans="4:13" s="11" customFormat="1" ht="32.1" customHeight="1" x14ac:dyDescent="0.3">
      <c r="D280" s="13"/>
      <c r="F280"/>
      <c r="G280"/>
      <c r="H280"/>
      <c r="I280"/>
      <c r="J280"/>
      <c r="K280" s="1"/>
      <c r="L280" s="1"/>
      <c r="M280" s="1"/>
    </row>
    <row r="281" spans="4:13" s="11" customFormat="1" ht="32.1" customHeight="1" x14ac:dyDescent="0.3">
      <c r="D281" s="13"/>
      <c r="F281"/>
      <c r="G281"/>
      <c r="H281"/>
      <c r="I281"/>
      <c r="J281"/>
      <c r="K281" s="1"/>
      <c r="L281" s="1"/>
      <c r="M281" s="1"/>
    </row>
  </sheetData>
  <mergeCells count="86">
    <mergeCell ref="M151:M174"/>
    <mergeCell ref="L175:L198"/>
    <mergeCell ref="M175:M198"/>
    <mergeCell ref="K124:K147"/>
    <mergeCell ref="K151:K174"/>
    <mergeCell ref="K175:K198"/>
    <mergeCell ref="L151:L174"/>
    <mergeCell ref="L4:L27"/>
    <mergeCell ref="M6:M27"/>
    <mergeCell ref="L28:L51"/>
    <mergeCell ref="M28:M51"/>
    <mergeCell ref="L55:L78"/>
    <mergeCell ref="M55:M78"/>
    <mergeCell ref="L82:L93"/>
    <mergeCell ref="M82:M93"/>
    <mergeCell ref="L97:L120"/>
    <mergeCell ref="M97:M120"/>
    <mergeCell ref="L124:L147"/>
    <mergeCell ref="M124:M147"/>
    <mergeCell ref="K4:K27"/>
    <mergeCell ref="K28:K51"/>
    <mergeCell ref="K55:K78"/>
    <mergeCell ref="K82:K93"/>
    <mergeCell ref="K97:K120"/>
    <mergeCell ref="A1:C1"/>
    <mergeCell ref="F1:J1"/>
    <mergeCell ref="K1:K3"/>
    <mergeCell ref="L1:L3"/>
    <mergeCell ref="M1:M3"/>
    <mergeCell ref="A2:C2"/>
    <mergeCell ref="F2:G2"/>
    <mergeCell ref="H2:I2"/>
    <mergeCell ref="J2:J3"/>
    <mergeCell ref="B151:B174"/>
    <mergeCell ref="B175:B198"/>
    <mergeCell ref="A79:C79"/>
    <mergeCell ref="B4:B27"/>
    <mergeCell ref="B28:B51"/>
    <mergeCell ref="B124:B147"/>
    <mergeCell ref="B55:B78"/>
    <mergeCell ref="B82:B93"/>
    <mergeCell ref="B97:B120"/>
    <mergeCell ref="A94:C94"/>
    <mergeCell ref="A121:C121"/>
    <mergeCell ref="A52:C52"/>
    <mergeCell ref="F52:J52"/>
    <mergeCell ref="K52:K54"/>
    <mergeCell ref="L52:L54"/>
    <mergeCell ref="M52:M54"/>
    <mergeCell ref="A53:C53"/>
    <mergeCell ref="F53:G53"/>
    <mergeCell ref="H53:I53"/>
    <mergeCell ref="J53:J54"/>
    <mergeCell ref="F94:J94"/>
    <mergeCell ref="K94:K96"/>
    <mergeCell ref="L94:L96"/>
    <mergeCell ref="M94:M96"/>
    <mergeCell ref="A95:C95"/>
    <mergeCell ref="F95:G95"/>
    <mergeCell ref="H95:I95"/>
    <mergeCell ref="J95:J96"/>
    <mergeCell ref="F121:J121"/>
    <mergeCell ref="K121:K123"/>
    <mergeCell ref="L121:L123"/>
    <mergeCell ref="M121:M123"/>
    <mergeCell ref="A122:C122"/>
    <mergeCell ref="F122:G122"/>
    <mergeCell ref="H122:I122"/>
    <mergeCell ref="J122:J123"/>
    <mergeCell ref="F148:J148"/>
    <mergeCell ref="K148:K150"/>
    <mergeCell ref="L148:L150"/>
    <mergeCell ref="M148:M150"/>
    <mergeCell ref="A149:C149"/>
    <mergeCell ref="F149:G149"/>
    <mergeCell ref="H149:I149"/>
    <mergeCell ref="J149:J150"/>
    <mergeCell ref="A148:C148"/>
    <mergeCell ref="F79:J79"/>
    <mergeCell ref="K79:K81"/>
    <mergeCell ref="L79:L81"/>
    <mergeCell ref="M79:M81"/>
    <mergeCell ref="A80:C80"/>
    <mergeCell ref="F80:G80"/>
    <mergeCell ref="H80:I80"/>
    <mergeCell ref="J80:J81"/>
  </mergeCells>
  <phoneticPr fontId="1" type="noConversion"/>
  <pageMargins left="0.25" right="0.25" top="0.75" bottom="0.75" header="0.3" footer="0.3"/>
  <pageSetup paperSize="9" scale="56" fitToHeight="0" orientation="landscape" r:id="rId1"/>
  <rowBreaks count="7" manualBreakCount="7">
    <brk id="27" max="12" man="1"/>
    <brk id="51" max="12" man="1"/>
    <brk id="78" max="12" man="1"/>
    <brk id="93" max="12" man="1"/>
    <brk id="120" max="12" man="1"/>
    <brk id="147" max="12" man="1"/>
    <brk id="174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337"/>
  <sheetViews>
    <sheetView tabSelected="1"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D8" sqref="D8"/>
    </sheetView>
  </sheetViews>
  <sheetFormatPr defaultRowHeight="17.25" x14ac:dyDescent="0.3"/>
  <cols>
    <col min="1" max="1" width="6" style="10" customWidth="1"/>
    <col min="2" max="2" width="13.75" style="10" customWidth="1"/>
    <col min="3" max="3" width="15.75" style="10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customWidth="1"/>
    <col min="13" max="13" width="9" style="1" customWidth="1"/>
  </cols>
  <sheetData>
    <row r="1" spans="1:14" ht="27.95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727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 s="71">
        <f>COUNTIF(N5:N505,0)/COUNT(A:A)</f>
        <v>0.34649122807017546</v>
      </c>
    </row>
    <row r="2" spans="1:14" ht="27.95" customHeight="1" x14ac:dyDescent="0.3">
      <c r="A2" s="336" t="s">
        <v>9</v>
      </c>
      <c r="B2" s="337"/>
      <c r="C2" s="337"/>
      <c r="D2" s="368" t="s">
        <v>128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4" ht="27.95" customHeight="1" x14ac:dyDescent="0.3">
      <c r="A3" s="336"/>
      <c r="B3" s="337"/>
      <c r="C3" s="337"/>
      <c r="D3" s="368"/>
      <c r="E3" s="337"/>
      <c r="F3" s="201" t="s">
        <v>638</v>
      </c>
      <c r="G3" s="214">
        <f>전송손실!M10</f>
        <v>-15.955399999999999</v>
      </c>
      <c r="H3" s="201" t="s">
        <v>638</v>
      </c>
      <c r="I3" s="214">
        <f>전송손실!M36</f>
        <v>-10.4833</v>
      </c>
      <c r="J3" s="369"/>
      <c r="K3" s="332"/>
      <c r="L3" s="332"/>
      <c r="M3" s="332"/>
    </row>
    <row r="4" spans="1:14" ht="27.95" customHeight="1" thickBot="1" x14ac:dyDescent="0.35">
      <c r="A4" s="203" t="s">
        <v>0</v>
      </c>
      <c r="B4" s="203" t="s">
        <v>1</v>
      </c>
      <c r="C4" s="203" t="s">
        <v>23</v>
      </c>
      <c r="D4" s="203" t="s">
        <v>2</v>
      </c>
      <c r="E4" s="203" t="s">
        <v>3</v>
      </c>
      <c r="F4" s="203" t="s">
        <v>4</v>
      </c>
      <c r="G4" s="203" t="s">
        <v>506</v>
      </c>
      <c r="H4" s="203" t="s">
        <v>4</v>
      </c>
      <c r="I4" s="203" t="s">
        <v>506</v>
      </c>
      <c r="J4" s="370"/>
      <c r="K4" s="367"/>
      <c r="L4" s="367"/>
      <c r="M4" s="367"/>
    </row>
    <row r="5" spans="1:14" ht="30.95" customHeight="1" x14ac:dyDescent="0.3">
      <c r="A5" s="64">
        <v>1</v>
      </c>
      <c r="B5" s="376" t="s">
        <v>14</v>
      </c>
      <c r="C5" s="73"/>
      <c r="D5" s="74"/>
      <c r="E5" s="73"/>
      <c r="F5" s="150">
        <v>-12.218</v>
      </c>
      <c r="G5" s="150">
        <v>34.984000000000002</v>
      </c>
      <c r="H5" s="150">
        <v>-8.3520000000000003</v>
      </c>
      <c r="I5" s="150">
        <v>34.988999999999997</v>
      </c>
      <c r="J5" s="150" t="s">
        <v>641</v>
      </c>
      <c r="K5" s="378" t="s">
        <v>450</v>
      </c>
      <c r="L5" s="378"/>
      <c r="M5" s="359"/>
      <c r="N5">
        <f>IF(C5="",0,1)</f>
        <v>0</v>
      </c>
    </row>
    <row r="6" spans="1:14" ht="30.95" customHeight="1" x14ac:dyDescent="0.3">
      <c r="A6" s="18">
        <v>2</v>
      </c>
      <c r="B6" s="376"/>
      <c r="C6" s="76"/>
      <c r="D6" s="77"/>
      <c r="E6" s="76"/>
      <c r="F6" s="101">
        <v>-12.377000000000001</v>
      </c>
      <c r="G6" s="101">
        <v>34.948</v>
      </c>
      <c r="H6" s="101">
        <v>-8.3620000000000001</v>
      </c>
      <c r="I6" s="101">
        <v>34.997</v>
      </c>
      <c r="J6" s="101" t="s">
        <v>641</v>
      </c>
      <c r="K6" s="378"/>
      <c r="L6" s="378"/>
      <c r="M6" s="359"/>
      <c r="N6">
        <f t="shared" ref="N6:N73" si="0">IF(C6="",0,1)</f>
        <v>0</v>
      </c>
    </row>
    <row r="7" spans="1:14" ht="30.95" customHeight="1" x14ac:dyDescent="0.3">
      <c r="A7" s="18">
        <v>3</v>
      </c>
      <c r="B7" s="376"/>
      <c r="C7" s="76"/>
      <c r="D7" s="77"/>
      <c r="E7" s="76"/>
      <c r="F7" s="101">
        <v>-12.042999999999999</v>
      </c>
      <c r="G7" s="101">
        <v>34.984000000000002</v>
      </c>
      <c r="H7" s="101">
        <v>-7.9809999999999999</v>
      </c>
      <c r="I7" s="101">
        <v>34.999000000000002</v>
      </c>
      <c r="J7" s="101" t="s">
        <v>641</v>
      </c>
      <c r="K7" s="378"/>
      <c r="L7" s="378"/>
      <c r="M7" s="359"/>
      <c r="N7">
        <f t="shared" si="0"/>
        <v>0</v>
      </c>
    </row>
    <row r="8" spans="1:14" ht="30.95" customHeight="1" x14ac:dyDescent="0.3">
      <c r="A8" s="18">
        <v>4</v>
      </c>
      <c r="B8" s="376"/>
      <c r="C8" s="76"/>
      <c r="D8" s="77"/>
      <c r="E8" s="76"/>
      <c r="F8" s="101">
        <v>-12.063000000000001</v>
      </c>
      <c r="G8" s="101">
        <v>34.984000000000002</v>
      </c>
      <c r="H8" s="101">
        <v>-8.7750000000000004</v>
      </c>
      <c r="I8" s="101">
        <v>34.997</v>
      </c>
      <c r="J8" s="101" t="s">
        <v>641</v>
      </c>
      <c r="K8" s="378"/>
      <c r="L8" s="378"/>
      <c r="M8" s="359"/>
      <c r="N8">
        <f t="shared" si="0"/>
        <v>0</v>
      </c>
    </row>
    <row r="9" spans="1:14" ht="30.95" customHeight="1" x14ac:dyDescent="0.3">
      <c r="A9" s="18">
        <v>5</v>
      </c>
      <c r="B9" s="376"/>
      <c r="C9" s="426"/>
      <c r="D9" s="427"/>
      <c r="E9" s="426"/>
      <c r="F9" s="428"/>
      <c r="G9" s="428"/>
      <c r="H9" s="428"/>
      <c r="I9" s="428"/>
      <c r="J9" s="429"/>
      <c r="K9" s="378"/>
      <c r="L9" s="378"/>
      <c r="M9" s="359"/>
      <c r="N9">
        <f t="shared" si="0"/>
        <v>0</v>
      </c>
    </row>
    <row r="10" spans="1:14" ht="30.95" customHeight="1" x14ac:dyDescent="0.3">
      <c r="A10" s="18">
        <v>6</v>
      </c>
      <c r="B10" s="376"/>
      <c r="C10" s="426"/>
      <c r="D10" s="427"/>
      <c r="E10" s="426"/>
      <c r="F10" s="428"/>
      <c r="G10" s="428"/>
      <c r="H10" s="428"/>
      <c r="I10" s="428"/>
      <c r="J10" s="429"/>
      <c r="K10" s="378"/>
      <c r="L10" s="378"/>
      <c r="M10" s="359"/>
      <c r="N10">
        <f t="shared" si="0"/>
        <v>0</v>
      </c>
    </row>
    <row r="11" spans="1:14" ht="30.95" customHeight="1" x14ac:dyDescent="0.3">
      <c r="A11" s="18">
        <v>7</v>
      </c>
      <c r="B11" s="376"/>
      <c r="C11" s="35" t="s">
        <v>26</v>
      </c>
      <c r="D11" s="12" t="s">
        <v>22</v>
      </c>
      <c r="E11" s="35"/>
      <c r="F11" s="116"/>
      <c r="G11" s="116"/>
      <c r="H11" s="116"/>
      <c r="I11" s="116"/>
      <c r="J11" s="122"/>
      <c r="K11" s="378"/>
      <c r="L11" s="378"/>
      <c r="M11" s="359"/>
      <c r="N11">
        <f t="shared" si="0"/>
        <v>1</v>
      </c>
    </row>
    <row r="12" spans="1:14" ht="30.95" customHeight="1" x14ac:dyDescent="0.3">
      <c r="A12" s="18">
        <v>8</v>
      </c>
      <c r="B12" s="376"/>
      <c r="C12" s="76"/>
      <c r="D12" s="77"/>
      <c r="E12" s="76"/>
      <c r="F12" s="118">
        <v>-11.795999999999999</v>
      </c>
      <c r="G12" s="118">
        <v>34.984000000000002</v>
      </c>
      <c r="H12" s="118">
        <v>-7.6740000000000004</v>
      </c>
      <c r="I12" s="118">
        <v>35.006999999999998</v>
      </c>
      <c r="J12" s="101" t="s">
        <v>641</v>
      </c>
      <c r="K12" s="378"/>
      <c r="L12" s="378"/>
      <c r="M12" s="359"/>
      <c r="N12">
        <f t="shared" si="0"/>
        <v>0</v>
      </c>
    </row>
    <row r="13" spans="1:14" ht="30.95" customHeight="1" x14ac:dyDescent="0.3">
      <c r="A13" s="18">
        <v>9</v>
      </c>
      <c r="B13" s="376"/>
      <c r="C13" s="426" t="s">
        <v>732</v>
      </c>
      <c r="D13" s="427" t="s">
        <v>734</v>
      </c>
      <c r="E13" s="426"/>
      <c r="F13" s="428"/>
      <c r="G13" s="428"/>
      <c r="H13" s="428"/>
      <c r="I13" s="428"/>
      <c r="J13" s="429"/>
      <c r="K13" s="378"/>
      <c r="L13" s="378"/>
      <c r="M13" s="359"/>
      <c r="N13">
        <f t="shared" si="0"/>
        <v>1</v>
      </c>
    </row>
    <row r="14" spans="1:14" ht="30.95" customHeight="1" x14ac:dyDescent="0.3">
      <c r="A14" s="18">
        <v>10</v>
      </c>
      <c r="B14" s="376"/>
      <c r="C14" s="426" t="s">
        <v>732</v>
      </c>
      <c r="D14" s="427" t="s">
        <v>733</v>
      </c>
      <c r="E14" s="426"/>
      <c r="F14" s="428"/>
      <c r="G14" s="428"/>
      <c r="H14" s="428"/>
      <c r="I14" s="428"/>
      <c r="J14" s="429"/>
      <c r="K14" s="378"/>
      <c r="L14" s="378"/>
      <c r="M14" s="359"/>
      <c r="N14">
        <f t="shared" si="0"/>
        <v>1</v>
      </c>
    </row>
    <row r="15" spans="1:14" ht="30.95" customHeight="1" x14ac:dyDescent="0.3">
      <c r="A15" s="18">
        <v>11</v>
      </c>
      <c r="B15" s="376"/>
      <c r="C15" s="426"/>
      <c r="D15" s="427"/>
      <c r="E15" s="426"/>
      <c r="F15" s="428"/>
      <c r="G15" s="428"/>
      <c r="H15" s="428"/>
      <c r="I15" s="428"/>
      <c r="J15" s="429"/>
      <c r="K15" s="378"/>
      <c r="L15" s="378"/>
      <c r="M15" s="359"/>
      <c r="N15">
        <f t="shared" si="0"/>
        <v>0</v>
      </c>
    </row>
    <row r="16" spans="1:14" ht="30.95" customHeight="1" x14ac:dyDescent="0.3">
      <c r="A16" s="18">
        <v>12</v>
      </c>
      <c r="B16" s="376"/>
      <c r="C16" s="426"/>
      <c r="D16" s="427"/>
      <c r="E16" s="426"/>
      <c r="F16" s="428"/>
      <c r="G16" s="428"/>
      <c r="H16" s="428"/>
      <c r="I16" s="428"/>
      <c r="J16" s="429"/>
      <c r="K16" s="378"/>
      <c r="L16" s="378"/>
      <c r="M16" s="359"/>
      <c r="N16">
        <f t="shared" si="0"/>
        <v>0</v>
      </c>
    </row>
    <row r="17" spans="1:16" ht="30.95" customHeight="1" x14ac:dyDescent="0.3">
      <c r="A17" s="18">
        <v>13</v>
      </c>
      <c r="B17" s="376"/>
      <c r="C17" s="76"/>
      <c r="D17" s="77"/>
      <c r="E17" s="76"/>
      <c r="F17" s="118">
        <v>-12.082000000000001</v>
      </c>
      <c r="G17" s="118">
        <v>34.999000000000002</v>
      </c>
      <c r="H17" s="118">
        <v>-8.0839999999999996</v>
      </c>
      <c r="I17" s="118">
        <v>35.015000000000001</v>
      </c>
      <c r="J17" s="101" t="s">
        <v>641</v>
      </c>
      <c r="K17" s="378"/>
      <c r="L17" s="378"/>
      <c r="M17" s="359"/>
      <c r="N17">
        <f t="shared" si="0"/>
        <v>0</v>
      </c>
    </row>
    <row r="18" spans="1:16" ht="30.95" customHeight="1" x14ac:dyDescent="0.3">
      <c r="A18" s="18">
        <v>14</v>
      </c>
      <c r="B18" s="376"/>
      <c r="C18" s="76"/>
      <c r="D18" s="77"/>
      <c r="E18" s="76"/>
      <c r="F18" s="118">
        <v>-12.212</v>
      </c>
      <c r="G18" s="118">
        <v>34.999000000000002</v>
      </c>
      <c r="H18" s="118">
        <v>-7.9930000000000003</v>
      </c>
      <c r="I18" s="118">
        <v>35.006999999999998</v>
      </c>
      <c r="J18" s="101" t="s">
        <v>641</v>
      </c>
      <c r="K18" s="378"/>
      <c r="L18" s="378"/>
      <c r="M18" s="359"/>
      <c r="N18">
        <f t="shared" si="0"/>
        <v>0</v>
      </c>
    </row>
    <row r="19" spans="1:16" ht="30.95" customHeight="1" x14ac:dyDescent="0.3">
      <c r="A19" s="18">
        <v>15</v>
      </c>
      <c r="B19" s="376"/>
      <c r="C19" s="76"/>
      <c r="D19" s="77"/>
      <c r="E19" s="76"/>
      <c r="F19" s="118">
        <v>-11.997999999999999</v>
      </c>
      <c r="G19" s="118">
        <v>34.997</v>
      </c>
      <c r="H19" s="118">
        <v>-7.9630000000000001</v>
      </c>
      <c r="I19" s="118">
        <v>35.012</v>
      </c>
      <c r="J19" s="101" t="s">
        <v>641</v>
      </c>
      <c r="K19" s="378"/>
      <c r="L19" s="378"/>
      <c r="M19" s="359"/>
      <c r="N19">
        <f t="shared" si="0"/>
        <v>0</v>
      </c>
    </row>
    <row r="20" spans="1:16" ht="30.95" customHeight="1" x14ac:dyDescent="0.3">
      <c r="A20" s="18">
        <v>16</v>
      </c>
      <c r="B20" s="376"/>
      <c r="C20" s="76"/>
      <c r="D20" s="77"/>
      <c r="E20" s="76"/>
      <c r="F20" s="118">
        <v>-11.747999999999999</v>
      </c>
      <c r="G20" s="118">
        <v>34.999000000000002</v>
      </c>
      <c r="H20" s="118">
        <v>-8.8360000000000003</v>
      </c>
      <c r="I20" s="118">
        <v>35.012</v>
      </c>
      <c r="J20" s="101" t="s">
        <v>641</v>
      </c>
      <c r="K20" s="378"/>
      <c r="L20" s="378"/>
      <c r="M20" s="359"/>
      <c r="N20">
        <f t="shared" si="0"/>
        <v>0</v>
      </c>
    </row>
    <row r="21" spans="1:16" ht="30.95" customHeight="1" x14ac:dyDescent="0.3">
      <c r="A21" s="18">
        <v>17</v>
      </c>
      <c r="B21" s="376"/>
      <c r="C21" s="35" t="s">
        <v>27</v>
      </c>
      <c r="D21" s="12" t="s">
        <v>28</v>
      </c>
      <c r="E21" s="35"/>
      <c r="F21" s="116"/>
      <c r="G21" s="116"/>
      <c r="H21" s="116"/>
      <c r="I21" s="116"/>
      <c r="J21" s="122"/>
      <c r="K21" s="378"/>
      <c r="L21" s="378"/>
      <c r="M21" s="359"/>
      <c r="N21">
        <f t="shared" si="0"/>
        <v>1</v>
      </c>
    </row>
    <row r="22" spans="1:16" ht="30.95" customHeight="1" x14ac:dyDescent="0.3">
      <c r="A22" s="18">
        <v>18</v>
      </c>
      <c r="B22" s="376"/>
      <c r="C22" s="35" t="s">
        <v>27</v>
      </c>
      <c r="D22" s="12" t="s">
        <v>28</v>
      </c>
      <c r="E22" s="35"/>
      <c r="F22" s="116"/>
      <c r="G22" s="116"/>
      <c r="H22" s="116"/>
      <c r="I22" s="116"/>
      <c r="J22" s="122"/>
      <c r="K22" s="378"/>
      <c r="L22" s="378"/>
      <c r="M22" s="359"/>
      <c r="N22">
        <f t="shared" si="0"/>
        <v>1</v>
      </c>
    </row>
    <row r="23" spans="1:16" ht="30.95" customHeight="1" x14ac:dyDescent="0.3">
      <c r="A23" s="18">
        <v>19</v>
      </c>
      <c r="B23" s="376"/>
      <c r="C23" s="35" t="s">
        <v>25</v>
      </c>
      <c r="D23" s="12" t="s">
        <v>16</v>
      </c>
      <c r="E23" s="35"/>
      <c r="F23" s="116"/>
      <c r="G23" s="116"/>
      <c r="H23" s="116"/>
      <c r="I23" s="116"/>
      <c r="J23" s="122"/>
      <c r="K23" s="378"/>
      <c r="L23" s="378"/>
      <c r="M23" s="359"/>
      <c r="N23">
        <f t="shared" si="0"/>
        <v>1</v>
      </c>
    </row>
    <row r="24" spans="1:16" ht="30.95" customHeight="1" x14ac:dyDescent="0.3">
      <c r="A24" s="18">
        <v>20</v>
      </c>
      <c r="B24" s="376"/>
      <c r="C24" s="35" t="s">
        <v>25</v>
      </c>
      <c r="D24" s="12" t="s">
        <v>17</v>
      </c>
      <c r="E24" s="35"/>
      <c r="F24" s="116"/>
      <c r="G24" s="116"/>
      <c r="H24" s="116"/>
      <c r="I24" s="116"/>
      <c r="J24" s="122"/>
      <c r="K24" s="378"/>
      <c r="L24" s="378"/>
      <c r="M24" s="359"/>
      <c r="N24">
        <f t="shared" si="0"/>
        <v>1</v>
      </c>
    </row>
    <row r="25" spans="1:16" ht="30.95" customHeight="1" x14ac:dyDescent="0.3">
      <c r="A25" s="18">
        <v>21</v>
      </c>
      <c r="B25" s="376"/>
      <c r="C25" s="35" t="s">
        <v>25</v>
      </c>
      <c r="D25" s="12" t="s">
        <v>18</v>
      </c>
      <c r="E25" s="35"/>
      <c r="F25" s="116"/>
      <c r="G25" s="116"/>
      <c r="H25" s="116"/>
      <c r="I25" s="116"/>
      <c r="J25" s="122"/>
      <c r="K25" s="378"/>
      <c r="L25" s="378"/>
      <c r="M25" s="359"/>
      <c r="N25">
        <f t="shared" si="0"/>
        <v>1</v>
      </c>
    </row>
    <row r="26" spans="1:16" ht="30.95" customHeight="1" x14ac:dyDescent="0.3">
      <c r="A26" s="18">
        <v>22</v>
      </c>
      <c r="B26" s="376"/>
      <c r="C26" s="35" t="s">
        <v>25</v>
      </c>
      <c r="D26" s="12" t="s">
        <v>19</v>
      </c>
      <c r="E26" s="35"/>
      <c r="F26" s="116"/>
      <c r="G26" s="116"/>
      <c r="H26" s="116"/>
      <c r="I26" s="116"/>
      <c r="J26" s="122"/>
      <c r="K26" s="378"/>
      <c r="L26" s="378"/>
      <c r="M26" s="359"/>
      <c r="N26">
        <f t="shared" si="0"/>
        <v>1</v>
      </c>
    </row>
    <row r="27" spans="1:16" ht="30.95" customHeight="1" x14ac:dyDescent="0.3">
      <c r="A27" s="18">
        <v>23</v>
      </c>
      <c r="B27" s="376"/>
      <c r="C27" s="35" t="s">
        <v>30</v>
      </c>
      <c r="D27" s="12" t="s">
        <v>20</v>
      </c>
      <c r="E27" s="35"/>
      <c r="F27" s="116"/>
      <c r="G27" s="116"/>
      <c r="H27" s="116"/>
      <c r="I27" s="116"/>
      <c r="J27" s="122"/>
      <c r="K27" s="378"/>
      <c r="L27" s="378"/>
      <c r="M27" s="359"/>
      <c r="N27">
        <f t="shared" si="0"/>
        <v>1</v>
      </c>
    </row>
    <row r="28" spans="1:16" ht="30.95" customHeight="1" thickBot="1" x14ac:dyDescent="0.35">
      <c r="A28" s="21">
        <v>24</v>
      </c>
      <c r="B28" s="377"/>
      <c r="C28" s="40" t="s">
        <v>30</v>
      </c>
      <c r="D28" s="22" t="s">
        <v>21</v>
      </c>
      <c r="E28" s="40"/>
      <c r="F28" s="128"/>
      <c r="G28" s="128"/>
      <c r="H28" s="128"/>
      <c r="I28" s="128"/>
      <c r="J28" s="129"/>
      <c r="K28" s="378"/>
      <c r="L28" s="378"/>
      <c r="M28" s="359"/>
      <c r="N28">
        <f t="shared" si="0"/>
        <v>1</v>
      </c>
      <c r="O28">
        <f>SUM(F5,F6,F7,F8,F12,F17,F18,F19,F20)/9</f>
        <v>-12.059666666666669</v>
      </c>
      <c r="P28">
        <f>SUM(H5,H6,H7,H8,H12,H17,H18,H19,H20)/9</f>
        <v>-8.224444444444444</v>
      </c>
    </row>
    <row r="29" spans="1:16" ht="27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727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</row>
    <row r="30" spans="1:16" ht="27.95" customHeight="1" x14ac:dyDescent="0.3">
      <c r="A30" s="336" t="s">
        <v>9</v>
      </c>
      <c r="B30" s="337"/>
      <c r="C30" s="337"/>
      <c r="D30" s="368" t="s">
        <v>128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</row>
    <row r="31" spans="1:16" ht="27.95" customHeight="1" x14ac:dyDescent="0.3">
      <c r="A31" s="336"/>
      <c r="B31" s="337"/>
      <c r="C31" s="337"/>
      <c r="D31" s="368"/>
      <c r="E31" s="337"/>
      <c r="F31" s="201" t="s">
        <v>638</v>
      </c>
      <c r="G31" s="214">
        <f>전송손실!M17</f>
        <v>-9.0496400000000001</v>
      </c>
      <c r="H31" s="201" t="s">
        <v>638</v>
      </c>
      <c r="I31" s="214">
        <f>전송손실!M43</f>
        <v>-6.0647799999999989</v>
      </c>
      <c r="J31" s="369"/>
      <c r="K31" s="332"/>
      <c r="L31" s="332"/>
      <c r="M31" s="332"/>
    </row>
    <row r="32" spans="1:16" ht="27.95" customHeight="1" thickBot="1" x14ac:dyDescent="0.35">
      <c r="A32" s="203" t="s">
        <v>0</v>
      </c>
      <c r="B32" s="203" t="s">
        <v>1</v>
      </c>
      <c r="C32" s="203" t="s">
        <v>23</v>
      </c>
      <c r="D32" s="203" t="s">
        <v>2</v>
      </c>
      <c r="E32" s="203" t="s">
        <v>3</v>
      </c>
      <c r="F32" s="203" t="s">
        <v>4</v>
      </c>
      <c r="G32" s="203" t="s">
        <v>506</v>
      </c>
      <c r="H32" s="203" t="s">
        <v>4</v>
      </c>
      <c r="I32" s="203" t="s">
        <v>506</v>
      </c>
      <c r="J32" s="370"/>
      <c r="K32" s="367"/>
      <c r="L32" s="367"/>
      <c r="M32" s="367"/>
    </row>
    <row r="33" spans="1:14" ht="30.95" customHeight="1" x14ac:dyDescent="0.3">
      <c r="A33" s="25">
        <v>25</v>
      </c>
      <c r="B33" s="375" t="s">
        <v>31</v>
      </c>
      <c r="C33" s="73"/>
      <c r="D33" s="223" t="s">
        <v>658</v>
      </c>
      <c r="E33" s="73"/>
      <c r="F33" s="151"/>
      <c r="G33" s="151"/>
      <c r="H33" s="151"/>
      <c r="I33" s="151"/>
      <c r="J33" s="222" t="s">
        <v>649</v>
      </c>
      <c r="K33" s="378" t="s">
        <v>451</v>
      </c>
      <c r="L33" s="378"/>
      <c r="M33" s="359"/>
      <c r="N33">
        <f t="shared" si="0"/>
        <v>0</v>
      </c>
    </row>
    <row r="34" spans="1:14" ht="30.95" customHeight="1" x14ac:dyDescent="0.3">
      <c r="A34" s="18">
        <v>26</v>
      </c>
      <c r="B34" s="376"/>
      <c r="C34" s="76"/>
      <c r="D34" s="223" t="s">
        <v>658</v>
      </c>
      <c r="E34" s="76"/>
      <c r="F34" s="118"/>
      <c r="G34" s="118"/>
      <c r="H34" s="118"/>
      <c r="I34" s="118"/>
      <c r="J34" s="222" t="s">
        <v>649</v>
      </c>
      <c r="K34" s="378"/>
      <c r="L34" s="378"/>
      <c r="M34" s="359"/>
      <c r="N34">
        <f t="shared" si="0"/>
        <v>0</v>
      </c>
    </row>
    <row r="35" spans="1:14" ht="30.95" customHeight="1" x14ac:dyDescent="0.3">
      <c r="A35" s="18">
        <v>27</v>
      </c>
      <c r="B35" s="376"/>
      <c r="C35" s="85" t="s">
        <v>26</v>
      </c>
      <c r="D35" s="86" t="s">
        <v>487</v>
      </c>
      <c r="E35" s="85"/>
      <c r="F35" s="117"/>
      <c r="G35" s="117"/>
      <c r="H35" s="117"/>
      <c r="I35" s="117"/>
      <c r="J35" s="121"/>
      <c r="K35" s="378"/>
      <c r="L35" s="378"/>
      <c r="M35" s="359"/>
      <c r="N35">
        <f t="shared" si="0"/>
        <v>1</v>
      </c>
    </row>
    <row r="36" spans="1:14" ht="30.95" customHeight="1" x14ac:dyDescent="0.3">
      <c r="A36" s="18">
        <v>28</v>
      </c>
      <c r="B36" s="376"/>
      <c r="C36" s="85" t="s">
        <v>26</v>
      </c>
      <c r="D36" s="86" t="s">
        <v>488</v>
      </c>
      <c r="E36" s="85"/>
      <c r="F36" s="117"/>
      <c r="G36" s="117"/>
      <c r="H36" s="117"/>
      <c r="I36" s="117"/>
      <c r="J36" s="121"/>
      <c r="K36" s="378"/>
      <c r="L36" s="378"/>
      <c r="M36" s="359"/>
      <c r="N36">
        <f t="shared" si="0"/>
        <v>1</v>
      </c>
    </row>
    <row r="37" spans="1:14" ht="30.95" customHeight="1" x14ac:dyDescent="0.3">
      <c r="A37" s="18">
        <v>29</v>
      </c>
      <c r="B37" s="376"/>
      <c r="C37" s="76"/>
      <c r="D37" s="77"/>
      <c r="E37" s="76"/>
      <c r="F37" s="118">
        <v>-6.4690000000000003</v>
      </c>
      <c r="G37" s="118">
        <v>18.741</v>
      </c>
      <c r="H37" s="118">
        <v>-4.4729999999999999</v>
      </c>
      <c r="I37" s="118">
        <v>18.748999999999999</v>
      </c>
      <c r="J37" s="118" t="s">
        <v>660</v>
      </c>
      <c r="K37" s="378"/>
      <c r="L37" s="378"/>
      <c r="M37" s="359"/>
      <c r="N37">
        <f t="shared" si="0"/>
        <v>0</v>
      </c>
    </row>
    <row r="38" spans="1:14" ht="30.95" customHeight="1" x14ac:dyDescent="0.3">
      <c r="A38" s="18">
        <v>30</v>
      </c>
      <c r="B38" s="376"/>
      <c r="C38" s="76"/>
      <c r="D38" s="77"/>
      <c r="E38" s="76"/>
      <c r="F38" s="118">
        <v>-6.5949999999999998</v>
      </c>
      <c r="G38" s="118">
        <v>18.738</v>
      </c>
      <c r="H38" s="118">
        <v>-4.3970000000000002</v>
      </c>
      <c r="I38" s="118">
        <v>18.745999999999999</v>
      </c>
      <c r="J38" s="118" t="s">
        <v>660</v>
      </c>
      <c r="K38" s="378"/>
      <c r="L38" s="378"/>
      <c r="M38" s="359"/>
      <c r="N38">
        <f t="shared" si="0"/>
        <v>0</v>
      </c>
    </row>
    <row r="39" spans="1:14" ht="30.95" customHeight="1" x14ac:dyDescent="0.3">
      <c r="A39" s="18">
        <v>31</v>
      </c>
      <c r="B39" s="376"/>
      <c r="C39" s="76"/>
      <c r="D39" s="223" t="s">
        <v>659</v>
      </c>
      <c r="E39" s="76"/>
      <c r="F39" s="118"/>
      <c r="G39" s="118"/>
      <c r="H39" s="118"/>
      <c r="I39" s="118"/>
      <c r="J39" s="222" t="s">
        <v>649</v>
      </c>
      <c r="K39" s="378"/>
      <c r="L39" s="378"/>
      <c r="M39" s="359"/>
      <c r="N39">
        <f t="shared" si="0"/>
        <v>0</v>
      </c>
    </row>
    <row r="40" spans="1:14" ht="30.95" customHeight="1" x14ac:dyDescent="0.3">
      <c r="A40" s="18">
        <v>32</v>
      </c>
      <c r="B40" s="376"/>
      <c r="C40" s="76"/>
      <c r="D40" s="223" t="s">
        <v>659</v>
      </c>
      <c r="E40" s="76"/>
      <c r="F40" s="118"/>
      <c r="G40" s="118"/>
      <c r="H40" s="118"/>
      <c r="I40" s="118"/>
      <c r="J40" s="222" t="s">
        <v>649</v>
      </c>
      <c r="K40" s="378"/>
      <c r="L40" s="378"/>
      <c r="M40" s="359"/>
      <c r="N40">
        <f t="shared" si="0"/>
        <v>0</v>
      </c>
    </row>
    <row r="41" spans="1:14" ht="30.95" customHeight="1" x14ac:dyDescent="0.3">
      <c r="A41" s="18">
        <v>33</v>
      </c>
      <c r="B41" s="376"/>
      <c r="C41" s="35"/>
      <c r="D41" s="12"/>
      <c r="E41" s="35"/>
      <c r="F41" s="116"/>
      <c r="G41" s="116"/>
      <c r="H41" s="116"/>
      <c r="I41" s="116"/>
      <c r="J41" s="122"/>
      <c r="K41" s="378"/>
      <c r="L41" s="378"/>
      <c r="M41" s="359"/>
      <c r="N41">
        <f t="shared" si="0"/>
        <v>0</v>
      </c>
    </row>
    <row r="42" spans="1:14" ht="30.95" customHeight="1" x14ac:dyDescent="0.3">
      <c r="A42" s="18">
        <v>34</v>
      </c>
      <c r="B42" s="376"/>
      <c r="C42" s="35"/>
      <c r="D42" s="12"/>
      <c r="E42" s="35"/>
      <c r="F42" s="116"/>
      <c r="G42" s="116"/>
      <c r="H42" s="116"/>
      <c r="I42" s="116"/>
      <c r="J42" s="122"/>
      <c r="K42" s="378"/>
      <c r="L42" s="378"/>
      <c r="M42" s="359"/>
      <c r="N42">
        <f t="shared" si="0"/>
        <v>0</v>
      </c>
    </row>
    <row r="43" spans="1:14" ht="30.95" customHeight="1" x14ac:dyDescent="0.3">
      <c r="A43" s="18">
        <v>35</v>
      </c>
      <c r="B43" s="376"/>
      <c r="C43" s="35"/>
      <c r="D43" s="12"/>
      <c r="E43" s="35"/>
      <c r="F43" s="116"/>
      <c r="G43" s="116"/>
      <c r="H43" s="116"/>
      <c r="I43" s="116"/>
      <c r="J43" s="122"/>
      <c r="K43" s="378"/>
      <c r="L43" s="378"/>
      <c r="M43" s="359"/>
      <c r="N43">
        <f t="shared" si="0"/>
        <v>0</v>
      </c>
    </row>
    <row r="44" spans="1:14" ht="30.95" customHeight="1" x14ac:dyDescent="0.3">
      <c r="A44" s="18">
        <v>36</v>
      </c>
      <c r="B44" s="376"/>
      <c r="C44" s="35"/>
      <c r="D44" s="12"/>
      <c r="E44" s="35"/>
      <c r="F44" s="116"/>
      <c r="G44" s="116"/>
      <c r="H44" s="116"/>
      <c r="I44" s="116"/>
      <c r="J44" s="122"/>
      <c r="K44" s="378"/>
      <c r="L44" s="378"/>
      <c r="M44" s="359"/>
      <c r="N44">
        <f t="shared" si="0"/>
        <v>0</v>
      </c>
    </row>
    <row r="45" spans="1:14" ht="30.95" customHeight="1" x14ac:dyDescent="0.3">
      <c r="A45" s="18">
        <v>37</v>
      </c>
      <c r="B45" s="376"/>
      <c r="C45" s="85" t="s">
        <v>63</v>
      </c>
      <c r="D45" s="86" t="s">
        <v>495</v>
      </c>
      <c r="E45" s="85"/>
      <c r="F45" s="117"/>
      <c r="G45" s="117"/>
      <c r="H45" s="117"/>
      <c r="I45" s="117"/>
      <c r="J45" s="121"/>
      <c r="K45" s="378"/>
      <c r="L45" s="378"/>
      <c r="M45" s="359"/>
      <c r="N45">
        <f t="shared" si="0"/>
        <v>1</v>
      </c>
    </row>
    <row r="46" spans="1:14" ht="30.95" customHeight="1" x14ac:dyDescent="0.3">
      <c r="A46" s="18">
        <v>38</v>
      </c>
      <c r="B46" s="376"/>
      <c r="C46" s="76"/>
      <c r="D46" s="77"/>
      <c r="E46" s="76"/>
      <c r="F46" s="118">
        <v>-6.4459999999999997</v>
      </c>
      <c r="G46" s="118">
        <v>18.739999999999998</v>
      </c>
      <c r="H46" s="118">
        <v>-4.149</v>
      </c>
      <c r="I46" s="118">
        <v>18.744</v>
      </c>
      <c r="J46" s="118" t="s">
        <v>660</v>
      </c>
      <c r="K46" s="378"/>
      <c r="L46" s="378"/>
      <c r="M46" s="359"/>
      <c r="N46">
        <f t="shared" si="0"/>
        <v>0</v>
      </c>
    </row>
    <row r="47" spans="1:14" ht="30.95" customHeight="1" x14ac:dyDescent="0.3">
      <c r="A47" s="18">
        <v>39</v>
      </c>
      <c r="B47" s="376"/>
      <c r="C47" s="35" t="s">
        <v>25</v>
      </c>
      <c r="D47" s="12" t="s">
        <v>34</v>
      </c>
      <c r="E47" s="35"/>
      <c r="F47" s="116"/>
      <c r="G47" s="116"/>
      <c r="H47" s="116"/>
      <c r="I47" s="116"/>
      <c r="J47" s="122"/>
      <c r="K47" s="378"/>
      <c r="L47" s="378"/>
      <c r="M47" s="359"/>
      <c r="N47">
        <f t="shared" si="0"/>
        <v>1</v>
      </c>
    </row>
    <row r="48" spans="1:14" ht="30.95" customHeight="1" x14ac:dyDescent="0.3">
      <c r="A48" s="18">
        <v>40</v>
      </c>
      <c r="B48" s="376"/>
      <c r="C48" s="35" t="s">
        <v>25</v>
      </c>
      <c r="D48" s="12" t="s">
        <v>34</v>
      </c>
      <c r="E48" s="35"/>
      <c r="F48" s="116"/>
      <c r="G48" s="116"/>
      <c r="H48" s="116"/>
      <c r="I48" s="116"/>
      <c r="J48" s="122"/>
      <c r="K48" s="378"/>
      <c r="L48" s="378"/>
      <c r="M48" s="359"/>
      <c r="N48">
        <f t="shared" si="0"/>
        <v>1</v>
      </c>
    </row>
    <row r="49" spans="1:16" ht="30.95" customHeight="1" x14ac:dyDescent="0.3">
      <c r="A49" s="18">
        <v>41</v>
      </c>
      <c r="B49" s="376"/>
      <c r="C49" s="35" t="s">
        <v>27</v>
      </c>
      <c r="D49" s="12" t="s">
        <v>109</v>
      </c>
      <c r="E49" s="35"/>
      <c r="F49" s="116"/>
      <c r="G49" s="116"/>
      <c r="H49" s="116"/>
      <c r="I49" s="116"/>
      <c r="J49" s="122"/>
      <c r="K49" s="378"/>
      <c r="L49" s="378"/>
      <c r="M49" s="359"/>
      <c r="N49">
        <f t="shared" si="0"/>
        <v>1</v>
      </c>
    </row>
    <row r="50" spans="1:16" ht="30.95" customHeight="1" x14ac:dyDescent="0.3">
      <c r="A50" s="18">
        <v>42</v>
      </c>
      <c r="B50" s="376"/>
      <c r="C50" s="35" t="s">
        <v>27</v>
      </c>
      <c r="D50" s="12" t="s">
        <v>109</v>
      </c>
      <c r="E50" s="35"/>
      <c r="F50" s="116"/>
      <c r="G50" s="116"/>
      <c r="H50" s="116"/>
      <c r="I50" s="116"/>
      <c r="J50" s="122"/>
      <c r="K50" s="378"/>
      <c r="L50" s="378"/>
      <c r="M50" s="359"/>
      <c r="N50">
        <f t="shared" si="0"/>
        <v>1</v>
      </c>
    </row>
    <row r="51" spans="1:16" ht="30.95" customHeight="1" x14ac:dyDescent="0.3">
      <c r="A51" s="18">
        <v>43</v>
      </c>
      <c r="B51" s="376"/>
      <c r="C51" s="76"/>
      <c r="D51" s="77"/>
      <c r="E51" s="76"/>
      <c r="F51" s="118">
        <v>-6.6130000000000004</v>
      </c>
      <c r="G51" s="118">
        <v>18.739000000000001</v>
      </c>
      <c r="H51" s="118">
        <v>-4.3140000000000001</v>
      </c>
      <c r="I51" s="118">
        <v>18.745999999999999</v>
      </c>
      <c r="J51" s="118" t="s">
        <v>660</v>
      </c>
      <c r="K51" s="378"/>
      <c r="L51" s="378"/>
      <c r="M51" s="359"/>
      <c r="N51">
        <f t="shared" si="0"/>
        <v>0</v>
      </c>
    </row>
    <row r="52" spans="1:16" ht="30.95" customHeight="1" x14ac:dyDescent="0.3">
      <c r="A52" s="18">
        <v>44</v>
      </c>
      <c r="B52" s="376"/>
      <c r="C52" s="76"/>
      <c r="D52" s="77"/>
      <c r="E52" s="76"/>
      <c r="F52" s="118">
        <v>-6.4550000000000001</v>
      </c>
      <c r="G52" s="118">
        <v>18.736999999999998</v>
      </c>
      <c r="H52" s="118">
        <v>-4.0279999999999996</v>
      </c>
      <c r="I52" s="118">
        <v>18.745999999999999</v>
      </c>
      <c r="J52" s="118" t="s">
        <v>660</v>
      </c>
      <c r="K52" s="378"/>
      <c r="L52" s="378"/>
      <c r="M52" s="359"/>
      <c r="N52">
        <f t="shared" si="0"/>
        <v>0</v>
      </c>
    </row>
    <row r="53" spans="1:16" ht="30.95" customHeight="1" x14ac:dyDescent="0.3">
      <c r="A53" s="18">
        <v>45</v>
      </c>
      <c r="B53" s="376"/>
      <c r="C53" s="35"/>
      <c r="D53" s="12"/>
      <c r="E53" s="35"/>
      <c r="F53" s="116"/>
      <c r="G53" s="116"/>
      <c r="H53" s="116"/>
      <c r="I53" s="116"/>
      <c r="J53" s="122"/>
      <c r="K53" s="378"/>
      <c r="L53" s="378"/>
      <c r="M53" s="359"/>
      <c r="N53">
        <f t="shared" si="0"/>
        <v>0</v>
      </c>
    </row>
    <row r="54" spans="1:16" ht="30.95" customHeight="1" x14ac:dyDescent="0.3">
      <c r="A54" s="18">
        <v>46</v>
      </c>
      <c r="B54" s="376"/>
      <c r="C54" s="35"/>
      <c r="D54" s="12"/>
      <c r="E54" s="35"/>
      <c r="F54" s="116"/>
      <c r="G54" s="116"/>
      <c r="H54" s="116"/>
      <c r="I54" s="116"/>
      <c r="J54" s="122"/>
      <c r="K54" s="378"/>
      <c r="L54" s="378"/>
      <c r="M54" s="359"/>
      <c r="N54">
        <f t="shared" si="0"/>
        <v>0</v>
      </c>
    </row>
    <row r="55" spans="1:16" ht="30.95" customHeight="1" x14ac:dyDescent="0.3">
      <c r="A55" s="18">
        <v>47</v>
      </c>
      <c r="B55" s="376"/>
      <c r="C55" s="35"/>
      <c r="D55" s="12"/>
      <c r="E55" s="35"/>
      <c r="F55" s="116"/>
      <c r="G55" s="116"/>
      <c r="H55" s="116"/>
      <c r="I55" s="116"/>
      <c r="J55" s="122"/>
      <c r="K55" s="378"/>
      <c r="L55" s="378"/>
      <c r="M55" s="359"/>
      <c r="N55">
        <f t="shared" si="0"/>
        <v>0</v>
      </c>
    </row>
    <row r="56" spans="1:16" ht="30.95" customHeight="1" thickBot="1" x14ac:dyDescent="0.35">
      <c r="A56" s="21">
        <v>48</v>
      </c>
      <c r="B56" s="377"/>
      <c r="C56" s="40"/>
      <c r="D56" s="22"/>
      <c r="E56" s="40"/>
      <c r="F56" s="128"/>
      <c r="G56" s="128"/>
      <c r="H56" s="128"/>
      <c r="I56" s="128"/>
      <c r="J56" s="129"/>
      <c r="K56" s="379"/>
      <c r="L56" s="379"/>
      <c r="M56" s="360"/>
      <c r="N56">
        <f t="shared" si="0"/>
        <v>0</v>
      </c>
      <c r="O56">
        <f>SUM(F37,F38,F46,F51,F52)/5</f>
        <v>-6.5155999999999992</v>
      </c>
      <c r="P56">
        <f>SUM(H37,H38,H46,H51,H52)/5</f>
        <v>-4.2721999999999998</v>
      </c>
    </row>
    <row r="57" spans="1:16" ht="30.95" customHeight="1" x14ac:dyDescent="0.3">
      <c r="A57" s="341" t="s">
        <v>8</v>
      </c>
      <c r="B57" s="342"/>
      <c r="C57" s="324"/>
      <c r="D57" s="110" t="s">
        <v>11</v>
      </c>
      <c r="E57" s="111" t="s">
        <v>12</v>
      </c>
      <c r="F57" s="341" t="s">
        <v>526</v>
      </c>
      <c r="G57" s="342"/>
      <c r="H57" s="342"/>
      <c r="I57" s="342"/>
      <c r="J57" s="324"/>
      <c r="K57" s="332" t="s">
        <v>10</v>
      </c>
      <c r="L57" s="331" t="s">
        <v>32</v>
      </c>
      <c r="M57" s="331" t="s">
        <v>33</v>
      </c>
      <c r="N57">
        <f t="shared" si="0"/>
        <v>0</v>
      </c>
    </row>
    <row r="58" spans="1:16" ht="30.95" customHeight="1" thickBot="1" x14ac:dyDescent="0.35">
      <c r="A58" s="333" t="s">
        <v>9</v>
      </c>
      <c r="B58" s="334"/>
      <c r="C58" s="335"/>
      <c r="D58" s="7" t="s">
        <v>128</v>
      </c>
      <c r="E58" s="112" t="s">
        <v>687</v>
      </c>
      <c r="F58" s="383" t="s">
        <v>5</v>
      </c>
      <c r="G58" s="336"/>
      <c r="H58" s="384" t="s">
        <v>7</v>
      </c>
      <c r="I58" s="336"/>
      <c r="J58" s="385" t="s">
        <v>3</v>
      </c>
      <c r="K58" s="332"/>
      <c r="L58" s="332"/>
      <c r="M58" s="332"/>
      <c r="N58">
        <f t="shared" si="0"/>
        <v>0</v>
      </c>
    </row>
    <row r="59" spans="1:16" ht="30.95" customHeight="1" x14ac:dyDescent="0.3">
      <c r="A59" s="113" t="s">
        <v>0</v>
      </c>
      <c r="B59" s="113" t="s">
        <v>1</v>
      </c>
      <c r="C59" s="113" t="s">
        <v>23</v>
      </c>
      <c r="D59" s="113" t="s">
        <v>2</v>
      </c>
      <c r="E59" s="113" t="s">
        <v>3</v>
      </c>
      <c r="F59" s="156" t="s">
        <v>4</v>
      </c>
      <c r="G59" s="156" t="s">
        <v>506</v>
      </c>
      <c r="H59" s="156" t="s">
        <v>4</v>
      </c>
      <c r="I59" s="156" t="s">
        <v>506</v>
      </c>
      <c r="J59" s="386"/>
      <c r="K59" s="332"/>
      <c r="L59" s="332"/>
      <c r="M59" s="332"/>
      <c r="N59">
        <f t="shared" si="0"/>
        <v>1</v>
      </c>
    </row>
    <row r="60" spans="1:16" ht="30.95" customHeight="1" x14ac:dyDescent="0.3">
      <c r="A60" s="64">
        <v>1</v>
      </c>
      <c r="B60" s="345" t="s">
        <v>60</v>
      </c>
      <c r="C60" s="73"/>
      <c r="D60" s="74"/>
      <c r="E60" s="73"/>
      <c r="F60" s="165"/>
      <c r="G60" s="165"/>
      <c r="H60" s="165"/>
      <c r="I60" s="165"/>
      <c r="J60" s="164" t="s">
        <v>527</v>
      </c>
      <c r="K60" s="75"/>
      <c r="L60" s="351"/>
      <c r="M60" s="387"/>
      <c r="N60">
        <f t="shared" si="0"/>
        <v>0</v>
      </c>
    </row>
    <row r="61" spans="1:16" ht="30.95" customHeight="1" x14ac:dyDescent="0.3">
      <c r="A61" s="18">
        <v>2</v>
      </c>
      <c r="B61" s="337"/>
      <c r="C61" s="76"/>
      <c r="D61" s="77"/>
      <c r="E61" s="76"/>
      <c r="F61" s="118"/>
      <c r="G61" s="118"/>
      <c r="H61" s="118"/>
      <c r="I61" s="118"/>
      <c r="J61" s="164" t="s">
        <v>527</v>
      </c>
      <c r="K61" s="78"/>
      <c r="L61" s="352"/>
      <c r="M61" s="388"/>
      <c r="N61">
        <f t="shared" si="0"/>
        <v>0</v>
      </c>
    </row>
    <row r="62" spans="1:16" ht="30.95" customHeight="1" x14ac:dyDescent="0.3">
      <c r="A62" s="18">
        <v>3</v>
      </c>
      <c r="B62" s="337"/>
      <c r="C62" s="35" t="s">
        <v>62</v>
      </c>
      <c r="D62" s="12" t="s">
        <v>36</v>
      </c>
      <c r="E62" s="35"/>
      <c r="F62" s="116"/>
      <c r="G62" s="116"/>
      <c r="H62" s="116"/>
      <c r="I62" s="116"/>
      <c r="J62" s="163" t="s">
        <v>527</v>
      </c>
      <c r="K62" s="39"/>
      <c r="L62" s="352"/>
      <c r="M62" s="388"/>
      <c r="N62">
        <f t="shared" si="0"/>
        <v>1</v>
      </c>
    </row>
    <row r="63" spans="1:16" ht="30.95" customHeight="1" x14ac:dyDescent="0.3">
      <c r="A63" s="18">
        <v>4</v>
      </c>
      <c r="B63" s="337"/>
      <c r="C63" s="76"/>
      <c r="D63" s="77"/>
      <c r="E63" s="76"/>
      <c r="F63" s="118"/>
      <c r="G63" s="118"/>
      <c r="H63" s="118"/>
      <c r="I63" s="118"/>
      <c r="J63" s="164" t="s">
        <v>527</v>
      </c>
      <c r="K63" s="78"/>
      <c r="L63" s="352"/>
      <c r="M63" s="388"/>
      <c r="N63">
        <f t="shared" si="0"/>
        <v>0</v>
      </c>
    </row>
    <row r="64" spans="1:16" ht="30.95" customHeight="1" x14ac:dyDescent="0.3">
      <c r="A64" s="18">
        <v>5</v>
      </c>
      <c r="B64" s="337"/>
      <c r="C64" s="35" t="s">
        <v>62</v>
      </c>
      <c r="D64" s="12" t="s">
        <v>37</v>
      </c>
      <c r="E64" s="35"/>
      <c r="F64" s="116"/>
      <c r="G64" s="116"/>
      <c r="H64" s="116"/>
      <c r="I64" s="116"/>
      <c r="J64" s="163" t="s">
        <v>527</v>
      </c>
      <c r="K64" s="39"/>
      <c r="L64" s="352"/>
      <c r="M64" s="388"/>
      <c r="N64">
        <f t="shared" si="0"/>
        <v>1</v>
      </c>
    </row>
    <row r="65" spans="1:14" ht="30.95" customHeight="1" x14ac:dyDescent="0.3">
      <c r="A65" s="18">
        <v>6</v>
      </c>
      <c r="B65" s="337"/>
      <c r="C65" s="76"/>
      <c r="D65" s="77"/>
      <c r="E65" s="76"/>
      <c r="F65" s="118"/>
      <c r="G65" s="118"/>
      <c r="H65" s="118"/>
      <c r="I65" s="118"/>
      <c r="J65" s="164" t="s">
        <v>527</v>
      </c>
      <c r="K65" s="78"/>
      <c r="L65" s="352"/>
      <c r="M65" s="388"/>
      <c r="N65">
        <f t="shared" si="0"/>
        <v>0</v>
      </c>
    </row>
    <row r="66" spans="1:14" ht="30.95" customHeight="1" x14ac:dyDescent="0.3">
      <c r="A66" s="18">
        <v>7</v>
      </c>
      <c r="B66" s="337"/>
      <c r="C66" s="76"/>
      <c r="D66" s="77"/>
      <c r="E66" s="76"/>
      <c r="F66" s="118"/>
      <c r="G66" s="118"/>
      <c r="H66" s="118"/>
      <c r="I66" s="118"/>
      <c r="J66" s="164" t="s">
        <v>527</v>
      </c>
      <c r="K66" s="78"/>
      <c r="L66" s="352"/>
      <c r="M66" s="388"/>
      <c r="N66">
        <f t="shared" si="0"/>
        <v>0</v>
      </c>
    </row>
    <row r="67" spans="1:14" ht="30.95" customHeight="1" x14ac:dyDescent="0.3">
      <c r="A67" s="18">
        <v>8</v>
      </c>
      <c r="B67" s="337"/>
      <c r="C67" s="76"/>
      <c r="D67" s="77"/>
      <c r="E67" s="76"/>
      <c r="F67" s="118"/>
      <c r="G67" s="118"/>
      <c r="H67" s="118"/>
      <c r="I67" s="118"/>
      <c r="J67" s="164" t="s">
        <v>527</v>
      </c>
      <c r="K67" s="78"/>
      <c r="L67" s="352"/>
      <c r="M67" s="388"/>
      <c r="N67">
        <f t="shared" si="0"/>
        <v>0</v>
      </c>
    </row>
    <row r="68" spans="1:14" ht="30.95" customHeight="1" x14ac:dyDescent="0.3">
      <c r="A68" s="18">
        <v>9</v>
      </c>
      <c r="B68" s="337"/>
      <c r="C68" s="76"/>
      <c r="D68" s="77"/>
      <c r="E68" s="76"/>
      <c r="F68" s="118"/>
      <c r="G68" s="118"/>
      <c r="H68" s="118"/>
      <c r="I68" s="118"/>
      <c r="J68" s="164" t="s">
        <v>527</v>
      </c>
      <c r="K68" s="78"/>
      <c r="L68" s="352"/>
      <c r="M68" s="388"/>
      <c r="N68">
        <f t="shared" si="0"/>
        <v>0</v>
      </c>
    </row>
    <row r="69" spans="1:14" ht="30.95" customHeight="1" x14ac:dyDescent="0.3">
      <c r="A69" s="18">
        <v>10</v>
      </c>
      <c r="B69" s="337"/>
      <c r="C69" s="76"/>
      <c r="D69" s="77"/>
      <c r="E69" s="76"/>
      <c r="F69" s="118"/>
      <c r="G69" s="118"/>
      <c r="H69" s="118"/>
      <c r="I69" s="118"/>
      <c r="J69" s="164" t="s">
        <v>527</v>
      </c>
      <c r="K69" s="78"/>
      <c r="L69" s="352"/>
      <c r="M69" s="388"/>
      <c r="N69">
        <f t="shared" si="0"/>
        <v>0</v>
      </c>
    </row>
    <row r="70" spans="1:14" ht="30.95" customHeight="1" x14ac:dyDescent="0.3">
      <c r="A70" s="18">
        <v>11</v>
      </c>
      <c r="B70" s="337"/>
      <c r="C70" s="76"/>
      <c r="D70" s="77"/>
      <c r="E70" s="76"/>
      <c r="F70" s="118"/>
      <c r="G70" s="118"/>
      <c r="H70" s="118"/>
      <c r="I70" s="118"/>
      <c r="J70" s="164" t="s">
        <v>527</v>
      </c>
      <c r="K70" s="78"/>
      <c r="L70" s="352"/>
      <c r="M70" s="388"/>
      <c r="N70">
        <f t="shared" si="0"/>
        <v>0</v>
      </c>
    </row>
    <row r="71" spans="1:14" ht="30.95" customHeight="1" thickBot="1" x14ac:dyDescent="0.35">
      <c r="A71" s="21">
        <v>12</v>
      </c>
      <c r="B71" s="350"/>
      <c r="C71" s="82"/>
      <c r="D71" s="147"/>
      <c r="E71" s="82"/>
      <c r="F71" s="148"/>
      <c r="G71" s="148"/>
      <c r="H71" s="148"/>
      <c r="I71" s="148"/>
      <c r="J71" s="224" t="s">
        <v>527</v>
      </c>
      <c r="K71" s="160"/>
      <c r="L71" s="390"/>
      <c r="M71" s="389"/>
      <c r="N71">
        <f t="shared" si="0"/>
        <v>0</v>
      </c>
    </row>
    <row r="72" spans="1:14" ht="30.95" customHeight="1" x14ac:dyDescent="0.3">
      <c r="A72" s="25">
        <v>1</v>
      </c>
      <c r="B72" s="371" t="s">
        <v>61</v>
      </c>
      <c r="C72" s="41" t="s">
        <v>62</v>
      </c>
      <c r="D72" s="26" t="s">
        <v>528</v>
      </c>
      <c r="E72" s="41"/>
      <c r="F72" s="149"/>
      <c r="G72" s="149"/>
      <c r="H72" s="149"/>
      <c r="I72" s="149"/>
      <c r="J72" s="163" t="s">
        <v>527</v>
      </c>
      <c r="K72" s="27"/>
      <c r="L72" s="357"/>
      <c r="M72" s="358"/>
      <c r="N72">
        <f t="shared" si="0"/>
        <v>1</v>
      </c>
    </row>
    <row r="73" spans="1:14" ht="30.95" customHeight="1" x14ac:dyDescent="0.3">
      <c r="A73" s="18">
        <v>2</v>
      </c>
      <c r="B73" s="337"/>
      <c r="C73" s="35" t="s">
        <v>63</v>
      </c>
      <c r="D73" s="12" t="s">
        <v>38</v>
      </c>
      <c r="E73" s="35"/>
      <c r="F73" s="116"/>
      <c r="G73" s="116"/>
      <c r="H73" s="116"/>
      <c r="I73" s="116"/>
      <c r="J73" s="163" t="s">
        <v>527</v>
      </c>
      <c r="K73" s="39"/>
      <c r="L73" s="355"/>
      <c r="M73" s="359"/>
      <c r="N73">
        <f t="shared" si="0"/>
        <v>1</v>
      </c>
    </row>
    <row r="74" spans="1:14" ht="30.95" customHeight="1" x14ac:dyDescent="0.3">
      <c r="A74" s="18">
        <v>3</v>
      </c>
      <c r="B74" s="337"/>
      <c r="C74" s="35" t="s">
        <v>63</v>
      </c>
      <c r="D74" s="12" t="s">
        <v>39</v>
      </c>
      <c r="E74" s="35"/>
      <c r="F74" s="116"/>
      <c r="G74" s="116"/>
      <c r="H74" s="116"/>
      <c r="I74" s="116"/>
      <c r="J74" s="163" t="s">
        <v>527</v>
      </c>
      <c r="K74" s="39"/>
      <c r="L74" s="355"/>
      <c r="M74" s="359"/>
      <c r="N74">
        <f t="shared" ref="N74:N137" si="1">IF(C74="",0,1)</f>
        <v>1</v>
      </c>
    </row>
    <row r="75" spans="1:14" ht="30.95" customHeight="1" x14ac:dyDescent="0.3">
      <c r="A75" s="18">
        <v>4</v>
      </c>
      <c r="B75" s="337"/>
      <c r="C75" s="35" t="s">
        <v>63</v>
      </c>
      <c r="D75" s="12" t="s">
        <v>40</v>
      </c>
      <c r="E75" s="35"/>
      <c r="F75" s="116"/>
      <c r="G75" s="116"/>
      <c r="H75" s="116"/>
      <c r="I75" s="116"/>
      <c r="J75" s="163" t="s">
        <v>527</v>
      </c>
      <c r="K75" s="39"/>
      <c r="L75" s="355"/>
      <c r="M75" s="359"/>
      <c r="N75">
        <f t="shared" si="1"/>
        <v>1</v>
      </c>
    </row>
    <row r="76" spans="1:14" ht="30.95" customHeight="1" x14ac:dyDescent="0.3">
      <c r="A76" s="18">
        <v>5</v>
      </c>
      <c r="B76" s="337"/>
      <c r="C76" s="35" t="s">
        <v>62</v>
      </c>
      <c r="D76" s="12" t="s">
        <v>41</v>
      </c>
      <c r="E76" s="35"/>
      <c r="F76" s="116"/>
      <c r="G76" s="116"/>
      <c r="H76" s="116"/>
      <c r="I76" s="116"/>
      <c r="J76" s="163" t="s">
        <v>527</v>
      </c>
      <c r="K76" s="39"/>
      <c r="L76" s="355"/>
      <c r="M76" s="359"/>
      <c r="N76">
        <f t="shared" si="1"/>
        <v>1</v>
      </c>
    </row>
    <row r="77" spans="1:14" ht="30.95" customHeight="1" x14ac:dyDescent="0.3">
      <c r="A77" s="18">
        <v>6</v>
      </c>
      <c r="B77" s="337"/>
      <c r="C77" s="35" t="s">
        <v>62</v>
      </c>
      <c r="D77" s="12" t="s">
        <v>42</v>
      </c>
      <c r="E77" s="35"/>
      <c r="F77" s="116"/>
      <c r="G77" s="116"/>
      <c r="H77" s="116"/>
      <c r="I77" s="116"/>
      <c r="J77" s="163" t="s">
        <v>527</v>
      </c>
      <c r="K77" s="39"/>
      <c r="L77" s="355"/>
      <c r="M77" s="359"/>
      <c r="N77">
        <f t="shared" si="1"/>
        <v>1</v>
      </c>
    </row>
    <row r="78" spans="1:14" ht="30.95" customHeight="1" x14ac:dyDescent="0.3">
      <c r="A78" s="18">
        <v>7</v>
      </c>
      <c r="B78" s="337"/>
      <c r="C78" s="35" t="s">
        <v>63</v>
      </c>
      <c r="D78" s="12" t="s">
        <v>43</v>
      </c>
      <c r="E78" s="35"/>
      <c r="F78" s="116"/>
      <c r="G78" s="116"/>
      <c r="H78" s="116"/>
      <c r="I78" s="116"/>
      <c r="J78" s="163" t="s">
        <v>527</v>
      </c>
      <c r="K78" s="39"/>
      <c r="L78" s="355"/>
      <c r="M78" s="359"/>
      <c r="N78">
        <f t="shared" si="1"/>
        <v>1</v>
      </c>
    </row>
    <row r="79" spans="1:14" ht="30.95" customHeight="1" x14ac:dyDescent="0.3">
      <c r="A79" s="18">
        <v>8</v>
      </c>
      <c r="B79" s="337"/>
      <c r="C79" s="35" t="s">
        <v>62</v>
      </c>
      <c r="D79" s="12" t="s">
        <v>44</v>
      </c>
      <c r="E79" s="35"/>
      <c r="F79" s="116"/>
      <c r="G79" s="116"/>
      <c r="H79" s="116"/>
      <c r="I79" s="116"/>
      <c r="J79" s="163" t="s">
        <v>527</v>
      </c>
      <c r="K79" s="39"/>
      <c r="L79" s="355"/>
      <c r="M79" s="359"/>
      <c r="N79">
        <f t="shared" si="1"/>
        <v>1</v>
      </c>
    </row>
    <row r="80" spans="1:14" ht="30.95" customHeight="1" x14ac:dyDescent="0.3">
      <c r="A80" s="18">
        <v>9</v>
      </c>
      <c r="B80" s="337"/>
      <c r="C80" s="76"/>
      <c r="D80" s="77"/>
      <c r="E80" s="76"/>
      <c r="F80" s="118"/>
      <c r="G80" s="118"/>
      <c r="H80" s="118"/>
      <c r="I80" s="118"/>
      <c r="J80" s="164" t="s">
        <v>527</v>
      </c>
      <c r="K80" s="78"/>
      <c r="L80" s="355"/>
      <c r="M80" s="359"/>
      <c r="N80">
        <f t="shared" si="1"/>
        <v>0</v>
      </c>
    </row>
    <row r="81" spans="1:14" ht="30.95" customHeight="1" x14ac:dyDescent="0.3">
      <c r="A81" s="18">
        <v>10</v>
      </c>
      <c r="B81" s="337"/>
      <c r="C81" s="76"/>
      <c r="D81" s="77"/>
      <c r="E81" s="76"/>
      <c r="F81" s="118"/>
      <c r="G81" s="118"/>
      <c r="H81" s="118"/>
      <c r="I81" s="118"/>
      <c r="J81" s="164" t="s">
        <v>527</v>
      </c>
      <c r="K81" s="78"/>
      <c r="L81" s="355"/>
      <c r="M81" s="359"/>
      <c r="N81">
        <f t="shared" si="1"/>
        <v>0</v>
      </c>
    </row>
    <row r="82" spans="1:14" ht="30.95" customHeight="1" x14ac:dyDescent="0.3">
      <c r="A82" s="18">
        <v>11</v>
      </c>
      <c r="B82" s="337"/>
      <c r="C82" s="35" t="s">
        <v>29</v>
      </c>
      <c r="D82" s="12" t="s">
        <v>45</v>
      </c>
      <c r="E82" s="35"/>
      <c r="F82" s="116"/>
      <c r="G82" s="116"/>
      <c r="H82" s="116"/>
      <c r="I82" s="116"/>
      <c r="J82" s="163" t="s">
        <v>527</v>
      </c>
      <c r="K82" s="39"/>
      <c r="L82" s="355"/>
      <c r="M82" s="359"/>
      <c r="N82">
        <f t="shared" si="1"/>
        <v>1</v>
      </c>
    </row>
    <row r="83" spans="1:14" ht="30.95" customHeight="1" thickBot="1" x14ac:dyDescent="0.35">
      <c r="A83" s="21">
        <v>12</v>
      </c>
      <c r="B83" s="350"/>
      <c r="C83" s="40" t="s">
        <v>29</v>
      </c>
      <c r="D83" s="22" t="s">
        <v>46</v>
      </c>
      <c r="E83" s="40"/>
      <c r="F83" s="128"/>
      <c r="G83" s="128"/>
      <c r="H83" s="128"/>
      <c r="I83" s="128"/>
      <c r="J83" s="163" t="s">
        <v>527</v>
      </c>
      <c r="K83" s="23"/>
      <c r="L83" s="356"/>
      <c r="M83" s="360"/>
      <c r="N83">
        <f t="shared" si="1"/>
        <v>1</v>
      </c>
    </row>
    <row r="84" spans="1:14" ht="30.95" customHeight="1" x14ac:dyDescent="0.3">
      <c r="A84" s="341" t="s">
        <v>8</v>
      </c>
      <c r="B84" s="342"/>
      <c r="C84" s="324"/>
      <c r="D84" s="110" t="s">
        <v>11</v>
      </c>
      <c r="E84" s="111" t="s">
        <v>12</v>
      </c>
      <c r="F84" s="380" t="s">
        <v>526</v>
      </c>
      <c r="G84" s="381"/>
      <c r="H84" s="381"/>
      <c r="I84" s="381"/>
      <c r="J84" s="382"/>
      <c r="K84" s="332" t="s">
        <v>10</v>
      </c>
      <c r="L84" s="331" t="s">
        <v>32</v>
      </c>
      <c r="M84" s="331" t="s">
        <v>33</v>
      </c>
      <c r="N84">
        <f t="shared" si="1"/>
        <v>0</v>
      </c>
    </row>
    <row r="85" spans="1:14" ht="30.95" customHeight="1" thickBot="1" x14ac:dyDescent="0.35">
      <c r="A85" s="333" t="s">
        <v>9</v>
      </c>
      <c r="B85" s="334"/>
      <c r="C85" s="335"/>
      <c r="D85" s="7" t="s">
        <v>128</v>
      </c>
      <c r="E85" s="112" t="s">
        <v>687</v>
      </c>
      <c r="F85" s="383" t="s">
        <v>5</v>
      </c>
      <c r="G85" s="336"/>
      <c r="H85" s="384" t="s">
        <v>7</v>
      </c>
      <c r="I85" s="336"/>
      <c r="J85" s="385" t="s">
        <v>3</v>
      </c>
      <c r="K85" s="332"/>
      <c r="L85" s="332"/>
      <c r="M85" s="332"/>
      <c r="N85">
        <f t="shared" si="1"/>
        <v>0</v>
      </c>
    </row>
    <row r="86" spans="1:14" ht="30.95" customHeight="1" x14ac:dyDescent="0.3">
      <c r="A86" s="113" t="s">
        <v>0</v>
      </c>
      <c r="B86" s="113" t="s">
        <v>1</v>
      </c>
      <c r="C86" s="113" t="s">
        <v>23</v>
      </c>
      <c r="D86" s="113" t="s">
        <v>2</v>
      </c>
      <c r="E86" s="113" t="s">
        <v>3</v>
      </c>
      <c r="F86" s="156" t="s">
        <v>4</v>
      </c>
      <c r="G86" s="156" t="s">
        <v>506</v>
      </c>
      <c r="H86" s="156" t="s">
        <v>4</v>
      </c>
      <c r="I86" s="156" t="s">
        <v>506</v>
      </c>
      <c r="J86" s="386"/>
      <c r="K86" s="332"/>
      <c r="L86" s="332"/>
      <c r="M86" s="332"/>
      <c r="N86">
        <f t="shared" si="1"/>
        <v>1</v>
      </c>
    </row>
    <row r="87" spans="1:14" ht="30.95" customHeight="1" x14ac:dyDescent="0.3">
      <c r="A87" s="64">
        <v>1</v>
      </c>
      <c r="B87" s="345" t="s">
        <v>69</v>
      </c>
      <c r="C87" s="62" t="s">
        <v>29</v>
      </c>
      <c r="D87" s="17" t="s">
        <v>47</v>
      </c>
      <c r="E87" s="62"/>
      <c r="F87" s="61"/>
      <c r="G87" s="61"/>
      <c r="H87" s="61"/>
      <c r="I87" s="61"/>
      <c r="J87" s="163" t="s">
        <v>527</v>
      </c>
      <c r="K87" s="61"/>
      <c r="L87" s="354"/>
      <c r="M87" s="361"/>
      <c r="N87">
        <f t="shared" si="1"/>
        <v>1</v>
      </c>
    </row>
    <row r="88" spans="1:14" ht="30.95" customHeight="1" x14ac:dyDescent="0.3">
      <c r="A88" s="18">
        <v>2</v>
      </c>
      <c r="B88" s="337"/>
      <c r="C88" s="35" t="s">
        <v>29</v>
      </c>
      <c r="D88" s="12" t="s">
        <v>48</v>
      </c>
      <c r="E88" s="35"/>
      <c r="F88" s="60"/>
      <c r="G88" s="60"/>
      <c r="H88" s="60"/>
      <c r="I88" s="60"/>
      <c r="J88" s="163" t="s">
        <v>527</v>
      </c>
      <c r="K88" s="39"/>
      <c r="L88" s="355"/>
      <c r="M88" s="359"/>
      <c r="N88">
        <f t="shared" si="1"/>
        <v>1</v>
      </c>
    </row>
    <row r="89" spans="1:14" ht="30.95" customHeight="1" x14ac:dyDescent="0.3">
      <c r="A89" s="18">
        <v>3</v>
      </c>
      <c r="B89" s="337"/>
      <c r="C89" s="35" t="s">
        <v>29</v>
      </c>
      <c r="D89" s="12" t="s">
        <v>49</v>
      </c>
      <c r="E89" s="35"/>
      <c r="F89" s="60"/>
      <c r="G89" s="60"/>
      <c r="H89" s="60"/>
      <c r="I89" s="60"/>
      <c r="J89" s="163" t="s">
        <v>527</v>
      </c>
      <c r="K89" s="39"/>
      <c r="L89" s="355"/>
      <c r="M89" s="359"/>
      <c r="N89">
        <f t="shared" si="1"/>
        <v>1</v>
      </c>
    </row>
    <row r="90" spans="1:14" ht="30.95" customHeight="1" x14ac:dyDescent="0.3">
      <c r="A90" s="18">
        <v>4</v>
      </c>
      <c r="B90" s="337"/>
      <c r="C90" s="35" t="s">
        <v>29</v>
      </c>
      <c r="D90" s="12" t="s">
        <v>50</v>
      </c>
      <c r="E90" s="35"/>
      <c r="F90" s="60"/>
      <c r="G90" s="60"/>
      <c r="H90" s="60"/>
      <c r="I90" s="60"/>
      <c r="J90" s="163" t="s">
        <v>527</v>
      </c>
      <c r="K90" s="39"/>
      <c r="L90" s="355"/>
      <c r="M90" s="359"/>
      <c r="N90">
        <f t="shared" si="1"/>
        <v>1</v>
      </c>
    </row>
    <row r="91" spans="1:14" ht="30.95" customHeight="1" x14ac:dyDescent="0.3">
      <c r="A91" s="18">
        <v>5</v>
      </c>
      <c r="B91" s="337"/>
      <c r="C91" s="35" t="s">
        <v>27</v>
      </c>
      <c r="D91" s="12" t="s">
        <v>51</v>
      </c>
      <c r="E91" s="35"/>
      <c r="F91" s="60"/>
      <c r="G91" s="60"/>
      <c r="H91" s="60"/>
      <c r="I91" s="60"/>
      <c r="J91" s="163" t="s">
        <v>527</v>
      </c>
      <c r="K91" s="39"/>
      <c r="L91" s="355"/>
      <c r="M91" s="359"/>
      <c r="N91">
        <f t="shared" si="1"/>
        <v>1</v>
      </c>
    </row>
    <row r="92" spans="1:14" ht="30.95" customHeight="1" x14ac:dyDescent="0.3">
      <c r="A92" s="18">
        <v>6</v>
      </c>
      <c r="B92" s="337"/>
      <c r="C92" s="35" t="s">
        <v>27</v>
      </c>
      <c r="D92" s="12" t="s">
        <v>51</v>
      </c>
      <c r="E92" s="35"/>
      <c r="F92" s="60"/>
      <c r="G92" s="60"/>
      <c r="H92" s="60"/>
      <c r="I92" s="60"/>
      <c r="J92" s="163" t="s">
        <v>527</v>
      </c>
      <c r="K92" s="39"/>
      <c r="L92" s="355"/>
      <c r="M92" s="359"/>
      <c r="N92">
        <f t="shared" si="1"/>
        <v>1</v>
      </c>
    </row>
    <row r="93" spans="1:14" ht="30.95" customHeight="1" x14ac:dyDescent="0.3">
      <c r="A93" s="18">
        <v>7</v>
      </c>
      <c r="B93" s="337"/>
      <c r="C93" s="85" t="s">
        <v>26</v>
      </c>
      <c r="D93" s="86" t="s">
        <v>529</v>
      </c>
      <c r="E93" s="85"/>
      <c r="F93" s="87"/>
      <c r="G93" s="87"/>
      <c r="H93" s="87"/>
      <c r="I93" s="87"/>
      <c r="J93" s="163" t="s">
        <v>527</v>
      </c>
      <c r="K93" s="87"/>
      <c r="L93" s="355"/>
      <c r="M93" s="359"/>
      <c r="N93">
        <f t="shared" si="1"/>
        <v>1</v>
      </c>
    </row>
    <row r="94" spans="1:14" ht="30.95" customHeight="1" x14ac:dyDescent="0.3">
      <c r="A94" s="18">
        <v>8</v>
      </c>
      <c r="B94" s="337"/>
      <c r="C94" s="85" t="s">
        <v>26</v>
      </c>
      <c r="D94" s="86" t="s">
        <v>529</v>
      </c>
      <c r="E94" s="85"/>
      <c r="F94" s="87"/>
      <c r="G94" s="87"/>
      <c r="H94" s="87"/>
      <c r="I94" s="87"/>
      <c r="J94" s="163" t="s">
        <v>527</v>
      </c>
      <c r="K94" s="87"/>
      <c r="L94" s="355"/>
      <c r="M94" s="359"/>
      <c r="N94">
        <f t="shared" si="1"/>
        <v>1</v>
      </c>
    </row>
    <row r="95" spans="1:14" ht="30.95" customHeight="1" x14ac:dyDescent="0.3">
      <c r="A95" s="18">
        <v>9</v>
      </c>
      <c r="B95" s="337"/>
      <c r="C95" s="76"/>
      <c r="D95" s="77"/>
      <c r="E95" s="76"/>
      <c r="F95" s="78"/>
      <c r="G95" s="78"/>
      <c r="H95" s="78"/>
      <c r="I95" s="78"/>
      <c r="J95" s="164" t="s">
        <v>527</v>
      </c>
      <c r="K95" s="78"/>
      <c r="L95" s="355"/>
      <c r="M95" s="359"/>
      <c r="N95">
        <f t="shared" si="1"/>
        <v>0</v>
      </c>
    </row>
    <row r="96" spans="1:14" ht="30.95" customHeight="1" x14ac:dyDescent="0.3">
      <c r="A96" s="18">
        <v>10</v>
      </c>
      <c r="B96" s="337"/>
      <c r="C96" s="35" t="s">
        <v>30</v>
      </c>
      <c r="D96" s="12" t="s">
        <v>52</v>
      </c>
      <c r="E96" s="35"/>
      <c r="F96" s="60"/>
      <c r="G96" s="60"/>
      <c r="H96" s="60"/>
      <c r="I96" s="60"/>
      <c r="J96" s="163" t="s">
        <v>527</v>
      </c>
      <c r="K96" s="39"/>
      <c r="L96" s="355"/>
      <c r="M96" s="359"/>
      <c r="N96">
        <f t="shared" si="1"/>
        <v>1</v>
      </c>
    </row>
    <row r="97" spans="1:14" ht="30.95" customHeight="1" x14ac:dyDescent="0.3">
      <c r="A97" s="18">
        <v>11</v>
      </c>
      <c r="B97" s="337"/>
      <c r="C97" s="35" t="s">
        <v>64</v>
      </c>
      <c r="D97" s="12" t="s">
        <v>53</v>
      </c>
      <c r="E97" s="35"/>
      <c r="F97" s="60"/>
      <c r="G97" s="60"/>
      <c r="H97" s="60"/>
      <c r="I97" s="60"/>
      <c r="J97" s="163" t="s">
        <v>527</v>
      </c>
      <c r="K97" s="39"/>
      <c r="L97" s="355"/>
      <c r="M97" s="359"/>
      <c r="N97">
        <f t="shared" si="1"/>
        <v>1</v>
      </c>
    </row>
    <row r="98" spans="1:14" ht="30.95" customHeight="1" x14ac:dyDescent="0.3">
      <c r="A98" s="18">
        <v>12</v>
      </c>
      <c r="B98" s="337"/>
      <c r="C98" s="76"/>
      <c r="D98" s="77"/>
      <c r="E98" s="76"/>
      <c r="F98" s="78"/>
      <c r="G98" s="78"/>
      <c r="H98" s="78"/>
      <c r="I98" s="78"/>
      <c r="J98" s="164" t="s">
        <v>527</v>
      </c>
      <c r="K98" s="78"/>
      <c r="L98" s="355"/>
      <c r="M98" s="359"/>
      <c r="N98">
        <f t="shared" si="1"/>
        <v>0</v>
      </c>
    </row>
    <row r="99" spans="1:14" ht="30.95" customHeight="1" x14ac:dyDescent="0.3">
      <c r="A99" s="18">
        <v>13</v>
      </c>
      <c r="B99" s="337"/>
      <c r="C99" s="85" t="s">
        <v>65</v>
      </c>
      <c r="D99" s="86" t="s">
        <v>481</v>
      </c>
      <c r="E99" s="85"/>
      <c r="F99" s="87"/>
      <c r="G99" s="87"/>
      <c r="H99" s="87"/>
      <c r="I99" s="87"/>
      <c r="J99" s="163" t="s">
        <v>527</v>
      </c>
      <c r="K99" s="87"/>
      <c r="L99" s="355"/>
      <c r="M99" s="359"/>
      <c r="N99">
        <f t="shared" si="1"/>
        <v>1</v>
      </c>
    </row>
    <row r="100" spans="1:14" ht="30.95" customHeight="1" x14ac:dyDescent="0.3">
      <c r="A100" s="18">
        <v>14</v>
      </c>
      <c r="B100" s="337"/>
      <c r="C100" s="85" t="s">
        <v>65</v>
      </c>
      <c r="D100" s="86" t="s">
        <v>482</v>
      </c>
      <c r="E100" s="85"/>
      <c r="F100" s="87"/>
      <c r="G100" s="87"/>
      <c r="H100" s="87"/>
      <c r="I100" s="87"/>
      <c r="J100" s="163" t="s">
        <v>527</v>
      </c>
      <c r="K100" s="87"/>
      <c r="L100" s="355"/>
      <c r="M100" s="359"/>
      <c r="N100">
        <f t="shared" si="1"/>
        <v>1</v>
      </c>
    </row>
    <row r="101" spans="1:14" ht="30.95" customHeight="1" x14ac:dyDescent="0.3">
      <c r="A101" s="18">
        <v>15</v>
      </c>
      <c r="B101" s="337"/>
      <c r="C101" s="76"/>
      <c r="D101" s="77"/>
      <c r="E101" s="76"/>
      <c r="F101" s="78"/>
      <c r="G101" s="78"/>
      <c r="H101" s="78"/>
      <c r="I101" s="78"/>
      <c r="J101" s="164" t="s">
        <v>527</v>
      </c>
      <c r="K101" s="78"/>
      <c r="L101" s="355"/>
      <c r="M101" s="359"/>
      <c r="N101">
        <f t="shared" si="1"/>
        <v>0</v>
      </c>
    </row>
    <row r="102" spans="1:14" ht="30.95" customHeight="1" x14ac:dyDescent="0.3">
      <c r="A102" s="18">
        <v>16</v>
      </c>
      <c r="B102" s="337"/>
      <c r="C102" s="76"/>
      <c r="D102" s="77"/>
      <c r="E102" s="76"/>
      <c r="F102" s="78"/>
      <c r="G102" s="78"/>
      <c r="H102" s="78"/>
      <c r="I102" s="78"/>
      <c r="J102" s="164" t="s">
        <v>527</v>
      </c>
      <c r="K102" s="78"/>
      <c r="L102" s="355"/>
      <c r="M102" s="359"/>
      <c r="N102">
        <f t="shared" si="1"/>
        <v>0</v>
      </c>
    </row>
    <row r="103" spans="1:14" ht="30.95" customHeight="1" x14ac:dyDescent="0.3">
      <c r="A103" s="18">
        <v>17</v>
      </c>
      <c r="B103" s="337"/>
      <c r="C103" s="35" t="s">
        <v>63</v>
      </c>
      <c r="D103" s="12" t="s">
        <v>54</v>
      </c>
      <c r="E103" s="35"/>
      <c r="F103" s="60"/>
      <c r="G103" s="60"/>
      <c r="H103" s="60"/>
      <c r="I103" s="60"/>
      <c r="J103" s="163" t="s">
        <v>527</v>
      </c>
      <c r="K103" s="39"/>
      <c r="L103" s="355"/>
      <c r="M103" s="359"/>
      <c r="N103">
        <f t="shared" si="1"/>
        <v>1</v>
      </c>
    </row>
    <row r="104" spans="1:14" ht="30.95" customHeight="1" x14ac:dyDescent="0.3">
      <c r="A104" s="18">
        <v>18</v>
      </c>
      <c r="B104" s="337"/>
      <c r="C104" s="35" t="s">
        <v>63</v>
      </c>
      <c r="D104" s="12" t="s">
        <v>54</v>
      </c>
      <c r="E104" s="35"/>
      <c r="F104" s="60"/>
      <c r="G104" s="60"/>
      <c r="H104" s="60"/>
      <c r="I104" s="60"/>
      <c r="J104" s="163" t="s">
        <v>527</v>
      </c>
      <c r="K104" s="39"/>
      <c r="L104" s="355"/>
      <c r="M104" s="359"/>
      <c r="N104">
        <f t="shared" si="1"/>
        <v>1</v>
      </c>
    </row>
    <row r="105" spans="1:14" ht="30.95" customHeight="1" x14ac:dyDescent="0.3">
      <c r="A105" s="18">
        <v>19</v>
      </c>
      <c r="B105" s="337"/>
      <c r="C105" s="35" t="s">
        <v>66</v>
      </c>
      <c r="D105" s="12" t="s">
        <v>55</v>
      </c>
      <c r="E105" s="35"/>
      <c r="F105" s="60"/>
      <c r="G105" s="60"/>
      <c r="H105" s="60"/>
      <c r="I105" s="60"/>
      <c r="J105" s="163" t="s">
        <v>527</v>
      </c>
      <c r="K105" s="39"/>
      <c r="L105" s="355"/>
      <c r="M105" s="359"/>
      <c r="N105">
        <f t="shared" si="1"/>
        <v>1</v>
      </c>
    </row>
    <row r="106" spans="1:14" ht="30.95" customHeight="1" x14ac:dyDescent="0.3">
      <c r="A106" s="18">
        <v>20</v>
      </c>
      <c r="B106" s="337"/>
      <c r="C106" s="35" t="s">
        <v>66</v>
      </c>
      <c r="D106" s="12" t="s">
        <v>55</v>
      </c>
      <c r="E106" s="35"/>
      <c r="F106" s="60"/>
      <c r="G106" s="60"/>
      <c r="H106" s="60"/>
      <c r="I106" s="60"/>
      <c r="J106" s="163" t="s">
        <v>527</v>
      </c>
      <c r="K106" s="39"/>
      <c r="L106" s="355"/>
      <c r="M106" s="359"/>
      <c r="N106">
        <f t="shared" si="1"/>
        <v>1</v>
      </c>
    </row>
    <row r="107" spans="1:14" ht="30.95" customHeight="1" x14ac:dyDescent="0.3">
      <c r="A107" s="18">
        <v>21</v>
      </c>
      <c r="B107" s="337"/>
      <c r="C107" s="35" t="s">
        <v>67</v>
      </c>
      <c r="D107" s="12" t="s">
        <v>57</v>
      </c>
      <c r="E107" s="35"/>
      <c r="F107" s="60"/>
      <c r="G107" s="60"/>
      <c r="H107" s="60"/>
      <c r="I107" s="60"/>
      <c r="J107" s="163" t="s">
        <v>527</v>
      </c>
      <c r="K107" s="39"/>
      <c r="L107" s="355"/>
      <c r="M107" s="359"/>
      <c r="N107">
        <f t="shared" si="1"/>
        <v>1</v>
      </c>
    </row>
    <row r="108" spans="1:14" ht="30.95" customHeight="1" x14ac:dyDescent="0.3">
      <c r="A108" s="18">
        <v>22</v>
      </c>
      <c r="B108" s="337"/>
      <c r="C108" s="35" t="s">
        <v>67</v>
      </c>
      <c r="D108" s="12" t="s">
        <v>56</v>
      </c>
      <c r="E108" s="35"/>
      <c r="F108" s="60"/>
      <c r="G108" s="60"/>
      <c r="H108" s="60"/>
      <c r="I108" s="60"/>
      <c r="J108" s="163" t="s">
        <v>527</v>
      </c>
      <c r="K108" s="39"/>
      <c r="L108" s="355"/>
      <c r="M108" s="359"/>
      <c r="N108">
        <f t="shared" si="1"/>
        <v>1</v>
      </c>
    </row>
    <row r="109" spans="1:14" ht="30.95" customHeight="1" x14ac:dyDescent="0.3">
      <c r="A109" s="18">
        <v>23</v>
      </c>
      <c r="B109" s="337"/>
      <c r="C109" s="35" t="s">
        <v>67</v>
      </c>
      <c r="D109" s="12" t="s">
        <v>58</v>
      </c>
      <c r="E109" s="35"/>
      <c r="F109" s="60"/>
      <c r="G109" s="60"/>
      <c r="H109" s="60"/>
      <c r="I109" s="60"/>
      <c r="J109" s="163" t="s">
        <v>527</v>
      </c>
      <c r="K109" s="39"/>
      <c r="L109" s="355"/>
      <c r="M109" s="359"/>
      <c r="N109">
        <f t="shared" si="1"/>
        <v>1</v>
      </c>
    </row>
    <row r="110" spans="1:14" ht="30.95" customHeight="1" thickBot="1" x14ac:dyDescent="0.35">
      <c r="A110" s="21">
        <v>24</v>
      </c>
      <c r="B110" s="350"/>
      <c r="C110" s="40" t="s">
        <v>67</v>
      </c>
      <c r="D110" s="22" t="s">
        <v>59</v>
      </c>
      <c r="E110" s="40"/>
      <c r="F110" s="66"/>
      <c r="G110" s="66"/>
      <c r="H110" s="66"/>
      <c r="I110" s="66"/>
      <c r="J110" s="163" t="s">
        <v>527</v>
      </c>
      <c r="K110" s="23"/>
      <c r="L110" s="356"/>
      <c r="M110" s="360"/>
      <c r="N110">
        <f t="shared" si="1"/>
        <v>1</v>
      </c>
    </row>
    <row r="111" spans="1:14" ht="30.95" customHeight="1" x14ac:dyDescent="0.3">
      <c r="A111" s="341" t="s">
        <v>8</v>
      </c>
      <c r="B111" s="342"/>
      <c r="C111" s="324"/>
      <c r="D111" s="110" t="s">
        <v>11</v>
      </c>
      <c r="E111" s="111" t="s">
        <v>12</v>
      </c>
      <c r="F111" s="340" t="s">
        <v>526</v>
      </c>
      <c r="G111" s="338"/>
      <c r="H111" s="338"/>
      <c r="I111" s="338"/>
      <c r="J111" s="338"/>
      <c r="K111" s="332" t="s">
        <v>10</v>
      </c>
      <c r="L111" s="331" t="s">
        <v>32</v>
      </c>
      <c r="M111" s="331" t="s">
        <v>33</v>
      </c>
      <c r="N111">
        <f t="shared" si="1"/>
        <v>0</v>
      </c>
    </row>
    <row r="112" spans="1:14" ht="30.95" customHeight="1" thickBot="1" x14ac:dyDescent="0.35">
      <c r="A112" s="333" t="s">
        <v>9</v>
      </c>
      <c r="B112" s="334"/>
      <c r="C112" s="335"/>
      <c r="D112" s="7" t="s">
        <v>128</v>
      </c>
      <c r="E112" s="112" t="s">
        <v>687</v>
      </c>
      <c r="F112" s="336" t="s">
        <v>5</v>
      </c>
      <c r="G112" s="337"/>
      <c r="H112" s="337" t="s">
        <v>7</v>
      </c>
      <c r="I112" s="337"/>
      <c r="J112" s="338" t="s">
        <v>3</v>
      </c>
      <c r="K112" s="332"/>
      <c r="L112" s="332"/>
      <c r="M112" s="332"/>
      <c r="N112">
        <f t="shared" si="1"/>
        <v>0</v>
      </c>
    </row>
    <row r="113" spans="1:14" ht="30.95" customHeight="1" x14ac:dyDescent="0.3">
      <c r="A113" s="113" t="s">
        <v>0</v>
      </c>
      <c r="B113" s="113" t="s">
        <v>1</v>
      </c>
      <c r="C113" s="113" t="s">
        <v>23</v>
      </c>
      <c r="D113" s="113" t="s">
        <v>2</v>
      </c>
      <c r="E113" s="113" t="s">
        <v>3</v>
      </c>
      <c r="F113" s="131" t="s">
        <v>4</v>
      </c>
      <c r="G113" s="131" t="s">
        <v>506</v>
      </c>
      <c r="H113" s="131" t="s">
        <v>4</v>
      </c>
      <c r="I113" s="131" t="s">
        <v>506</v>
      </c>
      <c r="J113" s="338"/>
      <c r="K113" s="332"/>
      <c r="L113" s="332"/>
      <c r="M113" s="332"/>
      <c r="N113">
        <f t="shared" si="1"/>
        <v>1</v>
      </c>
    </row>
    <row r="114" spans="1:14" ht="30.95" customHeight="1" x14ac:dyDescent="0.3">
      <c r="A114" s="64">
        <v>1</v>
      </c>
      <c r="B114" s="344" t="s">
        <v>447</v>
      </c>
      <c r="C114" s="73"/>
      <c r="D114" s="74"/>
      <c r="E114" s="73"/>
      <c r="F114" s="75"/>
      <c r="G114" s="75"/>
      <c r="H114" s="75"/>
      <c r="I114" s="75"/>
      <c r="J114" s="164" t="s">
        <v>527</v>
      </c>
      <c r="K114" s="75"/>
      <c r="L114" s="351"/>
      <c r="M114" s="387"/>
      <c r="N114">
        <f t="shared" si="1"/>
        <v>0</v>
      </c>
    </row>
    <row r="115" spans="1:14" ht="30.95" customHeight="1" x14ac:dyDescent="0.3">
      <c r="A115" s="18">
        <v>2</v>
      </c>
      <c r="B115" s="344"/>
      <c r="C115" s="76"/>
      <c r="D115" s="77"/>
      <c r="E115" s="76"/>
      <c r="F115" s="78"/>
      <c r="G115" s="78"/>
      <c r="H115" s="78"/>
      <c r="I115" s="78"/>
      <c r="J115" s="164" t="s">
        <v>527</v>
      </c>
      <c r="K115" s="78"/>
      <c r="L115" s="352"/>
      <c r="M115" s="388"/>
      <c r="N115">
        <f t="shared" si="1"/>
        <v>0</v>
      </c>
    </row>
    <row r="116" spans="1:14" ht="30.95" customHeight="1" x14ac:dyDescent="0.3">
      <c r="A116" s="18">
        <v>3</v>
      </c>
      <c r="B116" s="344"/>
      <c r="C116" s="35" t="s">
        <v>62</v>
      </c>
      <c r="D116" s="12" t="s">
        <v>70</v>
      </c>
      <c r="E116" s="35"/>
      <c r="F116" s="60"/>
      <c r="G116" s="60"/>
      <c r="H116" s="60"/>
      <c r="I116" s="60"/>
      <c r="J116" s="163" t="s">
        <v>527</v>
      </c>
      <c r="K116" s="39"/>
      <c r="L116" s="352"/>
      <c r="M116" s="388"/>
      <c r="N116">
        <f t="shared" si="1"/>
        <v>1</v>
      </c>
    </row>
    <row r="117" spans="1:14" ht="30.95" customHeight="1" x14ac:dyDescent="0.3">
      <c r="A117" s="18">
        <v>4</v>
      </c>
      <c r="B117" s="344"/>
      <c r="C117" s="35" t="s">
        <v>62</v>
      </c>
      <c r="D117" s="12" t="s">
        <v>71</v>
      </c>
      <c r="E117" s="35"/>
      <c r="F117" s="60"/>
      <c r="G117" s="60"/>
      <c r="H117" s="60"/>
      <c r="I117" s="60"/>
      <c r="J117" s="163" t="s">
        <v>527</v>
      </c>
      <c r="K117" s="39"/>
      <c r="L117" s="352"/>
      <c r="M117" s="388"/>
      <c r="N117">
        <f t="shared" si="1"/>
        <v>1</v>
      </c>
    </row>
    <row r="118" spans="1:14" ht="30.95" customHeight="1" x14ac:dyDescent="0.3">
      <c r="A118" s="18">
        <v>5</v>
      </c>
      <c r="B118" s="344"/>
      <c r="C118" s="35" t="s">
        <v>26</v>
      </c>
      <c r="D118" s="12" t="s">
        <v>371</v>
      </c>
      <c r="E118" s="35"/>
      <c r="F118" s="60"/>
      <c r="G118" s="60"/>
      <c r="H118" s="60"/>
      <c r="I118" s="60"/>
      <c r="J118" s="163" t="s">
        <v>527</v>
      </c>
      <c r="K118" s="39"/>
      <c r="L118" s="352"/>
      <c r="M118" s="388"/>
      <c r="N118">
        <f t="shared" si="1"/>
        <v>1</v>
      </c>
    </row>
    <row r="119" spans="1:14" ht="30.95" customHeight="1" x14ac:dyDescent="0.3">
      <c r="A119" s="18">
        <v>6</v>
      </c>
      <c r="B119" s="344"/>
      <c r="C119" s="76"/>
      <c r="D119" s="77"/>
      <c r="E119" s="76"/>
      <c r="F119" s="78"/>
      <c r="G119" s="78"/>
      <c r="H119" s="78"/>
      <c r="I119" s="78"/>
      <c r="J119" s="164" t="s">
        <v>527</v>
      </c>
      <c r="K119" s="78"/>
      <c r="L119" s="352"/>
      <c r="M119" s="388"/>
      <c r="N119">
        <f t="shared" si="1"/>
        <v>0</v>
      </c>
    </row>
    <row r="120" spans="1:14" ht="30.95" customHeight="1" x14ac:dyDescent="0.3">
      <c r="A120" s="18">
        <v>7</v>
      </c>
      <c r="B120" s="344"/>
      <c r="C120" s="35" t="s">
        <v>374</v>
      </c>
      <c r="D120" s="12" t="s">
        <v>373</v>
      </c>
      <c r="E120" s="35"/>
      <c r="F120" s="60"/>
      <c r="G120" s="60"/>
      <c r="H120" s="60"/>
      <c r="I120" s="60"/>
      <c r="J120" s="163" t="s">
        <v>527</v>
      </c>
      <c r="K120" s="39"/>
      <c r="L120" s="352"/>
      <c r="M120" s="388"/>
      <c r="N120">
        <f t="shared" si="1"/>
        <v>1</v>
      </c>
    </row>
    <row r="121" spans="1:14" ht="30.95" customHeight="1" x14ac:dyDescent="0.3">
      <c r="A121" s="18">
        <v>8</v>
      </c>
      <c r="B121" s="344"/>
      <c r="C121" s="35" t="s">
        <v>62</v>
      </c>
      <c r="D121" s="12" t="s">
        <v>476</v>
      </c>
      <c r="E121" s="35"/>
      <c r="F121" s="60"/>
      <c r="G121" s="60"/>
      <c r="H121" s="60"/>
      <c r="I121" s="60"/>
      <c r="J121" s="163" t="s">
        <v>527</v>
      </c>
      <c r="K121" s="39"/>
      <c r="L121" s="352"/>
      <c r="M121" s="388"/>
      <c r="N121">
        <f t="shared" si="1"/>
        <v>1</v>
      </c>
    </row>
    <row r="122" spans="1:14" ht="30.95" customHeight="1" x14ac:dyDescent="0.3">
      <c r="A122" s="18">
        <v>9</v>
      </c>
      <c r="B122" s="344"/>
      <c r="C122" s="35" t="s">
        <v>530</v>
      </c>
      <c r="D122" s="12" t="s">
        <v>531</v>
      </c>
      <c r="E122" s="35"/>
      <c r="F122" s="60"/>
      <c r="G122" s="60"/>
      <c r="H122" s="60"/>
      <c r="I122" s="60"/>
      <c r="J122" s="163" t="s">
        <v>527</v>
      </c>
      <c r="K122" s="39"/>
      <c r="L122" s="352"/>
      <c r="M122" s="388"/>
      <c r="N122">
        <f t="shared" si="1"/>
        <v>1</v>
      </c>
    </row>
    <row r="123" spans="1:14" ht="30.95" customHeight="1" x14ac:dyDescent="0.3">
      <c r="A123" s="18">
        <v>10</v>
      </c>
      <c r="B123" s="344"/>
      <c r="C123" s="76"/>
      <c r="D123" s="77"/>
      <c r="E123" s="76"/>
      <c r="F123" s="78"/>
      <c r="G123" s="78"/>
      <c r="H123" s="78"/>
      <c r="I123" s="78"/>
      <c r="J123" s="164" t="s">
        <v>527</v>
      </c>
      <c r="K123" s="78"/>
      <c r="L123" s="352"/>
      <c r="M123" s="388"/>
      <c r="N123">
        <f t="shared" si="1"/>
        <v>0</v>
      </c>
    </row>
    <row r="124" spans="1:14" ht="30.95" customHeight="1" x14ac:dyDescent="0.3">
      <c r="A124" s="18">
        <v>11</v>
      </c>
      <c r="B124" s="344"/>
      <c r="C124" s="76"/>
      <c r="D124" s="77"/>
      <c r="E124" s="76"/>
      <c r="F124" s="78"/>
      <c r="G124" s="78"/>
      <c r="H124" s="78"/>
      <c r="I124" s="78"/>
      <c r="J124" s="164" t="s">
        <v>527</v>
      </c>
      <c r="K124" s="78"/>
      <c r="L124" s="352"/>
      <c r="M124" s="388"/>
      <c r="N124">
        <f t="shared" si="1"/>
        <v>0</v>
      </c>
    </row>
    <row r="125" spans="1:14" ht="30.95" customHeight="1" x14ac:dyDescent="0.3">
      <c r="A125" s="18">
        <v>12</v>
      </c>
      <c r="B125" s="344"/>
      <c r="C125" s="85" t="s">
        <v>63</v>
      </c>
      <c r="D125" s="86" t="s">
        <v>493</v>
      </c>
      <c r="E125" s="85"/>
      <c r="F125" s="87"/>
      <c r="G125" s="87"/>
      <c r="H125" s="87"/>
      <c r="I125" s="87"/>
      <c r="J125" s="163" t="s">
        <v>527</v>
      </c>
      <c r="K125" s="87"/>
      <c r="L125" s="352"/>
      <c r="M125" s="388"/>
      <c r="N125">
        <f t="shared" si="1"/>
        <v>1</v>
      </c>
    </row>
    <row r="126" spans="1:14" ht="30.95" customHeight="1" x14ac:dyDescent="0.3">
      <c r="A126" s="18">
        <v>13</v>
      </c>
      <c r="B126" s="344"/>
      <c r="C126" s="35" t="s">
        <v>62</v>
      </c>
      <c r="D126" s="12" t="s">
        <v>72</v>
      </c>
      <c r="E126" s="35"/>
      <c r="F126" s="60"/>
      <c r="G126" s="60"/>
      <c r="H126" s="60"/>
      <c r="I126" s="60"/>
      <c r="J126" s="163" t="s">
        <v>527</v>
      </c>
      <c r="K126" s="39"/>
      <c r="L126" s="352"/>
      <c r="M126" s="388"/>
      <c r="N126">
        <f t="shared" si="1"/>
        <v>1</v>
      </c>
    </row>
    <row r="127" spans="1:14" ht="30.95" customHeight="1" x14ac:dyDescent="0.3">
      <c r="A127" s="18">
        <v>14</v>
      </c>
      <c r="B127" s="344"/>
      <c r="C127" s="35" t="s">
        <v>62</v>
      </c>
      <c r="D127" s="12" t="s">
        <v>72</v>
      </c>
      <c r="E127" s="35"/>
      <c r="F127" s="60"/>
      <c r="G127" s="60"/>
      <c r="H127" s="60"/>
      <c r="I127" s="60"/>
      <c r="J127" s="163" t="s">
        <v>527</v>
      </c>
      <c r="K127" s="39"/>
      <c r="L127" s="352"/>
      <c r="M127" s="388"/>
      <c r="N127">
        <f t="shared" si="1"/>
        <v>1</v>
      </c>
    </row>
    <row r="128" spans="1:14" ht="30.95" customHeight="1" x14ac:dyDescent="0.3">
      <c r="A128" s="18">
        <v>15</v>
      </c>
      <c r="B128" s="344"/>
      <c r="C128" s="35" t="s">
        <v>62</v>
      </c>
      <c r="D128" s="12" t="s">
        <v>372</v>
      </c>
      <c r="E128" s="35"/>
      <c r="F128" s="60"/>
      <c r="G128" s="60"/>
      <c r="H128" s="60"/>
      <c r="I128" s="60"/>
      <c r="J128" s="163" t="s">
        <v>527</v>
      </c>
      <c r="K128" s="39"/>
      <c r="L128" s="352"/>
      <c r="M128" s="388"/>
      <c r="N128">
        <f t="shared" si="1"/>
        <v>1</v>
      </c>
    </row>
    <row r="129" spans="1:14" ht="30.95" customHeight="1" x14ac:dyDescent="0.3">
      <c r="A129" s="18">
        <v>16</v>
      </c>
      <c r="B129" s="344"/>
      <c r="C129" s="35" t="s">
        <v>62</v>
      </c>
      <c r="D129" s="12" t="s">
        <v>372</v>
      </c>
      <c r="E129" s="35"/>
      <c r="F129" s="60"/>
      <c r="G129" s="60"/>
      <c r="H129" s="60"/>
      <c r="I129" s="60"/>
      <c r="J129" s="163" t="s">
        <v>527</v>
      </c>
      <c r="K129" s="39"/>
      <c r="L129" s="352"/>
      <c r="M129" s="388"/>
      <c r="N129">
        <f t="shared" si="1"/>
        <v>1</v>
      </c>
    </row>
    <row r="130" spans="1:14" ht="30.95" customHeight="1" x14ac:dyDescent="0.3">
      <c r="A130" s="18">
        <v>17</v>
      </c>
      <c r="B130" s="344"/>
      <c r="C130" s="35" t="s">
        <v>62</v>
      </c>
      <c r="D130" s="12" t="s">
        <v>73</v>
      </c>
      <c r="E130" s="35"/>
      <c r="F130" s="60"/>
      <c r="G130" s="60"/>
      <c r="H130" s="60"/>
      <c r="I130" s="60"/>
      <c r="J130" s="163" t="s">
        <v>527</v>
      </c>
      <c r="K130" s="39"/>
      <c r="L130" s="352"/>
      <c r="M130" s="388"/>
      <c r="N130">
        <f t="shared" si="1"/>
        <v>1</v>
      </c>
    </row>
    <row r="131" spans="1:14" ht="30.95" customHeight="1" x14ac:dyDescent="0.3">
      <c r="A131" s="18">
        <v>18</v>
      </c>
      <c r="B131" s="344"/>
      <c r="C131" s="35" t="s">
        <v>62</v>
      </c>
      <c r="D131" s="12" t="s">
        <v>74</v>
      </c>
      <c r="E131" s="35"/>
      <c r="F131" s="60"/>
      <c r="G131" s="60"/>
      <c r="H131" s="60"/>
      <c r="I131" s="60"/>
      <c r="J131" s="163" t="s">
        <v>527</v>
      </c>
      <c r="K131" s="39"/>
      <c r="L131" s="352"/>
      <c r="M131" s="388"/>
      <c r="N131">
        <f t="shared" si="1"/>
        <v>1</v>
      </c>
    </row>
    <row r="132" spans="1:14" ht="30.95" customHeight="1" x14ac:dyDescent="0.3">
      <c r="A132" s="18">
        <v>19</v>
      </c>
      <c r="B132" s="344"/>
      <c r="C132" s="35"/>
      <c r="D132" s="12"/>
      <c r="E132" s="35"/>
      <c r="F132" s="60"/>
      <c r="G132" s="60"/>
      <c r="H132" s="60"/>
      <c r="I132" s="60"/>
      <c r="J132" s="163" t="s">
        <v>527</v>
      </c>
      <c r="K132" s="39"/>
      <c r="L132" s="352"/>
      <c r="M132" s="388"/>
      <c r="N132">
        <f t="shared" si="1"/>
        <v>0</v>
      </c>
    </row>
    <row r="133" spans="1:14" ht="30.95" customHeight="1" x14ac:dyDescent="0.3">
      <c r="A133" s="18">
        <v>20</v>
      </c>
      <c r="B133" s="344"/>
      <c r="C133" s="35"/>
      <c r="D133" s="12"/>
      <c r="E133" s="35"/>
      <c r="F133" s="60"/>
      <c r="G133" s="60"/>
      <c r="H133" s="60"/>
      <c r="I133" s="60"/>
      <c r="J133" s="163" t="s">
        <v>527</v>
      </c>
      <c r="K133" s="39"/>
      <c r="L133" s="352"/>
      <c r="M133" s="388"/>
      <c r="N133">
        <f t="shared" si="1"/>
        <v>0</v>
      </c>
    </row>
    <row r="134" spans="1:14" ht="30.95" customHeight="1" x14ac:dyDescent="0.3">
      <c r="A134" s="18">
        <v>21</v>
      </c>
      <c r="B134" s="344"/>
      <c r="C134" s="35" t="s">
        <v>62</v>
      </c>
      <c r="D134" s="12" t="s">
        <v>77</v>
      </c>
      <c r="E134" s="35"/>
      <c r="F134" s="60"/>
      <c r="G134" s="60"/>
      <c r="H134" s="60"/>
      <c r="I134" s="60"/>
      <c r="J134" s="163" t="s">
        <v>527</v>
      </c>
      <c r="K134" s="39"/>
      <c r="L134" s="352"/>
      <c r="M134" s="388"/>
      <c r="N134">
        <f t="shared" si="1"/>
        <v>1</v>
      </c>
    </row>
    <row r="135" spans="1:14" ht="30.95" customHeight="1" x14ac:dyDescent="0.3">
      <c r="A135" s="18">
        <v>22</v>
      </c>
      <c r="B135" s="344"/>
      <c r="C135" s="76"/>
      <c r="D135" s="77"/>
      <c r="E135" s="76" t="s">
        <v>78</v>
      </c>
      <c r="F135" s="78"/>
      <c r="G135" s="78"/>
      <c r="H135" s="78"/>
      <c r="I135" s="78"/>
      <c r="J135" s="164" t="s">
        <v>527</v>
      </c>
      <c r="K135" s="78"/>
      <c r="L135" s="352"/>
      <c r="M135" s="388"/>
      <c r="N135">
        <f t="shared" si="1"/>
        <v>0</v>
      </c>
    </row>
    <row r="136" spans="1:14" ht="30.95" customHeight="1" x14ac:dyDescent="0.3">
      <c r="A136" s="18">
        <v>23</v>
      </c>
      <c r="B136" s="344"/>
      <c r="C136" s="35"/>
      <c r="D136" s="12"/>
      <c r="E136" s="35"/>
      <c r="F136" s="60"/>
      <c r="G136" s="60"/>
      <c r="H136" s="60"/>
      <c r="I136" s="60"/>
      <c r="J136" s="163" t="s">
        <v>527</v>
      </c>
      <c r="K136" s="39"/>
      <c r="L136" s="352"/>
      <c r="M136" s="388"/>
      <c r="N136">
        <f t="shared" si="1"/>
        <v>0</v>
      </c>
    </row>
    <row r="137" spans="1:14" ht="30.95" customHeight="1" x14ac:dyDescent="0.3">
      <c r="A137" s="18">
        <v>24</v>
      </c>
      <c r="B137" s="344"/>
      <c r="C137" s="35"/>
      <c r="D137" s="12"/>
      <c r="E137" s="35"/>
      <c r="F137" s="60"/>
      <c r="G137" s="60"/>
      <c r="H137" s="60"/>
      <c r="I137" s="60"/>
      <c r="J137" s="163" t="s">
        <v>527</v>
      </c>
      <c r="K137" s="39"/>
      <c r="L137" s="353"/>
      <c r="M137" s="391"/>
      <c r="N137">
        <f t="shared" si="1"/>
        <v>0</v>
      </c>
    </row>
    <row r="138" spans="1:14" ht="30.95" customHeight="1" x14ac:dyDescent="0.3">
      <c r="A138" s="18">
        <v>25</v>
      </c>
      <c r="B138" s="344" t="s">
        <v>448</v>
      </c>
      <c r="C138" s="35" t="s">
        <v>63</v>
      </c>
      <c r="D138" s="12" t="s">
        <v>81</v>
      </c>
      <c r="E138" s="35"/>
      <c r="F138" s="60"/>
      <c r="G138" s="60"/>
      <c r="H138" s="60"/>
      <c r="I138" s="60"/>
      <c r="J138" s="163" t="s">
        <v>527</v>
      </c>
      <c r="K138" s="39"/>
      <c r="L138" s="354"/>
      <c r="M138" s="364"/>
      <c r="N138">
        <f t="shared" ref="N138:N201" si="2">IF(C138="",0,1)</f>
        <v>1</v>
      </c>
    </row>
    <row r="139" spans="1:14" ht="30.95" customHeight="1" x14ac:dyDescent="0.3">
      <c r="A139" s="18">
        <v>26</v>
      </c>
      <c r="B139" s="346"/>
      <c r="C139" s="35" t="s">
        <v>63</v>
      </c>
      <c r="D139" s="12" t="s">
        <v>81</v>
      </c>
      <c r="E139" s="35"/>
      <c r="F139" s="60"/>
      <c r="G139" s="60"/>
      <c r="H139" s="60"/>
      <c r="I139" s="60"/>
      <c r="J139" s="163" t="s">
        <v>527</v>
      </c>
      <c r="K139" s="39"/>
      <c r="L139" s="355"/>
      <c r="M139" s="365"/>
      <c r="N139">
        <f t="shared" si="2"/>
        <v>1</v>
      </c>
    </row>
    <row r="140" spans="1:14" ht="30.95" customHeight="1" x14ac:dyDescent="0.3">
      <c r="A140" s="18">
        <v>27</v>
      </c>
      <c r="B140" s="346"/>
      <c r="C140" s="35" t="s">
        <v>63</v>
      </c>
      <c r="D140" s="12" t="s">
        <v>94</v>
      </c>
      <c r="E140" s="35"/>
      <c r="F140" s="60"/>
      <c r="G140" s="60"/>
      <c r="H140" s="60"/>
      <c r="I140" s="60"/>
      <c r="J140" s="163" t="s">
        <v>527</v>
      </c>
      <c r="K140" s="39"/>
      <c r="L140" s="355"/>
      <c r="M140" s="365"/>
      <c r="N140">
        <f t="shared" si="2"/>
        <v>1</v>
      </c>
    </row>
    <row r="141" spans="1:14" ht="30.95" customHeight="1" x14ac:dyDescent="0.3">
      <c r="A141" s="18">
        <v>28</v>
      </c>
      <c r="B141" s="346"/>
      <c r="C141" s="35" t="s">
        <v>63</v>
      </c>
      <c r="D141" s="12" t="s">
        <v>95</v>
      </c>
      <c r="E141" s="35"/>
      <c r="F141" s="60"/>
      <c r="G141" s="60"/>
      <c r="H141" s="60"/>
      <c r="I141" s="60"/>
      <c r="J141" s="163" t="s">
        <v>527</v>
      </c>
      <c r="K141" s="39"/>
      <c r="L141" s="355"/>
      <c r="M141" s="365"/>
      <c r="N141">
        <f t="shared" si="2"/>
        <v>1</v>
      </c>
    </row>
    <row r="142" spans="1:14" ht="30.95" customHeight="1" x14ac:dyDescent="0.3">
      <c r="A142" s="18">
        <v>29</v>
      </c>
      <c r="B142" s="346"/>
      <c r="C142" s="85" t="s">
        <v>26</v>
      </c>
      <c r="D142" s="86" t="s">
        <v>483</v>
      </c>
      <c r="E142" s="85"/>
      <c r="F142" s="87"/>
      <c r="G142" s="87"/>
      <c r="H142" s="87"/>
      <c r="I142" s="87"/>
      <c r="J142" s="167" t="s">
        <v>527</v>
      </c>
      <c r="K142" s="87"/>
      <c r="L142" s="355"/>
      <c r="M142" s="365"/>
      <c r="N142">
        <f t="shared" si="2"/>
        <v>1</v>
      </c>
    </row>
    <row r="143" spans="1:14" ht="30.95" customHeight="1" x14ac:dyDescent="0.3">
      <c r="A143" s="18">
        <v>30</v>
      </c>
      <c r="B143" s="346"/>
      <c r="C143" s="85" t="s">
        <v>26</v>
      </c>
      <c r="D143" s="86" t="s">
        <v>484</v>
      </c>
      <c r="E143" s="85"/>
      <c r="F143" s="87"/>
      <c r="G143" s="87"/>
      <c r="H143" s="87"/>
      <c r="I143" s="87"/>
      <c r="J143" s="167" t="s">
        <v>527</v>
      </c>
      <c r="K143" s="87"/>
      <c r="L143" s="355"/>
      <c r="M143" s="365"/>
      <c r="N143">
        <f t="shared" si="2"/>
        <v>1</v>
      </c>
    </row>
    <row r="144" spans="1:14" ht="30.95" customHeight="1" x14ac:dyDescent="0.3">
      <c r="A144" s="18">
        <v>31</v>
      </c>
      <c r="B144" s="346"/>
      <c r="C144" s="76"/>
      <c r="D144" s="77"/>
      <c r="E144" s="76"/>
      <c r="F144" s="78"/>
      <c r="G144" s="78"/>
      <c r="H144" s="78"/>
      <c r="I144" s="78"/>
      <c r="J144" s="164" t="s">
        <v>527</v>
      </c>
      <c r="K144" s="78"/>
      <c r="L144" s="355"/>
      <c r="M144" s="365"/>
      <c r="N144">
        <f t="shared" si="2"/>
        <v>0</v>
      </c>
    </row>
    <row r="145" spans="1:14" ht="30.95" customHeight="1" x14ac:dyDescent="0.3">
      <c r="A145" s="18">
        <v>32</v>
      </c>
      <c r="B145" s="346"/>
      <c r="C145" s="76"/>
      <c r="D145" s="77"/>
      <c r="E145" s="76"/>
      <c r="F145" s="78"/>
      <c r="G145" s="78"/>
      <c r="H145" s="78"/>
      <c r="I145" s="78"/>
      <c r="J145" s="164" t="s">
        <v>527</v>
      </c>
      <c r="K145" s="78"/>
      <c r="L145" s="355"/>
      <c r="M145" s="365"/>
      <c r="N145">
        <f t="shared" si="2"/>
        <v>0</v>
      </c>
    </row>
    <row r="146" spans="1:14" ht="30.95" customHeight="1" x14ac:dyDescent="0.3">
      <c r="A146" s="18">
        <v>33</v>
      </c>
      <c r="B146" s="346"/>
      <c r="C146" s="35" t="s">
        <v>62</v>
      </c>
      <c r="D146" s="12" t="s">
        <v>82</v>
      </c>
      <c r="E146" s="35" t="s">
        <v>83</v>
      </c>
      <c r="F146" s="60"/>
      <c r="G146" s="60"/>
      <c r="H146" s="60"/>
      <c r="I146" s="60"/>
      <c r="J146" s="163" t="s">
        <v>527</v>
      </c>
      <c r="K146" s="39"/>
      <c r="L146" s="355"/>
      <c r="M146" s="365"/>
      <c r="N146">
        <f t="shared" si="2"/>
        <v>1</v>
      </c>
    </row>
    <row r="147" spans="1:14" ht="30.95" customHeight="1" x14ac:dyDescent="0.3">
      <c r="A147" s="18">
        <v>34</v>
      </c>
      <c r="B147" s="346"/>
      <c r="C147" s="35" t="s">
        <v>62</v>
      </c>
      <c r="D147" s="12" t="s">
        <v>84</v>
      </c>
      <c r="E147" s="35" t="s">
        <v>83</v>
      </c>
      <c r="F147" s="60"/>
      <c r="G147" s="60"/>
      <c r="H147" s="60"/>
      <c r="I147" s="60"/>
      <c r="J147" s="163" t="s">
        <v>527</v>
      </c>
      <c r="K147" s="39"/>
      <c r="L147" s="355"/>
      <c r="M147" s="365"/>
      <c r="N147">
        <f t="shared" si="2"/>
        <v>1</v>
      </c>
    </row>
    <row r="148" spans="1:14" ht="30.95" customHeight="1" x14ac:dyDescent="0.3">
      <c r="A148" s="18">
        <v>35</v>
      </c>
      <c r="B148" s="346"/>
      <c r="C148" s="35" t="s">
        <v>62</v>
      </c>
      <c r="D148" s="12" t="s">
        <v>73</v>
      </c>
      <c r="E148" s="35"/>
      <c r="F148" s="60"/>
      <c r="G148" s="60"/>
      <c r="H148" s="60"/>
      <c r="I148" s="60"/>
      <c r="J148" s="163" t="s">
        <v>527</v>
      </c>
      <c r="K148" s="39"/>
      <c r="L148" s="355"/>
      <c r="M148" s="365"/>
      <c r="N148">
        <f t="shared" si="2"/>
        <v>1</v>
      </c>
    </row>
    <row r="149" spans="1:14" ht="30.95" customHeight="1" x14ac:dyDescent="0.3">
      <c r="A149" s="18">
        <v>36</v>
      </c>
      <c r="B149" s="346"/>
      <c r="C149" s="35" t="s">
        <v>62</v>
      </c>
      <c r="D149" s="12" t="s">
        <v>85</v>
      </c>
      <c r="E149" s="35"/>
      <c r="F149" s="60"/>
      <c r="G149" s="60"/>
      <c r="H149" s="60"/>
      <c r="I149" s="60"/>
      <c r="J149" s="163" t="s">
        <v>527</v>
      </c>
      <c r="K149" s="39"/>
      <c r="L149" s="355"/>
      <c r="M149" s="365"/>
      <c r="N149">
        <f t="shared" si="2"/>
        <v>1</v>
      </c>
    </row>
    <row r="150" spans="1:14" ht="30.95" customHeight="1" x14ac:dyDescent="0.3">
      <c r="A150" s="18">
        <v>37</v>
      </c>
      <c r="B150" s="346"/>
      <c r="C150" s="35" t="s">
        <v>62</v>
      </c>
      <c r="D150" s="12" t="s">
        <v>86</v>
      </c>
      <c r="E150" s="35"/>
      <c r="F150" s="60"/>
      <c r="G150" s="60"/>
      <c r="H150" s="60"/>
      <c r="I150" s="60"/>
      <c r="J150" s="163" t="s">
        <v>527</v>
      </c>
      <c r="K150" s="39"/>
      <c r="L150" s="355"/>
      <c r="M150" s="365"/>
      <c r="N150">
        <f t="shared" si="2"/>
        <v>1</v>
      </c>
    </row>
    <row r="151" spans="1:14" ht="30.95" customHeight="1" x14ac:dyDescent="0.3">
      <c r="A151" s="18">
        <v>38</v>
      </c>
      <c r="B151" s="346"/>
      <c r="C151" s="35" t="s">
        <v>62</v>
      </c>
      <c r="D151" s="12" t="s">
        <v>86</v>
      </c>
      <c r="E151" s="35"/>
      <c r="F151" s="60"/>
      <c r="G151" s="60"/>
      <c r="H151" s="60"/>
      <c r="I151" s="60"/>
      <c r="J151" s="163" t="s">
        <v>527</v>
      </c>
      <c r="K151" s="39"/>
      <c r="L151" s="355"/>
      <c r="M151" s="365"/>
      <c r="N151">
        <f t="shared" si="2"/>
        <v>1</v>
      </c>
    </row>
    <row r="152" spans="1:14" ht="30.95" customHeight="1" x14ac:dyDescent="0.3">
      <c r="A152" s="18">
        <v>39</v>
      </c>
      <c r="B152" s="346"/>
      <c r="C152" s="35" t="s">
        <v>62</v>
      </c>
      <c r="D152" s="12" t="s">
        <v>87</v>
      </c>
      <c r="E152" s="35" t="s">
        <v>83</v>
      </c>
      <c r="F152" s="60"/>
      <c r="G152" s="60"/>
      <c r="H152" s="60"/>
      <c r="I152" s="60"/>
      <c r="J152" s="163" t="s">
        <v>527</v>
      </c>
      <c r="K152" s="39"/>
      <c r="L152" s="355"/>
      <c r="M152" s="365"/>
      <c r="N152">
        <f t="shared" si="2"/>
        <v>1</v>
      </c>
    </row>
    <row r="153" spans="1:14" ht="30.95" customHeight="1" x14ac:dyDescent="0.3">
      <c r="A153" s="18">
        <v>40</v>
      </c>
      <c r="B153" s="346"/>
      <c r="C153" s="35" t="s">
        <v>62</v>
      </c>
      <c r="D153" s="12" t="s">
        <v>88</v>
      </c>
      <c r="E153" s="35" t="s">
        <v>83</v>
      </c>
      <c r="F153" s="60"/>
      <c r="G153" s="60"/>
      <c r="H153" s="60"/>
      <c r="I153" s="60"/>
      <c r="J153" s="163" t="s">
        <v>527</v>
      </c>
      <c r="K153" s="39"/>
      <c r="L153" s="355"/>
      <c r="M153" s="365"/>
      <c r="N153">
        <f t="shared" si="2"/>
        <v>1</v>
      </c>
    </row>
    <row r="154" spans="1:14" ht="30.95" customHeight="1" x14ac:dyDescent="0.3">
      <c r="A154" s="18">
        <v>41</v>
      </c>
      <c r="B154" s="346"/>
      <c r="C154" s="35" t="s">
        <v>62</v>
      </c>
      <c r="D154" s="12" t="s">
        <v>89</v>
      </c>
      <c r="E154" s="35"/>
      <c r="F154" s="60"/>
      <c r="G154" s="60"/>
      <c r="H154" s="60"/>
      <c r="I154" s="60"/>
      <c r="J154" s="163" t="s">
        <v>527</v>
      </c>
      <c r="K154" s="39"/>
      <c r="L154" s="355"/>
      <c r="M154" s="365"/>
      <c r="N154">
        <f t="shared" si="2"/>
        <v>1</v>
      </c>
    </row>
    <row r="155" spans="1:14" ht="30.95" customHeight="1" x14ac:dyDescent="0.3">
      <c r="A155" s="18">
        <v>42</v>
      </c>
      <c r="B155" s="346"/>
      <c r="C155" s="35" t="s">
        <v>62</v>
      </c>
      <c r="D155" s="12" t="s">
        <v>89</v>
      </c>
      <c r="E155" s="35"/>
      <c r="F155" s="60"/>
      <c r="G155" s="60"/>
      <c r="H155" s="60"/>
      <c r="I155" s="60"/>
      <c r="J155" s="163" t="s">
        <v>527</v>
      </c>
      <c r="K155" s="39"/>
      <c r="L155" s="355"/>
      <c r="M155" s="365"/>
      <c r="N155">
        <f t="shared" si="2"/>
        <v>1</v>
      </c>
    </row>
    <row r="156" spans="1:14" ht="30.95" customHeight="1" x14ac:dyDescent="0.3">
      <c r="A156" s="18">
        <v>43</v>
      </c>
      <c r="B156" s="346"/>
      <c r="C156" s="35" t="s">
        <v>63</v>
      </c>
      <c r="D156" s="12" t="s">
        <v>90</v>
      </c>
      <c r="E156" s="35"/>
      <c r="F156" s="60"/>
      <c r="G156" s="60"/>
      <c r="H156" s="60"/>
      <c r="I156" s="60"/>
      <c r="J156" s="163" t="s">
        <v>527</v>
      </c>
      <c r="K156" s="39"/>
      <c r="L156" s="355"/>
      <c r="M156" s="365"/>
      <c r="N156">
        <f t="shared" si="2"/>
        <v>1</v>
      </c>
    </row>
    <row r="157" spans="1:14" ht="30.95" customHeight="1" x14ac:dyDescent="0.3">
      <c r="A157" s="18">
        <v>44</v>
      </c>
      <c r="B157" s="346"/>
      <c r="C157" s="35" t="s">
        <v>63</v>
      </c>
      <c r="D157" s="12" t="s">
        <v>91</v>
      </c>
      <c r="E157" s="35"/>
      <c r="F157" s="60"/>
      <c r="G157" s="60"/>
      <c r="H157" s="60"/>
      <c r="I157" s="60"/>
      <c r="J157" s="163" t="s">
        <v>527</v>
      </c>
      <c r="K157" s="39"/>
      <c r="L157" s="355"/>
      <c r="M157" s="365"/>
      <c r="N157">
        <f t="shared" si="2"/>
        <v>1</v>
      </c>
    </row>
    <row r="158" spans="1:14" ht="30.95" customHeight="1" x14ac:dyDescent="0.3">
      <c r="A158" s="18">
        <v>45</v>
      </c>
      <c r="B158" s="346"/>
      <c r="C158" s="35" t="s">
        <v>63</v>
      </c>
      <c r="D158" s="12" t="s">
        <v>92</v>
      </c>
      <c r="E158" s="35"/>
      <c r="F158" s="60"/>
      <c r="G158" s="60"/>
      <c r="H158" s="60"/>
      <c r="I158" s="60"/>
      <c r="J158" s="163" t="s">
        <v>527</v>
      </c>
      <c r="K158" s="39"/>
      <c r="L158" s="355"/>
      <c r="M158" s="365"/>
      <c r="N158">
        <f t="shared" si="2"/>
        <v>1</v>
      </c>
    </row>
    <row r="159" spans="1:14" ht="30.95" customHeight="1" x14ac:dyDescent="0.3">
      <c r="A159" s="18">
        <v>46</v>
      </c>
      <c r="B159" s="346"/>
      <c r="C159" s="35" t="s">
        <v>63</v>
      </c>
      <c r="D159" s="12" t="s">
        <v>93</v>
      </c>
      <c r="E159" s="35"/>
      <c r="F159" s="60"/>
      <c r="G159" s="60"/>
      <c r="H159" s="60"/>
      <c r="I159" s="60"/>
      <c r="J159" s="163" t="s">
        <v>527</v>
      </c>
      <c r="K159" s="39"/>
      <c r="L159" s="355"/>
      <c r="M159" s="365"/>
      <c r="N159">
        <f t="shared" si="2"/>
        <v>1</v>
      </c>
    </row>
    <row r="160" spans="1:14" ht="30.95" customHeight="1" x14ac:dyDescent="0.3">
      <c r="A160" s="18">
        <v>47</v>
      </c>
      <c r="B160" s="346"/>
      <c r="C160" s="85" t="s">
        <v>130</v>
      </c>
      <c r="D160" s="86" t="s">
        <v>485</v>
      </c>
      <c r="E160" s="85"/>
      <c r="F160" s="162"/>
      <c r="G160" s="162"/>
      <c r="H160" s="162"/>
      <c r="I160" s="162"/>
      <c r="J160" s="167" t="s">
        <v>527</v>
      </c>
      <c r="K160" s="168"/>
      <c r="L160" s="355"/>
      <c r="M160" s="365"/>
      <c r="N160">
        <f t="shared" si="2"/>
        <v>1</v>
      </c>
    </row>
    <row r="161" spans="1:14" ht="30.95" customHeight="1" thickBot="1" x14ac:dyDescent="0.35">
      <c r="A161" s="21">
        <v>48</v>
      </c>
      <c r="B161" s="347"/>
      <c r="C161" s="169" t="s">
        <v>130</v>
      </c>
      <c r="D161" s="86" t="s">
        <v>486</v>
      </c>
      <c r="E161" s="169"/>
      <c r="F161" s="170"/>
      <c r="G161" s="170"/>
      <c r="H161" s="170"/>
      <c r="I161" s="170"/>
      <c r="J161" s="167" t="s">
        <v>527</v>
      </c>
      <c r="K161" s="168"/>
      <c r="L161" s="356"/>
      <c r="M161" s="392"/>
      <c r="N161">
        <f t="shared" si="2"/>
        <v>1</v>
      </c>
    </row>
    <row r="162" spans="1:14" ht="30.95" customHeight="1" x14ac:dyDescent="0.3">
      <c r="A162" s="25">
        <v>1</v>
      </c>
      <c r="B162" s="371" t="s">
        <v>96</v>
      </c>
      <c r="C162" s="41" t="s">
        <v>63</v>
      </c>
      <c r="D162" s="26" t="s">
        <v>97</v>
      </c>
      <c r="E162" s="41"/>
      <c r="F162" s="63"/>
      <c r="G162" s="63"/>
      <c r="H162" s="63"/>
      <c r="I162" s="63"/>
      <c r="J162" s="163" t="s">
        <v>527</v>
      </c>
      <c r="K162" s="27"/>
      <c r="L162" s="357"/>
      <c r="M162" s="358"/>
      <c r="N162">
        <f t="shared" si="2"/>
        <v>1</v>
      </c>
    </row>
    <row r="163" spans="1:14" ht="30.95" customHeight="1" x14ac:dyDescent="0.3">
      <c r="A163" s="18">
        <v>2</v>
      </c>
      <c r="B163" s="337"/>
      <c r="C163" s="35" t="s">
        <v>63</v>
      </c>
      <c r="D163" s="12" t="s">
        <v>98</v>
      </c>
      <c r="E163" s="35"/>
      <c r="F163" s="60"/>
      <c r="G163" s="60"/>
      <c r="H163" s="60"/>
      <c r="I163" s="60"/>
      <c r="J163" s="163" t="s">
        <v>527</v>
      </c>
      <c r="K163" s="39"/>
      <c r="L163" s="355"/>
      <c r="M163" s="359"/>
      <c r="N163">
        <f t="shared" si="2"/>
        <v>1</v>
      </c>
    </row>
    <row r="164" spans="1:14" ht="30.95" customHeight="1" x14ac:dyDescent="0.3">
      <c r="A164" s="18">
        <v>3</v>
      </c>
      <c r="B164" s="337"/>
      <c r="C164" s="35" t="s">
        <v>63</v>
      </c>
      <c r="D164" s="12" t="s">
        <v>99</v>
      </c>
      <c r="E164" s="35"/>
      <c r="F164" s="60"/>
      <c r="G164" s="60"/>
      <c r="H164" s="60"/>
      <c r="I164" s="60"/>
      <c r="J164" s="163" t="s">
        <v>527</v>
      </c>
      <c r="K164" s="39"/>
      <c r="L164" s="355"/>
      <c r="M164" s="359"/>
      <c r="N164">
        <f t="shared" si="2"/>
        <v>1</v>
      </c>
    </row>
    <row r="165" spans="1:14" ht="30.95" customHeight="1" x14ac:dyDescent="0.3">
      <c r="A165" s="18">
        <v>4</v>
      </c>
      <c r="B165" s="337"/>
      <c r="C165" s="35" t="s">
        <v>63</v>
      </c>
      <c r="D165" s="12" t="s">
        <v>100</v>
      </c>
      <c r="E165" s="35"/>
      <c r="F165" s="60"/>
      <c r="G165" s="60"/>
      <c r="H165" s="60"/>
      <c r="I165" s="60"/>
      <c r="J165" s="163" t="s">
        <v>527</v>
      </c>
      <c r="K165" s="39"/>
      <c r="L165" s="355"/>
      <c r="M165" s="359"/>
      <c r="N165">
        <f t="shared" si="2"/>
        <v>1</v>
      </c>
    </row>
    <row r="166" spans="1:14" ht="30.95" customHeight="1" x14ac:dyDescent="0.3">
      <c r="A166" s="18">
        <v>5</v>
      </c>
      <c r="B166" s="337"/>
      <c r="C166" s="35" t="s">
        <v>63</v>
      </c>
      <c r="D166" s="12" t="s">
        <v>101</v>
      </c>
      <c r="E166" s="35"/>
      <c r="F166" s="60"/>
      <c r="G166" s="60"/>
      <c r="H166" s="60"/>
      <c r="I166" s="60"/>
      <c r="J166" s="163" t="s">
        <v>527</v>
      </c>
      <c r="K166" s="39"/>
      <c r="L166" s="355"/>
      <c r="M166" s="359"/>
      <c r="N166">
        <f t="shared" si="2"/>
        <v>1</v>
      </c>
    </row>
    <row r="167" spans="1:14" ht="30.95" customHeight="1" x14ac:dyDescent="0.3">
      <c r="A167" s="18">
        <v>6</v>
      </c>
      <c r="B167" s="337"/>
      <c r="C167" s="35" t="s">
        <v>63</v>
      </c>
      <c r="D167" s="12" t="s">
        <v>102</v>
      </c>
      <c r="E167" s="35"/>
      <c r="F167" s="60"/>
      <c r="G167" s="60"/>
      <c r="H167" s="60"/>
      <c r="I167" s="60"/>
      <c r="J167" s="163" t="s">
        <v>527</v>
      </c>
      <c r="K167" s="39"/>
      <c r="L167" s="355"/>
      <c r="M167" s="359"/>
      <c r="N167">
        <f t="shared" si="2"/>
        <v>1</v>
      </c>
    </row>
    <row r="168" spans="1:14" ht="30.95" customHeight="1" x14ac:dyDescent="0.3">
      <c r="A168" s="18">
        <v>7</v>
      </c>
      <c r="B168" s="337"/>
      <c r="C168" s="35" t="s">
        <v>63</v>
      </c>
      <c r="D168" s="12" t="s">
        <v>365</v>
      </c>
      <c r="E168" s="35"/>
      <c r="F168" s="60"/>
      <c r="G168" s="60"/>
      <c r="H168" s="60"/>
      <c r="I168" s="60"/>
      <c r="J168" s="163" t="s">
        <v>527</v>
      </c>
      <c r="K168" s="39"/>
      <c r="L168" s="355"/>
      <c r="M168" s="359"/>
      <c r="N168">
        <f t="shared" si="2"/>
        <v>1</v>
      </c>
    </row>
    <row r="169" spans="1:14" ht="30.95" customHeight="1" x14ac:dyDescent="0.3">
      <c r="A169" s="18">
        <v>8</v>
      </c>
      <c r="B169" s="337"/>
      <c r="C169" s="35" t="s">
        <v>63</v>
      </c>
      <c r="D169" s="12" t="s">
        <v>366</v>
      </c>
      <c r="E169" s="35"/>
      <c r="F169" s="60"/>
      <c r="G169" s="60"/>
      <c r="H169" s="60"/>
      <c r="I169" s="60"/>
      <c r="J169" s="163" t="s">
        <v>527</v>
      </c>
      <c r="K169" s="39"/>
      <c r="L169" s="355"/>
      <c r="M169" s="359"/>
      <c r="N169">
        <f t="shared" si="2"/>
        <v>1</v>
      </c>
    </row>
    <row r="170" spans="1:14" ht="30.95" customHeight="1" x14ac:dyDescent="0.3">
      <c r="A170" s="18">
        <v>9</v>
      </c>
      <c r="B170" s="337"/>
      <c r="C170" s="35" t="s">
        <v>63</v>
      </c>
      <c r="D170" s="12" t="s">
        <v>367</v>
      </c>
      <c r="E170" s="35"/>
      <c r="F170" s="60"/>
      <c r="G170" s="60"/>
      <c r="H170" s="60"/>
      <c r="I170" s="60"/>
      <c r="J170" s="163" t="s">
        <v>527</v>
      </c>
      <c r="K170" s="39"/>
      <c r="L170" s="355"/>
      <c r="M170" s="359"/>
      <c r="N170">
        <f t="shared" si="2"/>
        <v>1</v>
      </c>
    </row>
    <row r="171" spans="1:14" ht="30.95" customHeight="1" x14ac:dyDescent="0.3">
      <c r="A171" s="18">
        <v>10</v>
      </c>
      <c r="B171" s="337"/>
      <c r="C171" s="35" t="s">
        <v>63</v>
      </c>
      <c r="D171" s="12" t="s">
        <v>368</v>
      </c>
      <c r="E171" s="35"/>
      <c r="F171" s="60"/>
      <c r="G171" s="60"/>
      <c r="H171" s="60"/>
      <c r="I171" s="60"/>
      <c r="J171" s="163" t="s">
        <v>527</v>
      </c>
      <c r="K171" s="39"/>
      <c r="L171" s="355"/>
      <c r="M171" s="359"/>
      <c r="N171">
        <f t="shared" si="2"/>
        <v>1</v>
      </c>
    </row>
    <row r="172" spans="1:14" ht="30.95" customHeight="1" x14ac:dyDescent="0.3">
      <c r="A172" s="18">
        <v>11</v>
      </c>
      <c r="B172" s="337"/>
      <c r="C172" s="35" t="s">
        <v>63</v>
      </c>
      <c r="D172" s="12" t="s">
        <v>532</v>
      </c>
      <c r="E172" s="35"/>
      <c r="F172" s="60"/>
      <c r="G172" s="60"/>
      <c r="H172" s="60"/>
      <c r="I172" s="60"/>
      <c r="J172" s="163" t="s">
        <v>527</v>
      </c>
      <c r="K172" s="39"/>
      <c r="L172" s="355"/>
      <c r="M172" s="359"/>
      <c r="N172">
        <f t="shared" si="2"/>
        <v>1</v>
      </c>
    </row>
    <row r="173" spans="1:14" ht="30.95" customHeight="1" thickBot="1" x14ac:dyDescent="0.35">
      <c r="A173" s="21">
        <v>12</v>
      </c>
      <c r="B173" s="350"/>
      <c r="C173" s="130" t="s">
        <v>63</v>
      </c>
      <c r="D173" s="22" t="s">
        <v>531</v>
      </c>
      <c r="E173" s="40"/>
      <c r="F173" s="66"/>
      <c r="G173" s="66"/>
      <c r="H173" s="66"/>
      <c r="I173" s="66"/>
      <c r="J173" s="163" t="s">
        <v>527</v>
      </c>
      <c r="K173" s="23"/>
      <c r="L173" s="356"/>
      <c r="M173" s="360"/>
      <c r="N173">
        <f t="shared" si="2"/>
        <v>1</v>
      </c>
    </row>
    <row r="174" spans="1:14" ht="30.95" customHeight="1" x14ac:dyDescent="0.3">
      <c r="A174" s="341" t="s">
        <v>8</v>
      </c>
      <c r="B174" s="342"/>
      <c r="C174" s="324"/>
      <c r="D174" s="110" t="s">
        <v>11</v>
      </c>
      <c r="E174" s="111" t="s">
        <v>12</v>
      </c>
      <c r="F174" s="340" t="s">
        <v>526</v>
      </c>
      <c r="G174" s="338"/>
      <c r="H174" s="338"/>
      <c r="I174" s="338"/>
      <c r="J174" s="338"/>
      <c r="K174" s="332" t="s">
        <v>10</v>
      </c>
      <c r="L174" s="331" t="s">
        <v>32</v>
      </c>
      <c r="M174" s="331" t="s">
        <v>33</v>
      </c>
      <c r="N174">
        <f t="shared" si="2"/>
        <v>0</v>
      </c>
    </row>
    <row r="175" spans="1:14" ht="30.95" customHeight="1" thickBot="1" x14ac:dyDescent="0.35">
      <c r="A175" s="333" t="s">
        <v>9</v>
      </c>
      <c r="B175" s="334"/>
      <c r="C175" s="335"/>
      <c r="D175" s="7" t="s">
        <v>128</v>
      </c>
      <c r="E175" s="112" t="s">
        <v>687</v>
      </c>
      <c r="F175" s="336" t="s">
        <v>5</v>
      </c>
      <c r="G175" s="337"/>
      <c r="H175" s="337" t="s">
        <v>7</v>
      </c>
      <c r="I175" s="337"/>
      <c r="J175" s="338" t="s">
        <v>3</v>
      </c>
      <c r="K175" s="332"/>
      <c r="L175" s="332"/>
      <c r="M175" s="332"/>
      <c r="N175">
        <f t="shared" si="2"/>
        <v>0</v>
      </c>
    </row>
    <row r="176" spans="1:14" ht="30.95" customHeight="1" x14ac:dyDescent="0.3">
      <c r="A176" s="113" t="s">
        <v>0</v>
      </c>
      <c r="B176" s="113" t="s">
        <v>1</v>
      </c>
      <c r="C176" s="113" t="s">
        <v>23</v>
      </c>
      <c r="D176" s="113" t="s">
        <v>2</v>
      </c>
      <c r="E176" s="113" t="s">
        <v>3</v>
      </c>
      <c r="F176" s="131" t="s">
        <v>4</v>
      </c>
      <c r="G176" s="131" t="s">
        <v>506</v>
      </c>
      <c r="H176" s="131" t="s">
        <v>4</v>
      </c>
      <c r="I176" s="131" t="s">
        <v>506</v>
      </c>
      <c r="J176" s="338"/>
      <c r="K176" s="332"/>
      <c r="L176" s="332"/>
      <c r="M176" s="332"/>
      <c r="N176">
        <f t="shared" si="2"/>
        <v>1</v>
      </c>
    </row>
    <row r="177" spans="1:14" ht="30.95" customHeight="1" x14ac:dyDescent="0.3">
      <c r="A177" s="64">
        <v>1</v>
      </c>
      <c r="B177" s="345" t="s">
        <v>68</v>
      </c>
      <c r="C177" s="62" t="s">
        <v>62</v>
      </c>
      <c r="D177" s="17" t="s">
        <v>103</v>
      </c>
      <c r="E177" s="62"/>
      <c r="F177" s="61"/>
      <c r="G177" s="61"/>
      <c r="H177" s="61"/>
      <c r="I177" s="61"/>
      <c r="J177" s="163" t="s">
        <v>527</v>
      </c>
      <c r="K177" s="61"/>
      <c r="L177" s="354"/>
      <c r="M177" s="361"/>
      <c r="N177">
        <f t="shared" si="2"/>
        <v>1</v>
      </c>
    </row>
    <row r="178" spans="1:14" ht="30.95" customHeight="1" x14ac:dyDescent="0.3">
      <c r="A178" s="18">
        <v>2</v>
      </c>
      <c r="B178" s="337"/>
      <c r="C178" s="35" t="s">
        <v>62</v>
      </c>
      <c r="D178" s="12" t="s">
        <v>104</v>
      </c>
      <c r="E178" s="35"/>
      <c r="F178" s="60"/>
      <c r="G178" s="60"/>
      <c r="H178" s="60"/>
      <c r="I178" s="60"/>
      <c r="J178" s="163" t="s">
        <v>527</v>
      </c>
      <c r="K178" s="39"/>
      <c r="L178" s="355"/>
      <c r="M178" s="359"/>
      <c r="N178">
        <f t="shared" si="2"/>
        <v>1</v>
      </c>
    </row>
    <row r="179" spans="1:14" ht="30.95" customHeight="1" x14ac:dyDescent="0.3">
      <c r="A179" s="18">
        <v>3</v>
      </c>
      <c r="B179" s="337"/>
      <c r="C179" s="35" t="s">
        <v>66</v>
      </c>
      <c r="D179" s="12" t="s">
        <v>105</v>
      </c>
      <c r="E179" s="35"/>
      <c r="F179" s="60"/>
      <c r="G179" s="60"/>
      <c r="H179" s="60"/>
      <c r="I179" s="60"/>
      <c r="J179" s="163" t="s">
        <v>527</v>
      </c>
      <c r="K179" s="39"/>
      <c r="L179" s="355"/>
      <c r="M179" s="359"/>
      <c r="N179">
        <f t="shared" si="2"/>
        <v>1</v>
      </c>
    </row>
    <row r="180" spans="1:14" ht="30.95" customHeight="1" x14ac:dyDescent="0.3">
      <c r="A180" s="18">
        <v>4</v>
      </c>
      <c r="B180" s="337"/>
      <c r="C180" s="35" t="s">
        <v>66</v>
      </c>
      <c r="D180" s="12" t="s">
        <v>106</v>
      </c>
      <c r="E180" s="35"/>
      <c r="F180" s="60"/>
      <c r="G180" s="60"/>
      <c r="H180" s="60"/>
      <c r="I180" s="60"/>
      <c r="J180" s="163" t="s">
        <v>527</v>
      </c>
      <c r="K180" s="39"/>
      <c r="L180" s="355"/>
      <c r="M180" s="359"/>
      <c r="N180">
        <f t="shared" si="2"/>
        <v>1</v>
      </c>
    </row>
    <row r="181" spans="1:14" ht="30.95" customHeight="1" x14ac:dyDescent="0.3">
      <c r="A181" s="18">
        <v>5</v>
      </c>
      <c r="B181" s="337"/>
      <c r="C181" s="35" t="s">
        <v>27</v>
      </c>
      <c r="D181" s="12" t="s">
        <v>107</v>
      </c>
      <c r="E181" s="35"/>
      <c r="F181" s="60"/>
      <c r="G181" s="60"/>
      <c r="H181" s="60"/>
      <c r="I181" s="60"/>
      <c r="J181" s="163" t="s">
        <v>527</v>
      </c>
      <c r="K181" s="39"/>
      <c r="L181" s="355"/>
      <c r="M181" s="359"/>
      <c r="N181">
        <f t="shared" si="2"/>
        <v>1</v>
      </c>
    </row>
    <row r="182" spans="1:14" ht="30.95" customHeight="1" x14ac:dyDescent="0.3">
      <c r="A182" s="18">
        <v>6</v>
      </c>
      <c r="B182" s="337"/>
      <c r="C182" s="35" t="s">
        <v>27</v>
      </c>
      <c r="D182" s="12" t="s">
        <v>107</v>
      </c>
      <c r="E182" s="35"/>
      <c r="F182" s="60"/>
      <c r="G182" s="60"/>
      <c r="H182" s="60"/>
      <c r="I182" s="60"/>
      <c r="J182" s="163" t="s">
        <v>527</v>
      </c>
      <c r="K182" s="39"/>
      <c r="L182" s="355"/>
      <c r="M182" s="359"/>
      <c r="N182">
        <f t="shared" si="2"/>
        <v>1</v>
      </c>
    </row>
    <row r="183" spans="1:14" ht="30.95" customHeight="1" x14ac:dyDescent="0.3">
      <c r="A183" s="18">
        <v>7</v>
      </c>
      <c r="B183" s="337"/>
      <c r="C183" s="76"/>
      <c r="D183" s="77"/>
      <c r="E183" s="76"/>
      <c r="F183" s="78"/>
      <c r="G183" s="78"/>
      <c r="H183" s="78"/>
      <c r="I183" s="78"/>
      <c r="J183" s="164" t="s">
        <v>527</v>
      </c>
      <c r="K183" s="78"/>
      <c r="L183" s="355"/>
      <c r="M183" s="359"/>
      <c r="N183">
        <f t="shared" si="2"/>
        <v>0</v>
      </c>
    </row>
    <row r="184" spans="1:14" ht="30.95" customHeight="1" x14ac:dyDescent="0.3">
      <c r="A184" s="18">
        <v>8</v>
      </c>
      <c r="B184" s="337"/>
      <c r="C184" s="76"/>
      <c r="D184" s="77"/>
      <c r="E184" s="76"/>
      <c r="F184" s="78"/>
      <c r="G184" s="78"/>
      <c r="H184" s="78"/>
      <c r="I184" s="78"/>
      <c r="J184" s="164" t="s">
        <v>527</v>
      </c>
      <c r="K184" s="78"/>
      <c r="L184" s="355"/>
      <c r="M184" s="359"/>
      <c r="N184">
        <f t="shared" si="2"/>
        <v>0</v>
      </c>
    </row>
    <row r="185" spans="1:14" ht="30.95" customHeight="1" x14ac:dyDescent="0.3">
      <c r="A185" s="18">
        <v>9</v>
      </c>
      <c r="B185" s="337"/>
      <c r="C185" s="35" t="s">
        <v>63</v>
      </c>
      <c r="D185" s="12" t="s">
        <v>375</v>
      </c>
      <c r="E185" s="35"/>
      <c r="F185" s="60"/>
      <c r="G185" s="60"/>
      <c r="H185" s="60"/>
      <c r="I185" s="60"/>
      <c r="J185" s="163" t="s">
        <v>527</v>
      </c>
      <c r="K185" s="39"/>
      <c r="L185" s="355"/>
      <c r="M185" s="359"/>
      <c r="N185">
        <f t="shared" si="2"/>
        <v>1</v>
      </c>
    </row>
    <row r="186" spans="1:14" ht="30.95" customHeight="1" x14ac:dyDescent="0.3">
      <c r="A186" s="18">
        <v>10</v>
      </c>
      <c r="B186" s="337"/>
      <c r="C186" s="35" t="s">
        <v>63</v>
      </c>
      <c r="D186" s="12" t="s">
        <v>375</v>
      </c>
      <c r="E186" s="35"/>
      <c r="F186" s="60"/>
      <c r="G186" s="60"/>
      <c r="H186" s="60"/>
      <c r="I186" s="60"/>
      <c r="J186" s="163" t="s">
        <v>527</v>
      </c>
      <c r="K186" s="39"/>
      <c r="L186" s="355"/>
      <c r="M186" s="359"/>
      <c r="N186">
        <f t="shared" si="2"/>
        <v>1</v>
      </c>
    </row>
    <row r="187" spans="1:14" ht="30.95" customHeight="1" x14ac:dyDescent="0.3">
      <c r="A187" s="18">
        <v>11</v>
      </c>
      <c r="B187" s="337"/>
      <c r="C187" s="76"/>
      <c r="D187" s="77"/>
      <c r="E187" s="76"/>
      <c r="F187" s="78"/>
      <c r="G187" s="78"/>
      <c r="H187" s="78"/>
      <c r="I187" s="78"/>
      <c r="J187" s="164" t="s">
        <v>527</v>
      </c>
      <c r="K187" s="78"/>
      <c r="L187" s="355"/>
      <c r="M187" s="359"/>
      <c r="N187">
        <f t="shared" si="2"/>
        <v>0</v>
      </c>
    </row>
    <row r="188" spans="1:14" ht="30.95" customHeight="1" x14ac:dyDescent="0.3">
      <c r="A188" s="18">
        <v>12</v>
      </c>
      <c r="B188" s="337"/>
      <c r="C188" s="76"/>
      <c r="D188" s="77"/>
      <c r="E188" s="76"/>
      <c r="F188" s="78"/>
      <c r="G188" s="78"/>
      <c r="H188" s="78"/>
      <c r="I188" s="78"/>
      <c r="J188" s="164" t="s">
        <v>527</v>
      </c>
      <c r="K188" s="78"/>
      <c r="L188" s="355"/>
      <c r="M188" s="359"/>
      <c r="N188">
        <f t="shared" si="2"/>
        <v>0</v>
      </c>
    </row>
    <row r="189" spans="1:14" ht="30.95" customHeight="1" x14ac:dyDescent="0.3">
      <c r="A189" s="18">
        <v>13</v>
      </c>
      <c r="B189" s="337"/>
      <c r="C189" s="35" t="s">
        <v>110</v>
      </c>
      <c r="D189" s="12" t="s">
        <v>108</v>
      </c>
      <c r="E189" s="35"/>
      <c r="F189" s="60"/>
      <c r="G189" s="60"/>
      <c r="H189" s="60"/>
      <c r="I189" s="60"/>
      <c r="J189" s="163" t="s">
        <v>527</v>
      </c>
      <c r="K189" s="39"/>
      <c r="L189" s="355"/>
      <c r="M189" s="359"/>
      <c r="N189">
        <f t="shared" si="2"/>
        <v>1</v>
      </c>
    </row>
    <row r="190" spans="1:14" ht="30.95" customHeight="1" x14ac:dyDescent="0.3">
      <c r="A190" s="18">
        <v>14</v>
      </c>
      <c r="B190" s="337"/>
      <c r="C190" s="35" t="s">
        <v>374</v>
      </c>
      <c r="D190" s="12" t="s">
        <v>376</v>
      </c>
      <c r="E190" s="35"/>
      <c r="F190" s="60"/>
      <c r="G190" s="60"/>
      <c r="H190" s="60"/>
      <c r="I190" s="60"/>
      <c r="J190" s="163" t="s">
        <v>527</v>
      </c>
      <c r="K190" s="39"/>
      <c r="L190" s="355"/>
      <c r="M190" s="359"/>
      <c r="N190">
        <f t="shared" si="2"/>
        <v>1</v>
      </c>
    </row>
    <row r="191" spans="1:14" ht="30.95" customHeight="1" x14ac:dyDescent="0.3">
      <c r="A191" s="18">
        <v>15</v>
      </c>
      <c r="B191" s="337"/>
      <c r="C191" s="35" t="s">
        <v>374</v>
      </c>
      <c r="D191" s="12" t="s">
        <v>376</v>
      </c>
      <c r="E191" s="35"/>
      <c r="F191" s="60"/>
      <c r="G191" s="60"/>
      <c r="H191" s="60"/>
      <c r="I191" s="60"/>
      <c r="J191" s="163" t="s">
        <v>527</v>
      </c>
      <c r="K191" s="39"/>
      <c r="L191" s="355"/>
      <c r="M191" s="359"/>
      <c r="N191">
        <f t="shared" si="2"/>
        <v>1</v>
      </c>
    </row>
    <row r="192" spans="1:14" ht="30.95" customHeight="1" x14ac:dyDescent="0.3">
      <c r="A192" s="18">
        <v>16</v>
      </c>
      <c r="B192" s="337"/>
      <c r="C192" s="35" t="s">
        <v>374</v>
      </c>
      <c r="D192" s="12" t="s">
        <v>377</v>
      </c>
      <c r="E192" s="35"/>
      <c r="F192" s="60"/>
      <c r="G192" s="60"/>
      <c r="H192" s="60"/>
      <c r="I192" s="60"/>
      <c r="J192" s="163" t="s">
        <v>527</v>
      </c>
      <c r="K192" s="39"/>
      <c r="L192" s="355"/>
      <c r="M192" s="359"/>
      <c r="N192">
        <f t="shared" si="2"/>
        <v>1</v>
      </c>
    </row>
    <row r="193" spans="1:14" ht="30.95" customHeight="1" x14ac:dyDescent="0.3">
      <c r="A193" s="18">
        <v>17</v>
      </c>
      <c r="B193" s="337"/>
      <c r="C193" s="35" t="s">
        <v>374</v>
      </c>
      <c r="D193" s="12" t="s">
        <v>378</v>
      </c>
      <c r="E193" s="35"/>
      <c r="F193" s="60"/>
      <c r="G193" s="60"/>
      <c r="H193" s="60"/>
      <c r="I193" s="60"/>
      <c r="J193" s="163" t="s">
        <v>527</v>
      </c>
      <c r="K193" s="39"/>
      <c r="L193" s="355"/>
      <c r="M193" s="359"/>
      <c r="N193">
        <f t="shared" si="2"/>
        <v>1</v>
      </c>
    </row>
    <row r="194" spans="1:14" ht="30.95" customHeight="1" x14ac:dyDescent="0.3">
      <c r="A194" s="18">
        <v>18</v>
      </c>
      <c r="B194" s="337"/>
      <c r="C194" s="76"/>
      <c r="D194" s="77"/>
      <c r="E194" s="76"/>
      <c r="F194" s="78"/>
      <c r="G194" s="78"/>
      <c r="H194" s="78"/>
      <c r="I194" s="78"/>
      <c r="J194" s="164" t="s">
        <v>527</v>
      </c>
      <c r="K194" s="78"/>
      <c r="L194" s="355"/>
      <c r="M194" s="359"/>
      <c r="N194">
        <f t="shared" si="2"/>
        <v>0</v>
      </c>
    </row>
    <row r="195" spans="1:14" ht="30.95" customHeight="1" x14ac:dyDescent="0.3">
      <c r="A195" s="18">
        <v>19</v>
      </c>
      <c r="B195" s="337"/>
      <c r="C195" s="35" t="s">
        <v>27</v>
      </c>
      <c r="D195" s="12" t="s">
        <v>109</v>
      </c>
      <c r="E195" s="35"/>
      <c r="F195" s="60"/>
      <c r="G195" s="60"/>
      <c r="H195" s="60"/>
      <c r="I195" s="60"/>
      <c r="J195" s="163" t="s">
        <v>527</v>
      </c>
      <c r="K195" s="39"/>
      <c r="L195" s="355"/>
      <c r="M195" s="359"/>
      <c r="N195">
        <f t="shared" si="2"/>
        <v>1</v>
      </c>
    </row>
    <row r="196" spans="1:14" ht="30.95" customHeight="1" x14ac:dyDescent="0.3">
      <c r="A196" s="18">
        <v>20</v>
      </c>
      <c r="B196" s="337"/>
      <c r="C196" s="35" t="s">
        <v>27</v>
      </c>
      <c r="D196" s="12" t="s">
        <v>109</v>
      </c>
      <c r="E196" s="35"/>
      <c r="F196" s="60"/>
      <c r="G196" s="60"/>
      <c r="H196" s="60"/>
      <c r="I196" s="60"/>
      <c r="J196" s="163" t="s">
        <v>527</v>
      </c>
      <c r="K196" s="39"/>
      <c r="L196" s="355"/>
      <c r="M196" s="359"/>
      <c r="N196">
        <f t="shared" si="2"/>
        <v>1</v>
      </c>
    </row>
    <row r="197" spans="1:14" ht="30.95" customHeight="1" x14ac:dyDescent="0.3">
      <c r="A197" s="18">
        <v>21</v>
      </c>
      <c r="B197" s="337"/>
      <c r="C197" s="76"/>
      <c r="D197" s="77"/>
      <c r="E197" s="76"/>
      <c r="F197" s="78"/>
      <c r="G197" s="78"/>
      <c r="H197" s="78"/>
      <c r="I197" s="78"/>
      <c r="J197" s="164" t="s">
        <v>527</v>
      </c>
      <c r="K197" s="78"/>
      <c r="L197" s="355"/>
      <c r="M197" s="359"/>
      <c r="N197">
        <f t="shared" si="2"/>
        <v>0</v>
      </c>
    </row>
    <row r="198" spans="1:14" ht="30.95" customHeight="1" x14ac:dyDescent="0.3">
      <c r="A198" s="18">
        <v>22</v>
      </c>
      <c r="B198" s="337"/>
      <c r="C198" s="76"/>
      <c r="D198" s="77"/>
      <c r="E198" s="76"/>
      <c r="F198" s="78"/>
      <c r="G198" s="78"/>
      <c r="H198" s="78"/>
      <c r="I198" s="78"/>
      <c r="J198" s="164" t="s">
        <v>527</v>
      </c>
      <c r="K198" s="78"/>
      <c r="L198" s="355"/>
      <c r="M198" s="359"/>
      <c r="N198">
        <f t="shared" si="2"/>
        <v>0</v>
      </c>
    </row>
    <row r="199" spans="1:14" ht="30.95" customHeight="1" x14ac:dyDescent="0.3">
      <c r="A199" s="18">
        <v>23</v>
      </c>
      <c r="B199" s="337"/>
      <c r="C199" s="76"/>
      <c r="D199" s="77"/>
      <c r="E199" s="76"/>
      <c r="F199" s="78"/>
      <c r="G199" s="78"/>
      <c r="H199" s="78"/>
      <c r="I199" s="78"/>
      <c r="J199" s="164" t="s">
        <v>527</v>
      </c>
      <c r="K199" s="78"/>
      <c r="L199" s="355"/>
      <c r="M199" s="359"/>
      <c r="N199">
        <f t="shared" si="2"/>
        <v>0</v>
      </c>
    </row>
    <row r="200" spans="1:14" ht="30.95" customHeight="1" thickBot="1" x14ac:dyDescent="0.35">
      <c r="A200" s="21">
        <v>24</v>
      </c>
      <c r="B200" s="350"/>
      <c r="C200" s="82"/>
      <c r="D200" s="147"/>
      <c r="E200" s="82"/>
      <c r="F200" s="160"/>
      <c r="G200" s="160"/>
      <c r="H200" s="160"/>
      <c r="I200" s="160"/>
      <c r="J200" s="164" t="s">
        <v>527</v>
      </c>
      <c r="K200" s="160"/>
      <c r="L200" s="356"/>
      <c r="M200" s="360"/>
      <c r="N200">
        <f t="shared" si="2"/>
        <v>0</v>
      </c>
    </row>
    <row r="201" spans="1:14" ht="30.95" customHeight="1" x14ac:dyDescent="0.3">
      <c r="A201" s="341" t="s">
        <v>8</v>
      </c>
      <c r="B201" s="342"/>
      <c r="C201" s="324"/>
      <c r="D201" s="110" t="s">
        <v>11</v>
      </c>
      <c r="E201" s="111" t="s">
        <v>12</v>
      </c>
      <c r="F201" s="340" t="s">
        <v>526</v>
      </c>
      <c r="G201" s="338"/>
      <c r="H201" s="338"/>
      <c r="I201" s="338"/>
      <c r="J201" s="338"/>
      <c r="K201" s="332" t="s">
        <v>10</v>
      </c>
      <c r="L201" s="331" t="s">
        <v>32</v>
      </c>
      <c r="M201" s="331" t="s">
        <v>33</v>
      </c>
      <c r="N201">
        <f t="shared" si="2"/>
        <v>0</v>
      </c>
    </row>
    <row r="202" spans="1:14" ht="30.95" customHeight="1" thickBot="1" x14ac:dyDescent="0.35">
      <c r="A202" s="333" t="s">
        <v>9</v>
      </c>
      <c r="B202" s="334"/>
      <c r="C202" s="335"/>
      <c r="D202" s="7" t="s">
        <v>128</v>
      </c>
      <c r="E202" s="112" t="s">
        <v>687</v>
      </c>
      <c r="F202" s="336" t="s">
        <v>5</v>
      </c>
      <c r="G202" s="337"/>
      <c r="H202" s="337" t="s">
        <v>7</v>
      </c>
      <c r="I202" s="337"/>
      <c r="J202" s="338" t="s">
        <v>3</v>
      </c>
      <c r="K202" s="332"/>
      <c r="L202" s="332"/>
      <c r="M202" s="332"/>
      <c r="N202">
        <f t="shared" ref="N202:N254" si="3">IF(C202="",0,1)</f>
        <v>0</v>
      </c>
    </row>
    <row r="203" spans="1:14" ht="30.95" customHeight="1" x14ac:dyDescent="0.3">
      <c r="A203" s="113" t="s">
        <v>0</v>
      </c>
      <c r="B203" s="113" t="s">
        <v>1</v>
      </c>
      <c r="C203" s="113" t="s">
        <v>23</v>
      </c>
      <c r="D203" s="113" t="s">
        <v>2</v>
      </c>
      <c r="E203" s="113" t="s">
        <v>3</v>
      </c>
      <c r="F203" s="131" t="s">
        <v>4</v>
      </c>
      <c r="G203" s="131" t="s">
        <v>506</v>
      </c>
      <c r="H203" s="131" t="s">
        <v>4</v>
      </c>
      <c r="I203" s="131" t="s">
        <v>506</v>
      </c>
      <c r="J203" s="338"/>
      <c r="K203" s="332"/>
      <c r="L203" s="332"/>
      <c r="M203" s="332"/>
      <c r="N203">
        <f t="shared" si="3"/>
        <v>1</v>
      </c>
    </row>
    <row r="204" spans="1:14" ht="30.95" customHeight="1" x14ac:dyDescent="0.3">
      <c r="A204" s="64">
        <v>1</v>
      </c>
      <c r="B204" s="372" t="s">
        <v>111</v>
      </c>
      <c r="C204" s="171" t="s">
        <v>26</v>
      </c>
      <c r="D204" s="161" t="s">
        <v>477</v>
      </c>
      <c r="E204" s="171"/>
      <c r="F204" s="172"/>
      <c r="G204" s="172"/>
      <c r="H204" s="172"/>
      <c r="I204" s="172"/>
      <c r="J204" s="167" t="s">
        <v>527</v>
      </c>
      <c r="K204" s="172"/>
      <c r="L204" s="351"/>
      <c r="M204" s="387"/>
      <c r="N204">
        <f t="shared" si="3"/>
        <v>1</v>
      </c>
    </row>
    <row r="205" spans="1:14" ht="30.95" customHeight="1" x14ac:dyDescent="0.3">
      <c r="A205" s="18">
        <v>2</v>
      </c>
      <c r="B205" s="368"/>
      <c r="C205" s="85" t="s">
        <v>26</v>
      </c>
      <c r="D205" s="86" t="s">
        <v>478</v>
      </c>
      <c r="E205" s="85"/>
      <c r="F205" s="87"/>
      <c r="G205" s="87"/>
      <c r="H205" s="87"/>
      <c r="I205" s="87"/>
      <c r="J205" s="167" t="s">
        <v>527</v>
      </c>
      <c r="K205" s="87"/>
      <c r="L205" s="352"/>
      <c r="M205" s="388"/>
      <c r="N205">
        <f t="shared" si="3"/>
        <v>1</v>
      </c>
    </row>
    <row r="206" spans="1:14" ht="30.95" customHeight="1" x14ac:dyDescent="0.3">
      <c r="A206" s="18">
        <v>3</v>
      </c>
      <c r="B206" s="368"/>
      <c r="C206" s="85" t="s">
        <v>62</v>
      </c>
      <c r="D206" s="86" t="s">
        <v>533</v>
      </c>
      <c r="E206" s="85"/>
      <c r="F206" s="87"/>
      <c r="G206" s="87"/>
      <c r="H206" s="87"/>
      <c r="I206" s="87"/>
      <c r="J206" s="167" t="s">
        <v>527</v>
      </c>
      <c r="K206" s="87"/>
      <c r="L206" s="352"/>
      <c r="M206" s="388"/>
      <c r="N206">
        <f t="shared" si="3"/>
        <v>1</v>
      </c>
    </row>
    <row r="207" spans="1:14" ht="30.95" customHeight="1" x14ac:dyDescent="0.3">
      <c r="A207" s="18">
        <v>4</v>
      </c>
      <c r="B207" s="368"/>
      <c r="C207" s="85" t="s">
        <v>62</v>
      </c>
      <c r="D207" s="86" t="s">
        <v>533</v>
      </c>
      <c r="E207" s="85"/>
      <c r="F207" s="87"/>
      <c r="G207" s="87"/>
      <c r="H207" s="87"/>
      <c r="I207" s="87"/>
      <c r="J207" s="167" t="s">
        <v>527</v>
      </c>
      <c r="K207" s="87"/>
      <c r="L207" s="352"/>
      <c r="M207" s="388"/>
      <c r="N207">
        <f t="shared" si="3"/>
        <v>1</v>
      </c>
    </row>
    <row r="208" spans="1:14" ht="30.95" customHeight="1" x14ac:dyDescent="0.3">
      <c r="A208" s="18">
        <v>5</v>
      </c>
      <c r="B208" s="368"/>
      <c r="C208" s="85" t="s">
        <v>26</v>
      </c>
      <c r="D208" s="86" t="s">
        <v>479</v>
      </c>
      <c r="E208" s="85"/>
      <c r="F208" s="87"/>
      <c r="G208" s="87"/>
      <c r="H208" s="87"/>
      <c r="I208" s="87"/>
      <c r="J208" s="167" t="s">
        <v>527</v>
      </c>
      <c r="K208" s="87"/>
      <c r="L208" s="352"/>
      <c r="M208" s="388"/>
      <c r="N208">
        <f t="shared" si="3"/>
        <v>1</v>
      </c>
    </row>
    <row r="209" spans="1:14" ht="30.95" customHeight="1" x14ac:dyDescent="0.3">
      <c r="A209" s="18">
        <v>6</v>
      </c>
      <c r="B209" s="368"/>
      <c r="C209" s="85" t="s">
        <v>26</v>
      </c>
      <c r="D209" s="86" t="s">
        <v>480</v>
      </c>
      <c r="E209" s="85"/>
      <c r="F209" s="87"/>
      <c r="G209" s="87"/>
      <c r="H209" s="87"/>
      <c r="I209" s="87"/>
      <c r="J209" s="167" t="s">
        <v>527</v>
      </c>
      <c r="K209" s="87"/>
      <c r="L209" s="352"/>
      <c r="M209" s="388"/>
      <c r="N209">
        <f t="shared" si="3"/>
        <v>1</v>
      </c>
    </row>
    <row r="210" spans="1:14" ht="30.95" customHeight="1" x14ac:dyDescent="0.3">
      <c r="A210" s="18">
        <v>7</v>
      </c>
      <c r="B210" s="368"/>
      <c r="C210" s="85" t="s">
        <v>63</v>
      </c>
      <c r="D210" s="86" t="s">
        <v>494</v>
      </c>
      <c r="E210" s="85"/>
      <c r="F210" s="87"/>
      <c r="G210" s="87"/>
      <c r="H210" s="87"/>
      <c r="I210" s="87"/>
      <c r="J210" s="167" t="s">
        <v>527</v>
      </c>
      <c r="K210" s="87"/>
      <c r="L210" s="352"/>
      <c r="M210" s="388"/>
      <c r="N210">
        <f t="shared" si="3"/>
        <v>1</v>
      </c>
    </row>
    <row r="211" spans="1:14" ht="30.95" customHeight="1" x14ac:dyDescent="0.3">
      <c r="A211" s="18">
        <v>8</v>
      </c>
      <c r="B211" s="368"/>
      <c r="C211" s="85" t="s">
        <v>62</v>
      </c>
      <c r="D211" s="86" t="s">
        <v>534</v>
      </c>
      <c r="E211" s="85"/>
      <c r="F211" s="87"/>
      <c r="G211" s="87"/>
      <c r="H211" s="87"/>
      <c r="I211" s="87"/>
      <c r="J211" s="167" t="s">
        <v>527</v>
      </c>
      <c r="K211" s="87"/>
      <c r="L211" s="352"/>
      <c r="M211" s="388"/>
      <c r="N211">
        <f t="shared" si="3"/>
        <v>1</v>
      </c>
    </row>
    <row r="212" spans="1:14" ht="30.95" customHeight="1" x14ac:dyDescent="0.3">
      <c r="A212" s="18">
        <v>9</v>
      </c>
      <c r="B212" s="368"/>
      <c r="C212" s="85" t="s">
        <v>62</v>
      </c>
      <c r="D212" s="86" t="s">
        <v>113</v>
      </c>
      <c r="E212" s="85"/>
      <c r="F212" s="87"/>
      <c r="G212" s="87"/>
      <c r="H212" s="87"/>
      <c r="I212" s="87"/>
      <c r="J212" s="167" t="s">
        <v>527</v>
      </c>
      <c r="K212" s="87"/>
      <c r="L212" s="352"/>
      <c r="M212" s="388"/>
      <c r="N212">
        <f t="shared" si="3"/>
        <v>1</v>
      </c>
    </row>
    <row r="213" spans="1:14" ht="30.95" customHeight="1" x14ac:dyDescent="0.3">
      <c r="A213" s="18">
        <v>10</v>
      </c>
      <c r="B213" s="368"/>
      <c r="C213" s="85" t="s">
        <v>62</v>
      </c>
      <c r="D213" s="86" t="s">
        <v>113</v>
      </c>
      <c r="E213" s="85"/>
      <c r="F213" s="87"/>
      <c r="G213" s="87"/>
      <c r="H213" s="87"/>
      <c r="I213" s="87"/>
      <c r="J213" s="167" t="s">
        <v>527</v>
      </c>
      <c r="K213" s="87"/>
      <c r="L213" s="352"/>
      <c r="M213" s="388"/>
      <c r="N213">
        <f t="shared" si="3"/>
        <v>1</v>
      </c>
    </row>
    <row r="214" spans="1:14" ht="30.95" customHeight="1" x14ac:dyDescent="0.3">
      <c r="A214" s="18">
        <v>11</v>
      </c>
      <c r="B214" s="368"/>
      <c r="C214" s="85" t="s">
        <v>62</v>
      </c>
      <c r="D214" s="86" t="s">
        <v>114</v>
      </c>
      <c r="E214" s="85"/>
      <c r="F214" s="87"/>
      <c r="G214" s="87"/>
      <c r="H214" s="87"/>
      <c r="I214" s="87"/>
      <c r="J214" s="167" t="s">
        <v>527</v>
      </c>
      <c r="K214" s="87"/>
      <c r="L214" s="352"/>
      <c r="M214" s="388"/>
      <c r="N214">
        <f t="shared" si="3"/>
        <v>1</v>
      </c>
    </row>
    <row r="215" spans="1:14" ht="30.95" customHeight="1" x14ac:dyDescent="0.3">
      <c r="A215" s="18">
        <v>12</v>
      </c>
      <c r="B215" s="368"/>
      <c r="C215" s="85" t="s">
        <v>62</v>
      </c>
      <c r="D215" s="86" t="s">
        <v>114</v>
      </c>
      <c r="E215" s="85"/>
      <c r="F215" s="87"/>
      <c r="G215" s="87"/>
      <c r="H215" s="87"/>
      <c r="I215" s="87"/>
      <c r="J215" s="167" t="s">
        <v>527</v>
      </c>
      <c r="K215" s="87"/>
      <c r="L215" s="352"/>
      <c r="M215" s="388"/>
      <c r="N215">
        <f t="shared" si="3"/>
        <v>1</v>
      </c>
    </row>
    <row r="216" spans="1:14" ht="30.95" customHeight="1" x14ac:dyDescent="0.3">
      <c r="A216" s="18">
        <v>13</v>
      </c>
      <c r="B216" s="368"/>
      <c r="C216" s="85" t="s">
        <v>62</v>
      </c>
      <c r="D216" s="86" t="s">
        <v>115</v>
      </c>
      <c r="E216" s="85"/>
      <c r="F216" s="87"/>
      <c r="G216" s="87"/>
      <c r="H216" s="87"/>
      <c r="I216" s="87"/>
      <c r="J216" s="167" t="s">
        <v>527</v>
      </c>
      <c r="K216" s="87"/>
      <c r="L216" s="352"/>
      <c r="M216" s="388"/>
      <c r="N216">
        <f t="shared" si="3"/>
        <v>1</v>
      </c>
    </row>
    <row r="217" spans="1:14" ht="30.95" customHeight="1" x14ac:dyDescent="0.3">
      <c r="A217" s="18">
        <v>14</v>
      </c>
      <c r="B217" s="368"/>
      <c r="C217" s="85" t="s">
        <v>62</v>
      </c>
      <c r="D217" s="86" t="s">
        <v>116</v>
      </c>
      <c r="E217" s="85"/>
      <c r="F217" s="87"/>
      <c r="G217" s="87"/>
      <c r="H217" s="87"/>
      <c r="I217" s="87"/>
      <c r="J217" s="167" t="s">
        <v>527</v>
      </c>
      <c r="K217" s="87"/>
      <c r="L217" s="352"/>
      <c r="M217" s="388"/>
      <c r="N217">
        <f t="shared" si="3"/>
        <v>1</v>
      </c>
    </row>
    <row r="218" spans="1:14" ht="30.95" customHeight="1" x14ac:dyDescent="0.3">
      <c r="A218" s="18">
        <v>15</v>
      </c>
      <c r="B218" s="368"/>
      <c r="C218" s="85" t="s">
        <v>62</v>
      </c>
      <c r="D218" s="86" t="s">
        <v>117</v>
      </c>
      <c r="E218" s="85"/>
      <c r="F218" s="87"/>
      <c r="G218" s="87"/>
      <c r="H218" s="87"/>
      <c r="I218" s="87"/>
      <c r="J218" s="167" t="s">
        <v>527</v>
      </c>
      <c r="K218" s="87"/>
      <c r="L218" s="352"/>
      <c r="M218" s="388"/>
      <c r="N218">
        <f t="shared" si="3"/>
        <v>1</v>
      </c>
    </row>
    <row r="219" spans="1:14" ht="30.95" customHeight="1" x14ac:dyDescent="0.3">
      <c r="A219" s="18">
        <v>16</v>
      </c>
      <c r="B219" s="368"/>
      <c r="C219" s="85" t="s">
        <v>62</v>
      </c>
      <c r="D219" s="86" t="s">
        <v>118</v>
      </c>
      <c r="E219" s="85"/>
      <c r="F219" s="87"/>
      <c r="G219" s="87"/>
      <c r="H219" s="87"/>
      <c r="I219" s="87"/>
      <c r="J219" s="167" t="s">
        <v>527</v>
      </c>
      <c r="K219" s="87"/>
      <c r="L219" s="352"/>
      <c r="M219" s="388"/>
      <c r="N219">
        <f t="shared" si="3"/>
        <v>1</v>
      </c>
    </row>
    <row r="220" spans="1:14" ht="30.95" customHeight="1" x14ac:dyDescent="0.3">
      <c r="A220" s="18">
        <v>17</v>
      </c>
      <c r="B220" s="368"/>
      <c r="C220" s="85" t="s">
        <v>62</v>
      </c>
      <c r="D220" s="86" t="s">
        <v>119</v>
      </c>
      <c r="E220" s="85"/>
      <c r="F220" s="87"/>
      <c r="G220" s="87"/>
      <c r="H220" s="87"/>
      <c r="I220" s="87"/>
      <c r="J220" s="167" t="s">
        <v>527</v>
      </c>
      <c r="K220" s="87"/>
      <c r="L220" s="352"/>
      <c r="M220" s="388"/>
      <c r="N220">
        <f t="shared" si="3"/>
        <v>1</v>
      </c>
    </row>
    <row r="221" spans="1:14" ht="30.95" customHeight="1" x14ac:dyDescent="0.3">
      <c r="A221" s="18">
        <v>18</v>
      </c>
      <c r="B221" s="368"/>
      <c r="C221" s="85" t="s">
        <v>62</v>
      </c>
      <c r="D221" s="86" t="s">
        <v>119</v>
      </c>
      <c r="E221" s="85"/>
      <c r="F221" s="87"/>
      <c r="G221" s="87"/>
      <c r="H221" s="87"/>
      <c r="I221" s="87"/>
      <c r="J221" s="167" t="s">
        <v>527</v>
      </c>
      <c r="K221" s="87"/>
      <c r="L221" s="352"/>
      <c r="M221" s="388"/>
      <c r="N221">
        <f t="shared" si="3"/>
        <v>1</v>
      </c>
    </row>
    <row r="222" spans="1:14" ht="30.95" customHeight="1" x14ac:dyDescent="0.3">
      <c r="A222" s="18">
        <v>19</v>
      </c>
      <c r="B222" s="368"/>
      <c r="C222" s="85" t="s">
        <v>66</v>
      </c>
      <c r="D222" s="86" t="s">
        <v>120</v>
      </c>
      <c r="E222" s="85"/>
      <c r="F222" s="87"/>
      <c r="G222" s="87"/>
      <c r="H222" s="87"/>
      <c r="I222" s="87"/>
      <c r="J222" s="167" t="s">
        <v>527</v>
      </c>
      <c r="K222" s="87"/>
      <c r="L222" s="352"/>
      <c r="M222" s="388"/>
      <c r="N222">
        <f t="shared" si="3"/>
        <v>1</v>
      </c>
    </row>
    <row r="223" spans="1:14" ht="30.95" customHeight="1" x14ac:dyDescent="0.3">
      <c r="A223" s="18">
        <v>20</v>
      </c>
      <c r="B223" s="368"/>
      <c r="C223" s="85" t="s">
        <v>66</v>
      </c>
      <c r="D223" s="86" t="s">
        <v>120</v>
      </c>
      <c r="E223" s="85"/>
      <c r="F223" s="87"/>
      <c r="G223" s="87"/>
      <c r="H223" s="87"/>
      <c r="I223" s="87"/>
      <c r="J223" s="167" t="s">
        <v>527</v>
      </c>
      <c r="K223" s="87"/>
      <c r="L223" s="352"/>
      <c r="M223" s="388"/>
      <c r="N223">
        <f t="shared" si="3"/>
        <v>1</v>
      </c>
    </row>
    <row r="224" spans="1:14" ht="30.95" customHeight="1" x14ac:dyDescent="0.3">
      <c r="A224" s="18">
        <v>21</v>
      </c>
      <c r="B224" s="368"/>
      <c r="C224" s="85" t="s">
        <v>473</v>
      </c>
      <c r="D224" s="86" t="s">
        <v>474</v>
      </c>
      <c r="E224" s="85"/>
      <c r="F224" s="87"/>
      <c r="G224" s="87"/>
      <c r="H224" s="87"/>
      <c r="I224" s="87"/>
      <c r="J224" s="167" t="s">
        <v>527</v>
      </c>
      <c r="K224" s="87"/>
      <c r="L224" s="352"/>
      <c r="M224" s="388"/>
      <c r="N224">
        <f t="shared" si="3"/>
        <v>1</v>
      </c>
    </row>
    <row r="225" spans="1:14" ht="30.95" customHeight="1" x14ac:dyDescent="0.3">
      <c r="A225" s="18">
        <v>22</v>
      </c>
      <c r="B225" s="368"/>
      <c r="C225" s="85" t="s">
        <v>63</v>
      </c>
      <c r="D225" s="86" t="s">
        <v>495</v>
      </c>
      <c r="E225" s="85"/>
      <c r="F225" s="162"/>
      <c r="G225" s="162"/>
      <c r="H225" s="162"/>
      <c r="I225" s="162"/>
      <c r="J225" s="167" t="s">
        <v>527</v>
      </c>
      <c r="K225" s="87"/>
      <c r="L225" s="352"/>
      <c r="M225" s="388"/>
      <c r="N225">
        <f t="shared" si="3"/>
        <v>1</v>
      </c>
    </row>
    <row r="226" spans="1:14" ht="30.95" customHeight="1" x14ac:dyDescent="0.3">
      <c r="A226" s="18">
        <v>23</v>
      </c>
      <c r="B226" s="368"/>
      <c r="C226" s="85" t="s">
        <v>66</v>
      </c>
      <c r="D226" s="86" t="s">
        <v>121</v>
      </c>
      <c r="E226" s="85"/>
      <c r="F226" s="87"/>
      <c r="G226" s="87"/>
      <c r="H226" s="87"/>
      <c r="I226" s="87"/>
      <c r="J226" s="167" t="s">
        <v>527</v>
      </c>
      <c r="K226" s="87"/>
      <c r="L226" s="352"/>
      <c r="M226" s="388"/>
      <c r="N226">
        <f t="shared" si="3"/>
        <v>1</v>
      </c>
    </row>
    <row r="227" spans="1:14" ht="30.95" customHeight="1" thickBot="1" x14ac:dyDescent="0.35">
      <c r="A227" s="21">
        <v>24</v>
      </c>
      <c r="B227" s="373"/>
      <c r="C227" s="169" t="s">
        <v>66</v>
      </c>
      <c r="D227" s="173" t="s">
        <v>121</v>
      </c>
      <c r="E227" s="169"/>
      <c r="F227" s="174"/>
      <c r="G227" s="174"/>
      <c r="H227" s="174"/>
      <c r="I227" s="174"/>
      <c r="J227" s="167" t="s">
        <v>527</v>
      </c>
      <c r="K227" s="174"/>
      <c r="L227" s="390"/>
      <c r="M227" s="389"/>
      <c r="N227">
        <f t="shared" si="3"/>
        <v>1</v>
      </c>
    </row>
    <row r="228" spans="1:14" ht="30.95" customHeight="1" x14ac:dyDescent="0.3">
      <c r="A228" s="341" t="s">
        <v>8</v>
      </c>
      <c r="B228" s="342"/>
      <c r="C228" s="324"/>
      <c r="D228" s="110" t="s">
        <v>11</v>
      </c>
      <c r="E228" s="111" t="s">
        <v>12</v>
      </c>
      <c r="F228" s="340" t="s">
        <v>526</v>
      </c>
      <c r="G228" s="338"/>
      <c r="H228" s="338"/>
      <c r="I228" s="338"/>
      <c r="J228" s="338"/>
      <c r="K228" s="332" t="s">
        <v>10</v>
      </c>
      <c r="L228" s="331" t="s">
        <v>32</v>
      </c>
      <c r="M228" s="331" t="s">
        <v>33</v>
      </c>
      <c r="N228">
        <f t="shared" si="3"/>
        <v>0</v>
      </c>
    </row>
    <row r="229" spans="1:14" ht="30.95" customHeight="1" thickBot="1" x14ac:dyDescent="0.35">
      <c r="A229" s="333" t="s">
        <v>9</v>
      </c>
      <c r="B229" s="334"/>
      <c r="C229" s="335"/>
      <c r="D229" s="7" t="s">
        <v>128</v>
      </c>
      <c r="E229" s="112" t="s">
        <v>687</v>
      </c>
      <c r="F229" s="336" t="s">
        <v>5</v>
      </c>
      <c r="G229" s="337"/>
      <c r="H229" s="337" t="s">
        <v>7</v>
      </c>
      <c r="I229" s="337"/>
      <c r="J229" s="338" t="s">
        <v>3</v>
      </c>
      <c r="K229" s="332"/>
      <c r="L229" s="332"/>
      <c r="M229" s="332"/>
      <c r="N229">
        <f t="shared" si="3"/>
        <v>0</v>
      </c>
    </row>
    <row r="230" spans="1:14" ht="30.95" customHeight="1" x14ac:dyDescent="0.3">
      <c r="A230" s="113" t="s">
        <v>0</v>
      </c>
      <c r="B230" s="113" t="s">
        <v>1</v>
      </c>
      <c r="C230" s="113" t="s">
        <v>23</v>
      </c>
      <c r="D230" s="113" t="s">
        <v>2</v>
      </c>
      <c r="E230" s="113" t="s">
        <v>3</v>
      </c>
      <c r="F230" s="131" t="s">
        <v>4</v>
      </c>
      <c r="G230" s="131" t="s">
        <v>506</v>
      </c>
      <c r="H230" s="131" t="s">
        <v>4</v>
      </c>
      <c r="I230" s="131" t="s">
        <v>506</v>
      </c>
      <c r="J230" s="338"/>
      <c r="K230" s="332"/>
      <c r="L230" s="332"/>
      <c r="M230" s="332"/>
      <c r="N230">
        <f t="shared" si="3"/>
        <v>1</v>
      </c>
    </row>
    <row r="231" spans="1:14" ht="30.95" customHeight="1" x14ac:dyDescent="0.3">
      <c r="A231" s="64">
        <v>1</v>
      </c>
      <c r="B231" s="345" t="s">
        <v>112</v>
      </c>
      <c r="C231" s="171" t="s">
        <v>62</v>
      </c>
      <c r="D231" s="161" t="s">
        <v>122</v>
      </c>
      <c r="E231" s="171"/>
      <c r="F231" s="172"/>
      <c r="G231" s="172"/>
      <c r="H231" s="172"/>
      <c r="I231" s="172"/>
      <c r="J231" s="167" t="s">
        <v>527</v>
      </c>
      <c r="K231" s="172"/>
      <c r="L231" s="351"/>
      <c r="M231" s="387"/>
      <c r="N231">
        <f t="shared" si="3"/>
        <v>1</v>
      </c>
    </row>
    <row r="232" spans="1:14" ht="30.95" customHeight="1" x14ac:dyDescent="0.3">
      <c r="A232" s="18">
        <v>2</v>
      </c>
      <c r="B232" s="337"/>
      <c r="C232" s="85" t="s">
        <v>62</v>
      </c>
      <c r="D232" s="86" t="s">
        <v>122</v>
      </c>
      <c r="E232" s="85"/>
      <c r="F232" s="87"/>
      <c r="G232" s="87"/>
      <c r="H232" s="87"/>
      <c r="I232" s="87"/>
      <c r="J232" s="167" t="s">
        <v>527</v>
      </c>
      <c r="K232" s="87"/>
      <c r="L232" s="352"/>
      <c r="M232" s="388"/>
      <c r="N232">
        <f t="shared" si="3"/>
        <v>1</v>
      </c>
    </row>
    <row r="233" spans="1:14" ht="30.95" customHeight="1" x14ac:dyDescent="0.3">
      <c r="A233" s="18">
        <v>3</v>
      </c>
      <c r="B233" s="337"/>
      <c r="C233" s="85" t="s">
        <v>62</v>
      </c>
      <c r="D233" s="86" t="s">
        <v>123</v>
      </c>
      <c r="E233" s="85"/>
      <c r="F233" s="87"/>
      <c r="G233" s="87"/>
      <c r="H233" s="87"/>
      <c r="I233" s="87"/>
      <c r="J233" s="167" t="s">
        <v>527</v>
      </c>
      <c r="K233" s="87"/>
      <c r="L233" s="352"/>
      <c r="M233" s="388"/>
      <c r="N233">
        <f t="shared" si="3"/>
        <v>1</v>
      </c>
    </row>
    <row r="234" spans="1:14" ht="30.95" customHeight="1" x14ac:dyDescent="0.3">
      <c r="A234" s="18">
        <v>4</v>
      </c>
      <c r="B234" s="337"/>
      <c r="C234" s="85" t="s">
        <v>62</v>
      </c>
      <c r="D234" s="86" t="s">
        <v>373</v>
      </c>
      <c r="E234" s="85"/>
      <c r="F234" s="87"/>
      <c r="G234" s="87"/>
      <c r="H234" s="87"/>
      <c r="I234" s="87"/>
      <c r="J234" s="167" t="s">
        <v>527</v>
      </c>
      <c r="K234" s="87"/>
      <c r="L234" s="352"/>
      <c r="M234" s="388"/>
      <c r="N234">
        <f t="shared" si="3"/>
        <v>1</v>
      </c>
    </row>
    <row r="235" spans="1:14" ht="30.95" customHeight="1" x14ac:dyDescent="0.3">
      <c r="A235" s="18">
        <v>5</v>
      </c>
      <c r="B235" s="337"/>
      <c r="C235" s="85" t="s">
        <v>63</v>
      </c>
      <c r="D235" s="86" t="s">
        <v>124</v>
      </c>
      <c r="E235" s="85"/>
      <c r="F235" s="87"/>
      <c r="G235" s="87"/>
      <c r="H235" s="87"/>
      <c r="I235" s="87"/>
      <c r="J235" s="167" t="s">
        <v>527</v>
      </c>
      <c r="K235" s="87"/>
      <c r="L235" s="352"/>
      <c r="M235" s="388"/>
      <c r="N235">
        <f t="shared" si="3"/>
        <v>1</v>
      </c>
    </row>
    <row r="236" spans="1:14" ht="30.95" customHeight="1" x14ac:dyDescent="0.3">
      <c r="A236" s="18">
        <v>6</v>
      </c>
      <c r="B236" s="337"/>
      <c r="C236" s="85" t="s">
        <v>62</v>
      </c>
      <c r="D236" s="86" t="s">
        <v>379</v>
      </c>
      <c r="E236" s="85"/>
      <c r="F236" s="87"/>
      <c r="G236" s="87"/>
      <c r="H236" s="87"/>
      <c r="I236" s="87"/>
      <c r="J236" s="167" t="s">
        <v>527</v>
      </c>
      <c r="K236" s="87"/>
      <c r="L236" s="352"/>
      <c r="M236" s="388"/>
      <c r="N236">
        <f t="shared" si="3"/>
        <v>1</v>
      </c>
    </row>
    <row r="237" spans="1:14" ht="30.95" customHeight="1" x14ac:dyDescent="0.3">
      <c r="A237" s="18">
        <v>7</v>
      </c>
      <c r="B237" s="337"/>
      <c r="C237" s="85" t="s">
        <v>62</v>
      </c>
      <c r="D237" s="86" t="s">
        <v>379</v>
      </c>
      <c r="E237" s="85"/>
      <c r="F237" s="87"/>
      <c r="G237" s="87"/>
      <c r="H237" s="87"/>
      <c r="I237" s="87"/>
      <c r="J237" s="167" t="s">
        <v>527</v>
      </c>
      <c r="K237" s="87"/>
      <c r="L237" s="352"/>
      <c r="M237" s="388"/>
      <c r="N237">
        <f t="shared" si="3"/>
        <v>1</v>
      </c>
    </row>
    <row r="238" spans="1:14" ht="30.95" customHeight="1" x14ac:dyDescent="0.3">
      <c r="A238" s="18">
        <v>8</v>
      </c>
      <c r="B238" s="337"/>
      <c r="C238" s="85" t="s">
        <v>25</v>
      </c>
      <c r="D238" s="86" t="s">
        <v>370</v>
      </c>
      <c r="E238" s="85"/>
      <c r="F238" s="87"/>
      <c r="G238" s="87"/>
      <c r="H238" s="87"/>
      <c r="I238" s="87"/>
      <c r="J238" s="167" t="s">
        <v>527</v>
      </c>
      <c r="K238" s="87"/>
      <c r="L238" s="352"/>
      <c r="M238" s="388"/>
      <c r="N238">
        <f t="shared" si="3"/>
        <v>1</v>
      </c>
    </row>
    <row r="239" spans="1:14" ht="30.95" customHeight="1" x14ac:dyDescent="0.3">
      <c r="A239" s="18">
        <v>9</v>
      </c>
      <c r="B239" s="337"/>
      <c r="C239" s="85" t="s">
        <v>25</v>
      </c>
      <c r="D239" s="86" t="s">
        <v>370</v>
      </c>
      <c r="E239" s="85"/>
      <c r="F239" s="87"/>
      <c r="G239" s="87"/>
      <c r="H239" s="87"/>
      <c r="I239" s="87"/>
      <c r="J239" s="167" t="s">
        <v>527</v>
      </c>
      <c r="K239" s="87"/>
      <c r="L239" s="352"/>
      <c r="M239" s="388"/>
      <c r="N239">
        <f t="shared" si="3"/>
        <v>1</v>
      </c>
    </row>
    <row r="240" spans="1:14" ht="30.95" customHeight="1" x14ac:dyDescent="0.3">
      <c r="A240" s="18">
        <v>10</v>
      </c>
      <c r="B240" s="337"/>
      <c r="C240" s="85" t="s">
        <v>62</v>
      </c>
      <c r="D240" s="86" t="s">
        <v>380</v>
      </c>
      <c r="E240" s="85"/>
      <c r="F240" s="87"/>
      <c r="G240" s="87"/>
      <c r="H240" s="87"/>
      <c r="I240" s="87"/>
      <c r="J240" s="167" t="s">
        <v>527</v>
      </c>
      <c r="K240" s="87"/>
      <c r="L240" s="352"/>
      <c r="M240" s="388"/>
      <c r="N240">
        <f t="shared" si="3"/>
        <v>1</v>
      </c>
    </row>
    <row r="241" spans="1:14" ht="30.95" customHeight="1" x14ac:dyDescent="0.3">
      <c r="A241" s="18">
        <v>11</v>
      </c>
      <c r="B241" s="337"/>
      <c r="C241" s="85" t="s">
        <v>62</v>
      </c>
      <c r="D241" s="86" t="s">
        <v>381</v>
      </c>
      <c r="E241" s="85"/>
      <c r="F241" s="87"/>
      <c r="G241" s="87"/>
      <c r="H241" s="87"/>
      <c r="I241" s="87"/>
      <c r="J241" s="167" t="s">
        <v>527</v>
      </c>
      <c r="K241" s="87"/>
      <c r="L241" s="352"/>
      <c r="M241" s="388"/>
      <c r="N241">
        <f t="shared" si="3"/>
        <v>1</v>
      </c>
    </row>
    <row r="242" spans="1:14" ht="30.95" customHeight="1" x14ac:dyDescent="0.3">
      <c r="A242" s="18">
        <v>12</v>
      </c>
      <c r="B242" s="337"/>
      <c r="C242" s="85" t="s">
        <v>62</v>
      </c>
      <c r="D242" s="86" t="s">
        <v>381</v>
      </c>
      <c r="E242" s="85"/>
      <c r="F242" s="87"/>
      <c r="G242" s="87"/>
      <c r="H242" s="87"/>
      <c r="I242" s="87"/>
      <c r="J242" s="167" t="s">
        <v>527</v>
      </c>
      <c r="K242" s="87"/>
      <c r="L242" s="352"/>
      <c r="M242" s="388"/>
      <c r="N242">
        <f t="shared" si="3"/>
        <v>1</v>
      </c>
    </row>
    <row r="243" spans="1:14" ht="30.95" customHeight="1" x14ac:dyDescent="0.3">
      <c r="A243" s="18">
        <v>13</v>
      </c>
      <c r="B243" s="337"/>
      <c r="C243" s="85" t="s">
        <v>110</v>
      </c>
      <c r="D243" s="86" t="s">
        <v>108</v>
      </c>
      <c r="E243" s="85"/>
      <c r="F243" s="87"/>
      <c r="G243" s="87"/>
      <c r="H243" s="87"/>
      <c r="I243" s="87"/>
      <c r="J243" s="167" t="s">
        <v>527</v>
      </c>
      <c r="K243" s="87"/>
      <c r="L243" s="352"/>
      <c r="M243" s="388"/>
      <c r="N243">
        <f t="shared" si="3"/>
        <v>1</v>
      </c>
    </row>
    <row r="244" spans="1:14" ht="30.95" customHeight="1" x14ac:dyDescent="0.3">
      <c r="A244" s="18">
        <v>14</v>
      </c>
      <c r="B244" s="337"/>
      <c r="C244" s="85" t="s">
        <v>63</v>
      </c>
      <c r="D244" s="86" t="s">
        <v>365</v>
      </c>
      <c r="E244" s="85"/>
      <c r="F244" s="87"/>
      <c r="G244" s="87"/>
      <c r="H244" s="87"/>
      <c r="I244" s="87"/>
      <c r="J244" s="167" t="s">
        <v>527</v>
      </c>
      <c r="K244" s="87"/>
      <c r="L244" s="352"/>
      <c r="M244" s="388"/>
      <c r="N244">
        <f t="shared" si="3"/>
        <v>1</v>
      </c>
    </row>
    <row r="245" spans="1:14" ht="30.95" customHeight="1" x14ac:dyDescent="0.3">
      <c r="A245" s="18">
        <v>15</v>
      </c>
      <c r="B245" s="337"/>
      <c r="C245" s="85" t="s">
        <v>63</v>
      </c>
      <c r="D245" s="86" t="s">
        <v>366</v>
      </c>
      <c r="E245" s="85"/>
      <c r="F245" s="87"/>
      <c r="G245" s="87"/>
      <c r="H245" s="87"/>
      <c r="I245" s="87"/>
      <c r="J245" s="167" t="s">
        <v>527</v>
      </c>
      <c r="K245" s="87"/>
      <c r="L245" s="352"/>
      <c r="M245" s="388"/>
      <c r="N245">
        <f t="shared" si="3"/>
        <v>1</v>
      </c>
    </row>
    <row r="246" spans="1:14" ht="30.95" customHeight="1" x14ac:dyDescent="0.3">
      <c r="A246" s="18">
        <v>16</v>
      </c>
      <c r="B246" s="337"/>
      <c r="C246" s="85" t="s">
        <v>63</v>
      </c>
      <c r="D246" s="86" t="s">
        <v>367</v>
      </c>
      <c r="E246" s="85"/>
      <c r="F246" s="87"/>
      <c r="G246" s="87"/>
      <c r="H246" s="87"/>
      <c r="I246" s="87"/>
      <c r="J246" s="167" t="s">
        <v>527</v>
      </c>
      <c r="K246" s="87"/>
      <c r="L246" s="352"/>
      <c r="M246" s="388"/>
      <c r="N246">
        <f t="shared" si="3"/>
        <v>1</v>
      </c>
    </row>
    <row r="247" spans="1:14" ht="30.95" customHeight="1" x14ac:dyDescent="0.3">
      <c r="A247" s="18">
        <v>17</v>
      </c>
      <c r="B247" s="337"/>
      <c r="C247" s="85" t="s">
        <v>63</v>
      </c>
      <c r="D247" s="86" t="s">
        <v>368</v>
      </c>
      <c r="E247" s="85"/>
      <c r="F247" s="87"/>
      <c r="G247" s="87"/>
      <c r="H247" s="87"/>
      <c r="I247" s="87"/>
      <c r="J247" s="167" t="s">
        <v>527</v>
      </c>
      <c r="K247" s="87"/>
      <c r="L247" s="352"/>
      <c r="M247" s="388"/>
      <c r="N247">
        <f t="shared" si="3"/>
        <v>1</v>
      </c>
    </row>
    <row r="248" spans="1:14" ht="30.95" customHeight="1" x14ac:dyDescent="0.3">
      <c r="A248" s="18">
        <v>18</v>
      </c>
      <c r="B248" s="337"/>
      <c r="C248" s="85" t="s">
        <v>63</v>
      </c>
      <c r="D248" s="86" t="s">
        <v>369</v>
      </c>
      <c r="E248" s="85"/>
      <c r="F248" s="87"/>
      <c r="G248" s="87"/>
      <c r="H248" s="87"/>
      <c r="I248" s="87"/>
      <c r="J248" s="167" t="s">
        <v>527</v>
      </c>
      <c r="K248" s="87"/>
      <c r="L248" s="352"/>
      <c r="M248" s="388"/>
      <c r="N248">
        <f t="shared" si="3"/>
        <v>1</v>
      </c>
    </row>
    <row r="249" spans="1:14" ht="30.95" customHeight="1" x14ac:dyDescent="0.3">
      <c r="A249" s="18">
        <v>19</v>
      </c>
      <c r="B249" s="337"/>
      <c r="C249" s="85" t="s">
        <v>63</v>
      </c>
      <c r="D249" s="86" t="s">
        <v>535</v>
      </c>
      <c r="E249" s="85"/>
      <c r="F249" s="87"/>
      <c r="G249" s="87"/>
      <c r="H249" s="87"/>
      <c r="I249" s="87"/>
      <c r="J249" s="167" t="s">
        <v>527</v>
      </c>
      <c r="K249" s="87"/>
      <c r="L249" s="352"/>
      <c r="M249" s="388"/>
      <c r="N249">
        <f t="shared" si="3"/>
        <v>1</v>
      </c>
    </row>
    <row r="250" spans="1:14" ht="30.95" customHeight="1" x14ac:dyDescent="0.3">
      <c r="A250" s="18">
        <v>20</v>
      </c>
      <c r="B250" s="337"/>
      <c r="C250" s="85" t="s">
        <v>63</v>
      </c>
      <c r="D250" s="86" t="s">
        <v>535</v>
      </c>
      <c r="E250" s="85"/>
      <c r="F250" s="87"/>
      <c r="G250" s="87"/>
      <c r="H250" s="87"/>
      <c r="I250" s="87"/>
      <c r="J250" s="167" t="s">
        <v>527</v>
      </c>
      <c r="K250" s="87"/>
      <c r="L250" s="352"/>
      <c r="M250" s="388"/>
      <c r="N250">
        <f t="shared" si="3"/>
        <v>1</v>
      </c>
    </row>
    <row r="251" spans="1:14" ht="30.95" customHeight="1" x14ac:dyDescent="0.3">
      <c r="A251" s="18">
        <v>21</v>
      </c>
      <c r="B251" s="337"/>
      <c r="C251" s="85" t="s">
        <v>63</v>
      </c>
      <c r="D251" s="86" t="s">
        <v>536</v>
      </c>
      <c r="E251" s="85"/>
      <c r="F251" s="87"/>
      <c r="G251" s="87"/>
      <c r="H251" s="87"/>
      <c r="I251" s="87"/>
      <c r="J251" s="167" t="s">
        <v>527</v>
      </c>
      <c r="K251" s="87"/>
      <c r="L251" s="352"/>
      <c r="M251" s="388"/>
      <c r="N251">
        <f t="shared" si="3"/>
        <v>1</v>
      </c>
    </row>
    <row r="252" spans="1:14" ht="30.95" customHeight="1" x14ac:dyDescent="0.3">
      <c r="A252" s="18">
        <v>22</v>
      </c>
      <c r="B252" s="337"/>
      <c r="C252" s="85" t="s">
        <v>63</v>
      </c>
      <c r="D252" s="86" t="s">
        <v>536</v>
      </c>
      <c r="E252" s="85"/>
      <c r="F252" s="87"/>
      <c r="G252" s="87"/>
      <c r="H252" s="87"/>
      <c r="I252" s="87"/>
      <c r="J252" s="167" t="s">
        <v>527</v>
      </c>
      <c r="K252" s="87"/>
      <c r="L252" s="352"/>
      <c r="M252" s="388"/>
      <c r="N252">
        <f t="shared" si="3"/>
        <v>1</v>
      </c>
    </row>
    <row r="253" spans="1:14" ht="30.95" customHeight="1" x14ac:dyDescent="0.3">
      <c r="A253" s="18">
        <v>23</v>
      </c>
      <c r="B253" s="337"/>
      <c r="C253" s="85" t="s">
        <v>62</v>
      </c>
      <c r="D253" s="86" t="s">
        <v>537</v>
      </c>
      <c r="E253" s="85"/>
      <c r="F253" s="87"/>
      <c r="G253" s="87"/>
      <c r="H253" s="87"/>
      <c r="I253" s="87"/>
      <c r="J253" s="167" t="s">
        <v>527</v>
      </c>
      <c r="K253" s="87"/>
      <c r="L253" s="352"/>
      <c r="M253" s="388"/>
      <c r="N253">
        <f t="shared" si="3"/>
        <v>1</v>
      </c>
    </row>
    <row r="254" spans="1:14" ht="30.95" customHeight="1" thickBot="1" x14ac:dyDescent="0.35">
      <c r="A254" s="21">
        <v>24</v>
      </c>
      <c r="B254" s="350"/>
      <c r="C254" s="85" t="s">
        <v>62</v>
      </c>
      <c r="D254" s="86" t="s">
        <v>537</v>
      </c>
      <c r="E254" s="169"/>
      <c r="F254" s="174"/>
      <c r="G254" s="174"/>
      <c r="H254" s="174"/>
      <c r="I254" s="174"/>
      <c r="J254" s="167" t="s">
        <v>527</v>
      </c>
      <c r="K254" s="174"/>
      <c r="L254" s="390"/>
      <c r="M254" s="389"/>
      <c r="N254">
        <f t="shared" si="3"/>
        <v>1</v>
      </c>
    </row>
    <row r="255" spans="1:14" ht="32.1" customHeight="1" x14ac:dyDescent="0.3"/>
    <row r="256" spans="1:14" ht="32.1" customHeight="1" x14ac:dyDescent="0.3"/>
    <row r="257" ht="32.1" customHeight="1" x14ac:dyDescent="0.3"/>
    <row r="258" ht="32.1" customHeight="1" x14ac:dyDescent="0.3"/>
    <row r="259" ht="32.1" customHeight="1" x14ac:dyDescent="0.3"/>
    <row r="260" ht="32.1" customHeight="1" x14ac:dyDescent="0.3"/>
    <row r="261" ht="32.1" customHeight="1" x14ac:dyDescent="0.3"/>
    <row r="262" ht="32.1" customHeight="1" x14ac:dyDescent="0.3"/>
    <row r="263" ht="32.1" customHeight="1" x14ac:dyDescent="0.3"/>
    <row r="264" ht="32.1" customHeight="1" x14ac:dyDescent="0.3"/>
    <row r="265" ht="32.1" customHeight="1" x14ac:dyDescent="0.3"/>
    <row r="266" ht="32.1" customHeight="1" x14ac:dyDescent="0.3"/>
    <row r="267" ht="32.1" customHeight="1" x14ac:dyDescent="0.3"/>
    <row r="268" ht="32.1" customHeight="1" x14ac:dyDescent="0.3"/>
    <row r="269" ht="32.1" customHeight="1" x14ac:dyDescent="0.3"/>
    <row r="270" ht="32.1" customHeight="1" x14ac:dyDescent="0.3"/>
    <row r="271" ht="32.1" customHeight="1" x14ac:dyDescent="0.3"/>
    <row r="272" ht="32.1" customHeight="1" x14ac:dyDescent="0.3"/>
    <row r="273" ht="32.1" customHeight="1" x14ac:dyDescent="0.3"/>
    <row r="274" ht="32.1" customHeight="1" x14ac:dyDescent="0.3"/>
    <row r="275" ht="32.1" customHeight="1" x14ac:dyDescent="0.3"/>
    <row r="276" ht="32.1" customHeight="1" x14ac:dyDescent="0.3"/>
    <row r="277" ht="32.1" customHeight="1" x14ac:dyDescent="0.3"/>
    <row r="278" ht="32.1" customHeight="1" x14ac:dyDescent="0.3"/>
    <row r="279" ht="32.1" customHeight="1" x14ac:dyDescent="0.3"/>
    <row r="280" ht="32.1" customHeight="1" x14ac:dyDescent="0.3"/>
    <row r="281" ht="32.1" customHeight="1" x14ac:dyDescent="0.3"/>
    <row r="282" ht="32.1" customHeight="1" x14ac:dyDescent="0.3"/>
    <row r="283" ht="32.1" customHeight="1" x14ac:dyDescent="0.3"/>
    <row r="284" ht="32.1" customHeight="1" x14ac:dyDescent="0.3"/>
    <row r="285" ht="32.1" customHeight="1" x14ac:dyDescent="0.3"/>
    <row r="286" ht="32.1" customHeight="1" x14ac:dyDescent="0.3"/>
    <row r="287" ht="32.1" customHeight="1" x14ac:dyDescent="0.3"/>
    <row r="288" ht="32.1" customHeight="1" x14ac:dyDescent="0.3"/>
    <row r="289" ht="32.1" customHeight="1" x14ac:dyDescent="0.3"/>
    <row r="290" ht="32.1" customHeight="1" x14ac:dyDescent="0.3"/>
    <row r="291" ht="32.1" customHeight="1" x14ac:dyDescent="0.3"/>
    <row r="292" ht="32.1" customHeight="1" x14ac:dyDescent="0.3"/>
    <row r="293" ht="32.1" customHeight="1" x14ac:dyDescent="0.3"/>
    <row r="294" ht="32.1" customHeight="1" x14ac:dyDescent="0.3"/>
    <row r="295" ht="32.1" customHeight="1" x14ac:dyDescent="0.3"/>
    <row r="296" ht="32.1" customHeight="1" x14ac:dyDescent="0.3"/>
    <row r="297" ht="32.1" customHeight="1" x14ac:dyDescent="0.3"/>
    <row r="298" ht="32.1" customHeight="1" x14ac:dyDescent="0.3"/>
    <row r="299" ht="32.1" customHeight="1" x14ac:dyDescent="0.3"/>
    <row r="300" ht="32.1" customHeight="1" x14ac:dyDescent="0.3"/>
    <row r="301" ht="32.1" customHeight="1" x14ac:dyDescent="0.3"/>
    <row r="302" ht="32.1" customHeight="1" x14ac:dyDescent="0.3"/>
    <row r="303" ht="32.1" customHeight="1" x14ac:dyDescent="0.3"/>
    <row r="304" ht="32.1" customHeight="1" x14ac:dyDescent="0.3"/>
    <row r="305" ht="32.1" customHeight="1" x14ac:dyDescent="0.3"/>
    <row r="306" ht="32.1" customHeight="1" x14ac:dyDescent="0.3"/>
    <row r="307" ht="32.1" customHeight="1" x14ac:dyDescent="0.3"/>
    <row r="308" ht="32.1" customHeight="1" x14ac:dyDescent="0.3"/>
    <row r="309" ht="32.1" customHeight="1" x14ac:dyDescent="0.3"/>
    <row r="310" ht="32.1" customHeight="1" x14ac:dyDescent="0.3"/>
    <row r="311" ht="32.1" customHeight="1" x14ac:dyDescent="0.3"/>
    <row r="312" ht="32.1" customHeight="1" x14ac:dyDescent="0.3"/>
    <row r="313" ht="32.1" customHeight="1" x14ac:dyDescent="0.3"/>
    <row r="314" ht="32.1" customHeight="1" x14ac:dyDescent="0.3"/>
    <row r="315" ht="32.1" customHeight="1" x14ac:dyDescent="0.3"/>
    <row r="316" ht="32.1" customHeight="1" x14ac:dyDescent="0.3"/>
    <row r="317" ht="32.1" customHeight="1" x14ac:dyDescent="0.3"/>
    <row r="318" ht="32.1" customHeight="1" x14ac:dyDescent="0.3"/>
    <row r="319" ht="32.1" customHeight="1" x14ac:dyDescent="0.3"/>
    <row r="320" ht="32.1" customHeight="1" x14ac:dyDescent="0.3"/>
    <row r="321" ht="32.1" customHeight="1" x14ac:dyDescent="0.3"/>
    <row r="322" ht="32.1" customHeight="1" x14ac:dyDescent="0.3"/>
    <row r="323" ht="32.1" customHeight="1" x14ac:dyDescent="0.3"/>
    <row r="324" ht="32.1" customHeight="1" x14ac:dyDescent="0.3"/>
    <row r="325" ht="32.1" customHeight="1" x14ac:dyDescent="0.3"/>
    <row r="326" ht="32.1" customHeight="1" x14ac:dyDescent="0.3"/>
    <row r="327" ht="32.1" customHeight="1" x14ac:dyDescent="0.3"/>
    <row r="328" ht="32.1" customHeight="1" x14ac:dyDescent="0.3"/>
    <row r="329" ht="32.1" customHeight="1" x14ac:dyDescent="0.3"/>
    <row r="330" ht="32.1" customHeight="1" x14ac:dyDescent="0.3"/>
    <row r="331" ht="32.1" customHeight="1" x14ac:dyDescent="0.3"/>
    <row r="332" ht="32.1" customHeight="1" x14ac:dyDescent="0.3"/>
    <row r="333" ht="32.1" customHeight="1" x14ac:dyDescent="0.3"/>
    <row r="334" ht="32.1" customHeight="1" x14ac:dyDescent="0.3"/>
    <row r="335" ht="32.1" customHeight="1" x14ac:dyDescent="0.3"/>
    <row r="336" ht="32.1" customHeight="1" x14ac:dyDescent="0.3"/>
    <row r="337" ht="32.1" customHeight="1" x14ac:dyDescent="0.3"/>
  </sheetData>
  <mergeCells count="111">
    <mergeCell ref="L177:L200"/>
    <mergeCell ref="M177:M200"/>
    <mergeCell ref="L204:L227"/>
    <mergeCell ref="M204:M227"/>
    <mergeCell ref="L231:L254"/>
    <mergeCell ref="M231:M254"/>
    <mergeCell ref="L114:L137"/>
    <mergeCell ref="M114:M137"/>
    <mergeCell ref="L138:L161"/>
    <mergeCell ref="M138:M161"/>
    <mergeCell ref="L162:L173"/>
    <mergeCell ref="M162:M173"/>
    <mergeCell ref="M60:M71"/>
    <mergeCell ref="L72:L83"/>
    <mergeCell ref="M72:M83"/>
    <mergeCell ref="L87:L110"/>
    <mergeCell ref="M87:M110"/>
    <mergeCell ref="M5:M28"/>
    <mergeCell ref="L5:L28"/>
    <mergeCell ref="K5:K28"/>
    <mergeCell ref="M33:M56"/>
    <mergeCell ref="M57:M59"/>
    <mergeCell ref="M84:M86"/>
    <mergeCell ref="L57:L59"/>
    <mergeCell ref="L84:L86"/>
    <mergeCell ref="L60:L71"/>
    <mergeCell ref="A84:C84"/>
    <mergeCell ref="F84:J84"/>
    <mergeCell ref="K84:K86"/>
    <mergeCell ref="A58:C58"/>
    <mergeCell ref="F58:G58"/>
    <mergeCell ref="H58:I58"/>
    <mergeCell ref="J58:J59"/>
    <mergeCell ref="A85:C85"/>
    <mergeCell ref="F85:G85"/>
    <mergeCell ref="H85:I85"/>
    <mergeCell ref="J85:J86"/>
    <mergeCell ref="F174:J174"/>
    <mergeCell ref="M1:M4"/>
    <mergeCell ref="L1:L4"/>
    <mergeCell ref="K1:K4"/>
    <mergeCell ref="F2:G2"/>
    <mergeCell ref="H2:I2"/>
    <mergeCell ref="A1:C1"/>
    <mergeCell ref="B33:B56"/>
    <mergeCell ref="B5:B28"/>
    <mergeCell ref="J2:J4"/>
    <mergeCell ref="F1:J1"/>
    <mergeCell ref="A2:C3"/>
    <mergeCell ref="D2:D3"/>
    <mergeCell ref="E2:E3"/>
    <mergeCell ref="A29:C29"/>
    <mergeCell ref="F29:J29"/>
    <mergeCell ref="B87:B110"/>
    <mergeCell ref="B60:B71"/>
    <mergeCell ref="B72:B83"/>
    <mergeCell ref="L33:L56"/>
    <mergeCell ref="K33:K56"/>
    <mergeCell ref="A57:C57"/>
    <mergeCell ref="F57:J57"/>
    <mergeCell ref="K57:K59"/>
    <mergeCell ref="A111:C111"/>
    <mergeCell ref="B162:B173"/>
    <mergeCell ref="B177:B200"/>
    <mergeCell ref="B204:B227"/>
    <mergeCell ref="B231:B254"/>
    <mergeCell ref="B114:B137"/>
    <mergeCell ref="B138:B161"/>
    <mergeCell ref="A228:C228"/>
    <mergeCell ref="A201:C201"/>
    <mergeCell ref="A174:C174"/>
    <mergeCell ref="K228:K230"/>
    <mergeCell ref="L228:L230"/>
    <mergeCell ref="M228:M230"/>
    <mergeCell ref="A229:C229"/>
    <mergeCell ref="F229:G229"/>
    <mergeCell ref="H229:I229"/>
    <mergeCell ref="J229:J230"/>
    <mergeCell ref="F201:J201"/>
    <mergeCell ref="K201:K203"/>
    <mergeCell ref="L201:L203"/>
    <mergeCell ref="M201:M203"/>
    <mergeCell ref="A202:C202"/>
    <mergeCell ref="F202:G202"/>
    <mergeCell ref="H202:I202"/>
    <mergeCell ref="J202:J203"/>
    <mergeCell ref="F228:J228"/>
    <mergeCell ref="K174:K176"/>
    <mergeCell ref="L174:L176"/>
    <mergeCell ref="M174:M176"/>
    <mergeCell ref="A175:C175"/>
    <mergeCell ref="F175:G175"/>
    <mergeCell ref="H175:I175"/>
    <mergeCell ref="J175:J176"/>
    <mergeCell ref="K29:K32"/>
    <mergeCell ref="L29:L32"/>
    <mergeCell ref="M29:M32"/>
    <mergeCell ref="A30:C31"/>
    <mergeCell ref="D30:D31"/>
    <mergeCell ref="E30:E31"/>
    <mergeCell ref="F30:G30"/>
    <mergeCell ref="H30:I30"/>
    <mergeCell ref="J30:J32"/>
    <mergeCell ref="F111:J111"/>
    <mergeCell ref="K111:K113"/>
    <mergeCell ref="L111:L113"/>
    <mergeCell ref="M111:M113"/>
    <mergeCell ref="A112:C112"/>
    <mergeCell ref="F112:G112"/>
    <mergeCell ref="H112:I112"/>
    <mergeCell ref="J112:J113"/>
  </mergeCells>
  <phoneticPr fontId="1" type="noConversion"/>
  <pageMargins left="0.25" right="0.25" top="0.75" bottom="0.75" header="0.3" footer="0.3"/>
  <pageSetup paperSize="9" scale="56" fitToHeight="0" orientation="landscape" r:id="rId1"/>
  <rowBreaks count="9" manualBreakCount="9">
    <brk id="28" max="12" man="1"/>
    <brk id="56" max="12" man="1"/>
    <brk id="83" max="12" man="1"/>
    <brk id="110" max="12" man="1"/>
    <brk id="137" max="12" man="1"/>
    <brk id="161" max="12" man="1"/>
    <brk id="173" max="12" man="1"/>
    <brk id="200" max="12" man="1"/>
    <brk id="227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4"/>
  <sheetViews>
    <sheetView view="pageBreakPreview" zoomScale="70" zoomScaleNormal="100" zoomScaleSheetLayoutView="70" workbookViewId="0">
      <pane ySplit="3" topLeftCell="A10" activePane="bottomLeft" state="frozen"/>
      <selection activeCell="E28" sqref="E28"/>
      <selection pane="bottomLeft" activeCell="D6" sqref="D6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4" ht="32.1" customHeight="1" x14ac:dyDescent="0.3">
      <c r="A1" s="341" t="s">
        <v>8</v>
      </c>
      <c r="B1" s="342"/>
      <c r="C1" s="324"/>
      <c r="D1" s="110" t="s">
        <v>11</v>
      </c>
      <c r="E1" s="111" t="s">
        <v>12</v>
      </c>
      <c r="F1" s="340" t="s">
        <v>729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COUNTIF(N4:N500,0)/COUNT(A:A)</f>
        <v>4.1666666666666664E-2</v>
      </c>
    </row>
    <row r="2" spans="1:14" ht="32.1" customHeight="1" thickBot="1" x14ac:dyDescent="0.35">
      <c r="A2" s="333" t="s">
        <v>9</v>
      </c>
      <c r="B2" s="334"/>
      <c r="C2" s="335"/>
      <c r="D2" s="7" t="s">
        <v>127</v>
      </c>
      <c r="E2" s="112" t="s">
        <v>687</v>
      </c>
      <c r="F2" s="336" t="s">
        <v>5</v>
      </c>
      <c r="G2" s="337"/>
      <c r="H2" s="337" t="s">
        <v>7</v>
      </c>
      <c r="I2" s="337"/>
      <c r="J2" s="338" t="s">
        <v>3</v>
      </c>
      <c r="K2" s="332"/>
      <c r="L2" s="332"/>
      <c r="M2" s="332"/>
    </row>
    <row r="3" spans="1:14" ht="32.1" customHeight="1" x14ac:dyDescent="0.3">
      <c r="A3" s="113" t="s">
        <v>0</v>
      </c>
      <c r="B3" s="113" t="s">
        <v>1</v>
      </c>
      <c r="C3" s="113" t="s">
        <v>23</v>
      </c>
      <c r="D3" s="113" t="s">
        <v>2</v>
      </c>
      <c r="E3" s="113" t="s">
        <v>3</v>
      </c>
      <c r="F3" s="131" t="s">
        <v>4</v>
      </c>
      <c r="G3" s="131" t="s">
        <v>506</v>
      </c>
      <c r="H3" s="131" t="s">
        <v>4</v>
      </c>
      <c r="I3" s="131" t="s">
        <v>506</v>
      </c>
      <c r="J3" s="338"/>
      <c r="K3" s="332"/>
      <c r="L3" s="332"/>
      <c r="M3" s="332"/>
    </row>
    <row r="4" spans="1:14" ht="30.95" customHeight="1" x14ac:dyDescent="0.3">
      <c r="A4" s="64">
        <v>1</v>
      </c>
      <c r="B4" s="393" t="s">
        <v>125</v>
      </c>
      <c r="C4" s="171" t="s">
        <v>26</v>
      </c>
      <c r="D4" s="161" t="s">
        <v>477</v>
      </c>
      <c r="E4" s="171"/>
      <c r="F4" s="172"/>
      <c r="G4" s="172"/>
      <c r="H4" s="172"/>
      <c r="I4" s="172"/>
      <c r="J4" s="167" t="s">
        <v>527</v>
      </c>
      <c r="K4" s="351"/>
      <c r="L4" s="351"/>
      <c r="M4" s="387"/>
      <c r="N4">
        <f>IF(C4="",0,1)</f>
        <v>1</v>
      </c>
    </row>
    <row r="5" spans="1:14" ht="30.95" customHeight="1" x14ac:dyDescent="0.3">
      <c r="A5" s="18">
        <v>2</v>
      </c>
      <c r="B5" s="338"/>
      <c r="C5" s="85" t="s">
        <v>26</v>
      </c>
      <c r="D5" s="86" t="s">
        <v>478</v>
      </c>
      <c r="E5" s="85"/>
      <c r="F5" s="87"/>
      <c r="G5" s="87"/>
      <c r="H5" s="87"/>
      <c r="I5" s="87"/>
      <c r="J5" s="167" t="s">
        <v>527</v>
      </c>
      <c r="K5" s="352"/>
      <c r="L5" s="352"/>
      <c r="M5" s="388"/>
      <c r="N5">
        <f t="shared" ref="N5:N51" si="0">IF(C5="",0,1)</f>
        <v>1</v>
      </c>
    </row>
    <row r="6" spans="1:14" ht="30.95" customHeight="1" x14ac:dyDescent="0.3">
      <c r="A6" s="18">
        <v>3</v>
      </c>
      <c r="B6" s="338"/>
      <c r="C6" s="85" t="s">
        <v>62</v>
      </c>
      <c r="D6" s="86" t="s">
        <v>533</v>
      </c>
      <c r="E6" s="85"/>
      <c r="F6" s="87"/>
      <c r="G6" s="87"/>
      <c r="H6" s="87"/>
      <c r="I6" s="87"/>
      <c r="J6" s="167" t="s">
        <v>527</v>
      </c>
      <c r="K6" s="352"/>
      <c r="L6" s="352"/>
      <c r="M6" s="388"/>
      <c r="N6">
        <f t="shared" si="0"/>
        <v>1</v>
      </c>
    </row>
    <row r="7" spans="1:14" ht="30.95" customHeight="1" x14ac:dyDescent="0.3">
      <c r="A7" s="18">
        <v>4</v>
      </c>
      <c r="B7" s="338"/>
      <c r="C7" s="85" t="s">
        <v>62</v>
      </c>
      <c r="D7" s="86" t="s">
        <v>533</v>
      </c>
      <c r="E7" s="85"/>
      <c r="F7" s="87"/>
      <c r="G7" s="87"/>
      <c r="H7" s="87"/>
      <c r="I7" s="87"/>
      <c r="J7" s="167" t="s">
        <v>527</v>
      </c>
      <c r="K7" s="352"/>
      <c r="L7" s="352"/>
      <c r="M7" s="388"/>
      <c r="N7">
        <f t="shared" si="0"/>
        <v>1</v>
      </c>
    </row>
    <row r="8" spans="1:14" ht="30.95" customHeight="1" x14ac:dyDescent="0.3">
      <c r="A8" s="18">
        <v>5</v>
      </c>
      <c r="B8" s="338"/>
      <c r="C8" s="85" t="s">
        <v>26</v>
      </c>
      <c r="D8" s="86" t="s">
        <v>479</v>
      </c>
      <c r="E8" s="85"/>
      <c r="F8" s="87"/>
      <c r="G8" s="87"/>
      <c r="H8" s="87"/>
      <c r="I8" s="87"/>
      <c r="J8" s="167" t="s">
        <v>527</v>
      </c>
      <c r="K8" s="352"/>
      <c r="L8" s="352"/>
      <c r="M8" s="388"/>
      <c r="N8">
        <f t="shared" si="0"/>
        <v>1</v>
      </c>
    </row>
    <row r="9" spans="1:14" ht="30.95" customHeight="1" x14ac:dyDescent="0.3">
      <c r="A9" s="18">
        <v>6</v>
      </c>
      <c r="B9" s="338"/>
      <c r="C9" s="85" t="s">
        <v>26</v>
      </c>
      <c r="D9" s="86" t="s">
        <v>480</v>
      </c>
      <c r="E9" s="85"/>
      <c r="F9" s="87"/>
      <c r="G9" s="87"/>
      <c r="H9" s="87"/>
      <c r="I9" s="87"/>
      <c r="J9" s="167" t="s">
        <v>527</v>
      </c>
      <c r="K9" s="352"/>
      <c r="L9" s="352"/>
      <c r="M9" s="388"/>
      <c r="N9">
        <f t="shared" si="0"/>
        <v>1</v>
      </c>
    </row>
    <row r="10" spans="1:14" ht="30.95" customHeight="1" x14ac:dyDescent="0.3">
      <c r="A10" s="18">
        <v>7</v>
      </c>
      <c r="B10" s="338"/>
      <c r="C10" s="85" t="s">
        <v>63</v>
      </c>
      <c r="D10" s="86" t="s">
        <v>494</v>
      </c>
      <c r="E10" s="85"/>
      <c r="F10" s="87"/>
      <c r="G10" s="87"/>
      <c r="H10" s="87"/>
      <c r="I10" s="87"/>
      <c r="J10" s="167" t="s">
        <v>527</v>
      </c>
      <c r="K10" s="352"/>
      <c r="L10" s="352"/>
      <c r="M10" s="388"/>
      <c r="N10">
        <f t="shared" si="0"/>
        <v>1</v>
      </c>
    </row>
    <row r="11" spans="1:14" ht="30.95" customHeight="1" x14ac:dyDescent="0.3">
      <c r="A11" s="18">
        <v>8</v>
      </c>
      <c r="B11" s="338"/>
      <c r="C11" s="85" t="s">
        <v>62</v>
      </c>
      <c r="D11" s="86" t="s">
        <v>534</v>
      </c>
      <c r="E11" s="85"/>
      <c r="F11" s="87"/>
      <c r="G11" s="87"/>
      <c r="H11" s="87"/>
      <c r="I11" s="87"/>
      <c r="J11" s="167" t="s">
        <v>527</v>
      </c>
      <c r="K11" s="352"/>
      <c r="L11" s="352"/>
      <c r="M11" s="388"/>
      <c r="N11">
        <f t="shared" si="0"/>
        <v>1</v>
      </c>
    </row>
    <row r="12" spans="1:14" ht="30.95" customHeight="1" x14ac:dyDescent="0.3">
      <c r="A12" s="18">
        <v>9</v>
      </c>
      <c r="B12" s="338"/>
      <c r="C12" s="85" t="s">
        <v>62</v>
      </c>
      <c r="D12" s="86" t="s">
        <v>113</v>
      </c>
      <c r="E12" s="85"/>
      <c r="F12" s="87"/>
      <c r="G12" s="87"/>
      <c r="H12" s="87"/>
      <c r="I12" s="87"/>
      <c r="J12" s="167" t="s">
        <v>527</v>
      </c>
      <c r="K12" s="352"/>
      <c r="L12" s="352"/>
      <c r="M12" s="388"/>
      <c r="N12">
        <f t="shared" si="0"/>
        <v>1</v>
      </c>
    </row>
    <row r="13" spans="1:14" ht="30.95" customHeight="1" x14ac:dyDescent="0.3">
      <c r="A13" s="18">
        <v>10</v>
      </c>
      <c r="B13" s="338"/>
      <c r="C13" s="85" t="s">
        <v>62</v>
      </c>
      <c r="D13" s="86" t="s">
        <v>113</v>
      </c>
      <c r="E13" s="85"/>
      <c r="F13" s="87"/>
      <c r="G13" s="87"/>
      <c r="H13" s="87"/>
      <c r="I13" s="87"/>
      <c r="J13" s="167" t="s">
        <v>527</v>
      </c>
      <c r="K13" s="352"/>
      <c r="L13" s="352"/>
      <c r="M13" s="388"/>
      <c r="N13">
        <f t="shared" si="0"/>
        <v>1</v>
      </c>
    </row>
    <row r="14" spans="1:14" ht="30.95" customHeight="1" x14ac:dyDescent="0.3">
      <c r="A14" s="18">
        <v>11</v>
      </c>
      <c r="B14" s="338"/>
      <c r="C14" s="85" t="s">
        <v>62</v>
      </c>
      <c r="D14" s="86" t="s">
        <v>114</v>
      </c>
      <c r="E14" s="85"/>
      <c r="F14" s="87"/>
      <c r="G14" s="87"/>
      <c r="H14" s="87"/>
      <c r="I14" s="87"/>
      <c r="J14" s="167" t="s">
        <v>527</v>
      </c>
      <c r="K14" s="352"/>
      <c r="L14" s="352"/>
      <c r="M14" s="388"/>
      <c r="N14">
        <f t="shared" si="0"/>
        <v>1</v>
      </c>
    </row>
    <row r="15" spans="1:14" ht="30.95" customHeight="1" x14ac:dyDescent="0.3">
      <c r="A15" s="18">
        <v>12</v>
      </c>
      <c r="B15" s="338"/>
      <c r="C15" s="85" t="s">
        <v>62</v>
      </c>
      <c r="D15" s="86" t="s">
        <v>114</v>
      </c>
      <c r="E15" s="85"/>
      <c r="F15" s="87"/>
      <c r="G15" s="87"/>
      <c r="H15" s="87"/>
      <c r="I15" s="87"/>
      <c r="J15" s="167" t="s">
        <v>527</v>
      </c>
      <c r="K15" s="352"/>
      <c r="L15" s="352"/>
      <c r="M15" s="388"/>
      <c r="N15">
        <f t="shared" si="0"/>
        <v>1</v>
      </c>
    </row>
    <row r="16" spans="1:14" ht="30.95" customHeight="1" x14ac:dyDescent="0.3">
      <c r="A16" s="18">
        <v>13</v>
      </c>
      <c r="B16" s="338"/>
      <c r="C16" s="85" t="s">
        <v>62</v>
      </c>
      <c r="D16" s="86" t="s">
        <v>115</v>
      </c>
      <c r="E16" s="85"/>
      <c r="F16" s="87"/>
      <c r="G16" s="87"/>
      <c r="H16" s="87"/>
      <c r="I16" s="87"/>
      <c r="J16" s="167" t="s">
        <v>527</v>
      </c>
      <c r="K16" s="352"/>
      <c r="L16" s="352"/>
      <c r="M16" s="388"/>
      <c r="N16">
        <f t="shared" si="0"/>
        <v>1</v>
      </c>
    </row>
    <row r="17" spans="1:14" ht="30.95" customHeight="1" x14ac:dyDescent="0.3">
      <c r="A17" s="18">
        <v>14</v>
      </c>
      <c r="B17" s="338"/>
      <c r="C17" s="85" t="s">
        <v>62</v>
      </c>
      <c r="D17" s="86" t="s">
        <v>116</v>
      </c>
      <c r="E17" s="85"/>
      <c r="F17" s="87"/>
      <c r="G17" s="87"/>
      <c r="H17" s="87"/>
      <c r="I17" s="87"/>
      <c r="J17" s="167" t="s">
        <v>527</v>
      </c>
      <c r="K17" s="352"/>
      <c r="L17" s="352"/>
      <c r="M17" s="388"/>
      <c r="N17">
        <f t="shared" si="0"/>
        <v>1</v>
      </c>
    </row>
    <row r="18" spans="1:14" ht="30.95" customHeight="1" x14ac:dyDescent="0.3">
      <c r="A18" s="18">
        <v>15</v>
      </c>
      <c r="B18" s="338"/>
      <c r="C18" s="85" t="s">
        <v>62</v>
      </c>
      <c r="D18" s="86" t="s">
        <v>117</v>
      </c>
      <c r="E18" s="85"/>
      <c r="F18" s="87"/>
      <c r="G18" s="87"/>
      <c r="H18" s="87"/>
      <c r="I18" s="87"/>
      <c r="J18" s="167" t="s">
        <v>527</v>
      </c>
      <c r="K18" s="352"/>
      <c r="L18" s="352"/>
      <c r="M18" s="388"/>
      <c r="N18">
        <f t="shared" si="0"/>
        <v>1</v>
      </c>
    </row>
    <row r="19" spans="1:14" ht="30.95" customHeight="1" x14ac:dyDescent="0.3">
      <c r="A19" s="18">
        <v>16</v>
      </c>
      <c r="B19" s="338"/>
      <c r="C19" s="85" t="s">
        <v>62</v>
      </c>
      <c r="D19" s="86" t="s">
        <v>118</v>
      </c>
      <c r="E19" s="85"/>
      <c r="F19" s="87"/>
      <c r="G19" s="87"/>
      <c r="H19" s="87"/>
      <c r="I19" s="87"/>
      <c r="J19" s="167" t="s">
        <v>527</v>
      </c>
      <c r="K19" s="352"/>
      <c r="L19" s="352"/>
      <c r="M19" s="388"/>
      <c r="N19">
        <f t="shared" si="0"/>
        <v>1</v>
      </c>
    </row>
    <row r="20" spans="1:14" ht="30.95" customHeight="1" x14ac:dyDescent="0.3">
      <c r="A20" s="18">
        <v>17</v>
      </c>
      <c r="B20" s="338"/>
      <c r="C20" s="85" t="s">
        <v>62</v>
      </c>
      <c r="D20" s="86" t="s">
        <v>119</v>
      </c>
      <c r="E20" s="85"/>
      <c r="F20" s="87"/>
      <c r="G20" s="87"/>
      <c r="H20" s="87"/>
      <c r="I20" s="87"/>
      <c r="J20" s="167" t="s">
        <v>527</v>
      </c>
      <c r="K20" s="352"/>
      <c r="L20" s="352"/>
      <c r="M20" s="388"/>
      <c r="N20">
        <f t="shared" si="0"/>
        <v>1</v>
      </c>
    </row>
    <row r="21" spans="1:14" ht="30.95" customHeight="1" x14ac:dyDescent="0.3">
      <c r="A21" s="18">
        <v>18</v>
      </c>
      <c r="B21" s="338"/>
      <c r="C21" s="85" t="s">
        <v>62</v>
      </c>
      <c r="D21" s="86" t="s">
        <v>119</v>
      </c>
      <c r="E21" s="85"/>
      <c r="F21" s="87"/>
      <c r="G21" s="87"/>
      <c r="H21" s="87"/>
      <c r="I21" s="87"/>
      <c r="J21" s="167" t="s">
        <v>527</v>
      </c>
      <c r="K21" s="352"/>
      <c r="L21" s="352"/>
      <c r="M21" s="388"/>
      <c r="N21">
        <f t="shared" si="0"/>
        <v>1</v>
      </c>
    </row>
    <row r="22" spans="1:14" ht="30.95" customHeight="1" x14ac:dyDescent="0.3">
      <c r="A22" s="18">
        <v>19</v>
      </c>
      <c r="B22" s="338"/>
      <c r="C22" s="85" t="s">
        <v>25</v>
      </c>
      <c r="D22" s="86" t="s">
        <v>120</v>
      </c>
      <c r="E22" s="85"/>
      <c r="F22" s="87"/>
      <c r="G22" s="87"/>
      <c r="H22" s="87"/>
      <c r="I22" s="87"/>
      <c r="J22" s="167" t="s">
        <v>527</v>
      </c>
      <c r="K22" s="352"/>
      <c r="L22" s="352"/>
      <c r="M22" s="388"/>
      <c r="N22">
        <f t="shared" si="0"/>
        <v>1</v>
      </c>
    </row>
    <row r="23" spans="1:14" ht="30.95" customHeight="1" x14ac:dyDescent="0.3">
      <c r="A23" s="18">
        <v>20</v>
      </c>
      <c r="B23" s="338"/>
      <c r="C23" s="85" t="s">
        <v>25</v>
      </c>
      <c r="D23" s="86" t="s">
        <v>120</v>
      </c>
      <c r="E23" s="85"/>
      <c r="F23" s="87"/>
      <c r="G23" s="87"/>
      <c r="H23" s="87"/>
      <c r="I23" s="87"/>
      <c r="J23" s="167" t="s">
        <v>527</v>
      </c>
      <c r="K23" s="352"/>
      <c r="L23" s="352"/>
      <c r="M23" s="388"/>
      <c r="N23">
        <f t="shared" si="0"/>
        <v>1</v>
      </c>
    </row>
    <row r="24" spans="1:14" ht="30.95" customHeight="1" x14ac:dyDescent="0.3">
      <c r="A24" s="18">
        <v>21</v>
      </c>
      <c r="B24" s="338"/>
      <c r="C24" s="85" t="s">
        <v>62</v>
      </c>
      <c r="D24" s="86" t="s">
        <v>474</v>
      </c>
      <c r="E24" s="85"/>
      <c r="F24" s="87"/>
      <c r="G24" s="87"/>
      <c r="H24" s="87"/>
      <c r="I24" s="87"/>
      <c r="J24" s="167" t="s">
        <v>527</v>
      </c>
      <c r="K24" s="352"/>
      <c r="L24" s="352"/>
      <c r="M24" s="388"/>
      <c r="N24">
        <f t="shared" si="0"/>
        <v>1</v>
      </c>
    </row>
    <row r="25" spans="1:14" ht="30.95" customHeight="1" x14ac:dyDescent="0.3">
      <c r="A25" s="18">
        <v>22</v>
      </c>
      <c r="B25" s="338"/>
      <c r="C25" s="85" t="s">
        <v>63</v>
      </c>
      <c r="D25" s="86" t="s">
        <v>495</v>
      </c>
      <c r="E25" s="85"/>
      <c r="F25" s="162"/>
      <c r="G25" s="162"/>
      <c r="H25" s="162"/>
      <c r="I25" s="162"/>
      <c r="J25" s="167" t="s">
        <v>527</v>
      </c>
      <c r="K25" s="352"/>
      <c r="L25" s="352"/>
      <c r="M25" s="388"/>
      <c r="N25">
        <f t="shared" si="0"/>
        <v>1</v>
      </c>
    </row>
    <row r="26" spans="1:14" ht="30.95" customHeight="1" x14ac:dyDescent="0.3">
      <c r="A26" s="18">
        <v>23</v>
      </c>
      <c r="B26" s="338"/>
      <c r="C26" s="85" t="s">
        <v>25</v>
      </c>
      <c r="D26" s="86" t="s">
        <v>121</v>
      </c>
      <c r="E26" s="85"/>
      <c r="F26" s="162"/>
      <c r="G26" s="87"/>
      <c r="H26" s="87"/>
      <c r="I26" s="87"/>
      <c r="J26" s="167" t="s">
        <v>527</v>
      </c>
      <c r="K26" s="352"/>
      <c r="L26" s="352"/>
      <c r="M26" s="388"/>
      <c r="N26">
        <f t="shared" si="0"/>
        <v>1</v>
      </c>
    </row>
    <row r="27" spans="1:14" ht="30.95" customHeight="1" thickBot="1" x14ac:dyDescent="0.35">
      <c r="A27" s="21">
        <v>24</v>
      </c>
      <c r="B27" s="339"/>
      <c r="C27" s="169" t="s">
        <v>25</v>
      </c>
      <c r="D27" s="173" t="s">
        <v>121</v>
      </c>
      <c r="E27" s="169"/>
      <c r="F27" s="174"/>
      <c r="G27" s="174"/>
      <c r="H27" s="174"/>
      <c r="I27" s="174"/>
      <c r="J27" s="167" t="s">
        <v>527</v>
      </c>
      <c r="K27" s="390"/>
      <c r="L27" s="390"/>
      <c r="M27" s="389"/>
      <c r="N27">
        <f t="shared" si="0"/>
        <v>1</v>
      </c>
    </row>
    <row r="28" spans="1:14" ht="32.1" customHeight="1" x14ac:dyDescent="0.3">
      <c r="A28" s="341" t="s">
        <v>8</v>
      </c>
      <c r="B28" s="342"/>
      <c r="C28" s="324"/>
      <c r="D28" s="110" t="s">
        <v>11</v>
      </c>
      <c r="E28" s="111" t="s">
        <v>12</v>
      </c>
      <c r="F28" s="340" t="s">
        <v>526</v>
      </c>
      <c r="G28" s="338"/>
      <c r="H28" s="338"/>
      <c r="I28" s="338"/>
      <c r="J28" s="338"/>
      <c r="K28" s="332" t="s">
        <v>10</v>
      </c>
      <c r="L28" s="331" t="s">
        <v>32</v>
      </c>
      <c r="M28" s="331" t="s">
        <v>33</v>
      </c>
      <c r="N28">
        <f t="shared" si="0"/>
        <v>0</v>
      </c>
    </row>
    <row r="29" spans="1:14" ht="32.1" customHeight="1" thickBot="1" x14ac:dyDescent="0.35">
      <c r="A29" s="333" t="s">
        <v>9</v>
      </c>
      <c r="B29" s="334"/>
      <c r="C29" s="335"/>
      <c r="D29" s="7" t="s">
        <v>127</v>
      </c>
      <c r="E29" s="112" t="s">
        <v>687</v>
      </c>
      <c r="F29" s="336" t="s">
        <v>5</v>
      </c>
      <c r="G29" s="337"/>
      <c r="H29" s="337" t="s">
        <v>7</v>
      </c>
      <c r="I29" s="337"/>
      <c r="J29" s="338" t="s">
        <v>3</v>
      </c>
      <c r="K29" s="332"/>
      <c r="L29" s="332"/>
      <c r="M29" s="332"/>
      <c r="N29">
        <f t="shared" si="0"/>
        <v>0</v>
      </c>
    </row>
    <row r="30" spans="1:14" ht="32.1" customHeight="1" x14ac:dyDescent="0.3">
      <c r="A30" s="113" t="s">
        <v>0</v>
      </c>
      <c r="B30" s="113" t="s">
        <v>1</v>
      </c>
      <c r="C30" s="113" t="s">
        <v>23</v>
      </c>
      <c r="D30" s="113" t="s">
        <v>2</v>
      </c>
      <c r="E30" s="113" t="s">
        <v>3</v>
      </c>
      <c r="F30" s="131" t="s">
        <v>4</v>
      </c>
      <c r="G30" s="131" t="s">
        <v>506</v>
      </c>
      <c r="H30" s="131" t="s">
        <v>4</v>
      </c>
      <c r="I30" s="131" t="s">
        <v>506</v>
      </c>
      <c r="J30" s="338"/>
      <c r="K30" s="332"/>
      <c r="L30" s="332"/>
      <c r="M30" s="332"/>
      <c r="N30">
        <f t="shared" si="0"/>
        <v>1</v>
      </c>
    </row>
    <row r="31" spans="1:14" ht="30.95" customHeight="1" x14ac:dyDescent="0.3">
      <c r="A31" s="64">
        <v>1</v>
      </c>
      <c r="B31" s="393" t="s">
        <v>126</v>
      </c>
      <c r="C31" s="171" t="s">
        <v>62</v>
      </c>
      <c r="D31" s="161" t="s">
        <v>122</v>
      </c>
      <c r="E31" s="171"/>
      <c r="F31" s="172"/>
      <c r="G31" s="172"/>
      <c r="H31" s="172"/>
      <c r="I31" s="172"/>
      <c r="J31" s="167" t="s">
        <v>527</v>
      </c>
      <c r="K31" s="351"/>
      <c r="L31" s="351"/>
      <c r="M31" s="387"/>
      <c r="N31">
        <f t="shared" si="0"/>
        <v>1</v>
      </c>
    </row>
    <row r="32" spans="1:14" ht="30.95" customHeight="1" x14ac:dyDescent="0.3">
      <c r="A32" s="18">
        <v>2</v>
      </c>
      <c r="B32" s="338"/>
      <c r="C32" s="85" t="s">
        <v>62</v>
      </c>
      <c r="D32" s="86" t="s">
        <v>122</v>
      </c>
      <c r="E32" s="85"/>
      <c r="F32" s="87"/>
      <c r="G32" s="87"/>
      <c r="H32" s="87"/>
      <c r="I32" s="87"/>
      <c r="J32" s="167" t="s">
        <v>527</v>
      </c>
      <c r="K32" s="352"/>
      <c r="L32" s="352"/>
      <c r="M32" s="388"/>
      <c r="N32">
        <f t="shared" si="0"/>
        <v>1</v>
      </c>
    </row>
    <row r="33" spans="1:14" ht="30.95" customHeight="1" x14ac:dyDescent="0.3">
      <c r="A33" s="18">
        <v>3</v>
      </c>
      <c r="B33" s="338"/>
      <c r="C33" s="85" t="s">
        <v>62</v>
      </c>
      <c r="D33" s="86" t="s">
        <v>123</v>
      </c>
      <c r="E33" s="85"/>
      <c r="F33" s="87"/>
      <c r="G33" s="87"/>
      <c r="H33" s="87"/>
      <c r="I33" s="87"/>
      <c r="J33" s="167" t="s">
        <v>527</v>
      </c>
      <c r="K33" s="352"/>
      <c r="L33" s="352"/>
      <c r="M33" s="388"/>
      <c r="N33">
        <f t="shared" si="0"/>
        <v>1</v>
      </c>
    </row>
    <row r="34" spans="1:14" ht="30.95" customHeight="1" x14ac:dyDescent="0.3">
      <c r="A34" s="18">
        <v>4</v>
      </c>
      <c r="B34" s="338"/>
      <c r="C34" s="85" t="s">
        <v>62</v>
      </c>
      <c r="D34" s="86" t="s">
        <v>373</v>
      </c>
      <c r="E34" s="85"/>
      <c r="F34" s="87"/>
      <c r="G34" s="87"/>
      <c r="H34" s="87"/>
      <c r="I34" s="87"/>
      <c r="J34" s="167" t="s">
        <v>527</v>
      </c>
      <c r="K34" s="352"/>
      <c r="L34" s="352"/>
      <c r="M34" s="388"/>
      <c r="N34">
        <f t="shared" si="0"/>
        <v>1</v>
      </c>
    </row>
    <row r="35" spans="1:14" ht="30.95" customHeight="1" x14ac:dyDescent="0.3">
      <c r="A35" s="18">
        <v>5</v>
      </c>
      <c r="B35" s="338"/>
      <c r="C35" s="85" t="s">
        <v>63</v>
      </c>
      <c r="D35" s="86" t="s">
        <v>124</v>
      </c>
      <c r="E35" s="85"/>
      <c r="F35" s="87"/>
      <c r="G35" s="87"/>
      <c r="H35" s="87"/>
      <c r="I35" s="87"/>
      <c r="J35" s="167" t="s">
        <v>527</v>
      </c>
      <c r="K35" s="352"/>
      <c r="L35" s="352"/>
      <c r="M35" s="388"/>
      <c r="N35">
        <f t="shared" si="0"/>
        <v>1</v>
      </c>
    </row>
    <row r="36" spans="1:14" ht="30.95" customHeight="1" x14ac:dyDescent="0.3">
      <c r="A36" s="18">
        <v>6</v>
      </c>
      <c r="B36" s="338"/>
      <c r="C36" s="85" t="s">
        <v>62</v>
      </c>
      <c r="D36" s="86" t="s">
        <v>379</v>
      </c>
      <c r="E36" s="85"/>
      <c r="F36" s="87"/>
      <c r="G36" s="87"/>
      <c r="H36" s="87"/>
      <c r="I36" s="87"/>
      <c r="J36" s="167" t="s">
        <v>527</v>
      </c>
      <c r="K36" s="352"/>
      <c r="L36" s="352"/>
      <c r="M36" s="388"/>
      <c r="N36">
        <f t="shared" si="0"/>
        <v>1</v>
      </c>
    </row>
    <row r="37" spans="1:14" ht="30.95" customHeight="1" x14ac:dyDescent="0.3">
      <c r="A37" s="18">
        <v>7</v>
      </c>
      <c r="B37" s="338"/>
      <c r="C37" s="85" t="s">
        <v>62</v>
      </c>
      <c r="D37" s="86" t="s">
        <v>379</v>
      </c>
      <c r="E37" s="85"/>
      <c r="F37" s="87"/>
      <c r="G37" s="87"/>
      <c r="H37" s="87"/>
      <c r="I37" s="87"/>
      <c r="J37" s="167" t="s">
        <v>527</v>
      </c>
      <c r="K37" s="352"/>
      <c r="L37" s="352"/>
      <c r="M37" s="388"/>
      <c r="N37">
        <f t="shared" si="0"/>
        <v>1</v>
      </c>
    </row>
    <row r="38" spans="1:14" ht="30.95" customHeight="1" x14ac:dyDescent="0.3">
      <c r="A38" s="18">
        <v>8</v>
      </c>
      <c r="B38" s="338"/>
      <c r="C38" s="85" t="s">
        <v>25</v>
      </c>
      <c r="D38" s="86" t="s">
        <v>370</v>
      </c>
      <c r="E38" s="85"/>
      <c r="F38" s="87"/>
      <c r="G38" s="87"/>
      <c r="H38" s="87"/>
      <c r="I38" s="87"/>
      <c r="J38" s="167" t="s">
        <v>527</v>
      </c>
      <c r="K38" s="352"/>
      <c r="L38" s="352"/>
      <c r="M38" s="388"/>
      <c r="N38">
        <f t="shared" si="0"/>
        <v>1</v>
      </c>
    </row>
    <row r="39" spans="1:14" ht="30.95" customHeight="1" x14ac:dyDescent="0.3">
      <c r="A39" s="18">
        <v>9</v>
      </c>
      <c r="B39" s="338"/>
      <c r="C39" s="85" t="s">
        <v>25</v>
      </c>
      <c r="D39" s="86" t="s">
        <v>370</v>
      </c>
      <c r="E39" s="85"/>
      <c r="F39" s="87"/>
      <c r="G39" s="87"/>
      <c r="H39" s="87"/>
      <c r="I39" s="87"/>
      <c r="J39" s="167" t="s">
        <v>527</v>
      </c>
      <c r="K39" s="352"/>
      <c r="L39" s="352"/>
      <c r="M39" s="388"/>
      <c r="N39">
        <f t="shared" si="0"/>
        <v>1</v>
      </c>
    </row>
    <row r="40" spans="1:14" ht="30.95" customHeight="1" x14ac:dyDescent="0.3">
      <c r="A40" s="18">
        <v>10</v>
      </c>
      <c r="B40" s="338"/>
      <c r="C40" s="85" t="s">
        <v>62</v>
      </c>
      <c r="D40" s="86" t="s">
        <v>380</v>
      </c>
      <c r="E40" s="85"/>
      <c r="F40" s="87"/>
      <c r="G40" s="87"/>
      <c r="H40" s="87"/>
      <c r="I40" s="87"/>
      <c r="J40" s="167" t="s">
        <v>527</v>
      </c>
      <c r="K40" s="352"/>
      <c r="L40" s="352"/>
      <c r="M40" s="388"/>
      <c r="N40">
        <f t="shared" si="0"/>
        <v>1</v>
      </c>
    </row>
    <row r="41" spans="1:14" ht="30.95" customHeight="1" x14ac:dyDescent="0.3">
      <c r="A41" s="18">
        <v>11</v>
      </c>
      <c r="B41" s="338"/>
      <c r="C41" s="85" t="s">
        <v>62</v>
      </c>
      <c r="D41" s="86" t="s">
        <v>381</v>
      </c>
      <c r="E41" s="85"/>
      <c r="F41" s="87"/>
      <c r="G41" s="87"/>
      <c r="H41" s="87"/>
      <c r="I41" s="87"/>
      <c r="J41" s="167" t="s">
        <v>527</v>
      </c>
      <c r="K41" s="352"/>
      <c r="L41" s="352"/>
      <c r="M41" s="388"/>
      <c r="N41">
        <f t="shared" si="0"/>
        <v>1</v>
      </c>
    </row>
    <row r="42" spans="1:14" ht="30.95" customHeight="1" x14ac:dyDescent="0.3">
      <c r="A42" s="18">
        <v>12</v>
      </c>
      <c r="B42" s="338"/>
      <c r="C42" s="85" t="s">
        <v>62</v>
      </c>
      <c r="D42" s="86" t="s">
        <v>381</v>
      </c>
      <c r="E42" s="85"/>
      <c r="F42" s="87"/>
      <c r="G42" s="87"/>
      <c r="H42" s="87"/>
      <c r="I42" s="87"/>
      <c r="J42" s="167" t="s">
        <v>527</v>
      </c>
      <c r="K42" s="352"/>
      <c r="L42" s="352"/>
      <c r="M42" s="388"/>
      <c r="N42">
        <f t="shared" si="0"/>
        <v>1</v>
      </c>
    </row>
    <row r="43" spans="1:14" ht="30.95" customHeight="1" x14ac:dyDescent="0.3">
      <c r="A43" s="18">
        <v>13</v>
      </c>
      <c r="B43" s="338"/>
      <c r="C43" s="85" t="s">
        <v>110</v>
      </c>
      <c r="D43" s="86" t="s">
        <v>108</v>
      </c>
      <c r="E43" s="85"/>
      <c r="F43" s="87"/>
      <c r="G43" s="87"/>
      <c r="H43" s="87"/>
      <c r="I43" s="87"/>
      <c r="J43" s="167" t="s">
        <v>527</v>
      </c>
      <c r="K43" s="352"/>
      <c r="L43" s="352"/>
      <c r="M43" s="388"/>
      <c r="N43">
        <f t="shared" si="0"/>
        <v>1</v>
      </c>
    </row>
    <row r="44" spans="1:14" ht="30.95" customHeight="1" x14ac:dyDescent="0.3">
      <c r="A44" s="18">
        <v>14</v>
      </c>
      <c r="B44" s="338"/>
      <c r="C44" s="85" t="s">
        <v>63</v>
      </c>
      <c r="D44" s="86" t="s">
        <v>365</v>
      </c>
      <c r="E44" s="85"/>
      <c r="F44" s="87"/>
      <c r="G44" s="87"/>
      <c r="H44" s="87"/>
      <c r="I44" s="87"/>
      <c r="J44" s="167" t="s">
        <v>527</v>
      </c>
      <c r="K44" s="352"/>
      <c r="L44" s="352"/>
      <c r="M44" s="388"/>
      <c r="N44">
        <f t="shared" si="0"/>
        <v>1</v>
      </c>
    </row>
    <row r="45" spans="1:14" ht="30.95" customHeight="1" x14ac:dyDescent="0.3">
      <c r="A45" s="18">
        <v>15</v>
      </c>
      <c r="B45" s="338"/>
      <c r="C45" s="85" t="s">
        <v>63</v>
      </c>
      <c r="D45" s="86" t="s">
        <v>366</v>
      </c>
      <c r="E45" s="85"/>
      <c r="F45" s="87"/>
      <c r="G45" s="87"/>
      <c r="H45" s="87"/>
      <c r="I45" s="87"/>
      <c r="J45" s="167" t="s">
        <v>527</v>
      </c>
      <c r="K45" s="352"/>
      <c r="L45" s="352"/>
      <c r="M45" s="388"/>
      <c r="N45">
        <f t="shared" si="0"/>
        <v>1</v>
      </c>
    </row>
    <row r="46" spans="1:14" ht="30.95" customHeight="1" x14ac:dyDescent="0.3">
      <c r="A46" s="18">
        <v>16</v>
      </c>
      <c r="B46" s="338"/>
      <c r="C46" s="85" t="s">
        <v>63</v>
      </c>
      <c r="D46" s="86" t="s">
        <v>367</v>
      </c>
      <c r="E46" s="85"/>
      <c r="F46" s="87"/>
      <c r="G46" s="87"/>
      <c r="H46" s="87"/>
      <c r="I46" s="87"/>
      <c r="J46" s="167" t="s">
        <v>527</v>
      </c>
      <c r="K46" s="352"/>
      <c r="L46" s="352"/>
      <c r="M46" s="388"/>
      <c r="N46">
        <f t="shared" si="0"/>
        <v>1</v>
      </c>
    </row>
    <row r="47" spans="1:14" ht="30.95" customHeight="1" x14ac:dyDescent="0.3">
      <c r="A47" s="18">
        <v>17</v>
      </c>
      <c r="B47" s="338"/>
      <c r="C47" s="85" t="s">
        <v>63</v>
      </c>
      <c r="D47" s="86" t="s">
        <v>368</v>
      </c>
      <c r="E47" s="85"/>
      <c r="F47" s="87"/>
      <c r="G47" s="87"/>
      <c r="H47" s="87"/>
      <c r="I47" s="87"/>
      <c r="J47" s="167" t="s">
        <v>527</v>
      </c>
      <c r="K47" s="352"/>
      <c r="L47" s="352"/>
      <c r="M47" s="388"/>
      <c r="N47">
        <f t="shared" si="0"/>
        <v>1</v>
      </c>
    </row>
    <row r="48" spans="1:14" ht="30.95" customHeight="1" x14ac:dyDescent="0.3">
      <c r="A48" s="18">
        <v>18</v>
      </c>
      <c r="B48" s="338"/>
      <c r="C48" s="85" t="s">
        <v>63</v>
      </c>
      <c r="D48" s="86" t="s">
        <v>369</v>
      </c>
      <c r="E48" s="85"/>
      <c r="F48" s="87"/>
      <c r="G48" s="87"/>
      <c r="H48" s="87"/>
      <c r="I48" s="87"/>
      <c r="J48" s="167" t="s">
        <v>527</v>
      </c>
      <c r="K48" s="352"/>
      <c r="L48" s="352"/>
      <c r="M48" s="388"/>
      <c r="N48">
        <f t="shared" si="0"/>
        <v>1</v>
      </c>
    </row>
    <row r="49" spans="1:14" ht="30.95" customHeight="1" x14ac:dyDescent="0.3">
      <c r="A49" s="18">
        <v>19</v>
      </c>
      <c r="B49" s="338"/>
      <c r="C49" s="85" t="s">
        <v>63</v>
      </c>
      <c r="D49" s="86" t="s">
        <v>535</v>
      </c>
      <c r="E49" s="85"/>
      <c r="F49" s="87"/>
      <c r="G49" s="87"/>
      <c r="H49" s="87"/>
      <c r="I49" s="87"/>
      <c r="J49" s="167" t="s">
        <v>527</v>
      </c>
      <c r="K49" s="352"/>
      <c r="L49" s="352"/>
      <c r="M49" s="388"/>
      <c r="N49">
        <f t="shared" si="0"/>
        <v>1</v>
      </c>
    </row>
    <row r="50" spans="1:14" ht="30.95" customHeight="1" x14ac:dyDescent="0.3">
      <c r="A50" s="18">
        <v>20</v>
      </c>
      <c r="B50" s="338"/>
      <c r="C50" s="85" t="s">
        <v>63</v>
      </c>
      <c r="D50" s="86" t="s">
        <v>535</v>
      </c>
      <c r="E50" s="85"/>
      <c r="F50" s="87"/>
      <c r="G50" s="87"/>
      <c r="H50" s="87"/>
      <c r="I50" s="87"/>
      <c r="J50" s="167" t="s">
        <v>527</v>
      </c>
      <c r="K50" s="352"/>
      <c r="L50" s="352"/>
      <c r="M50" s="388"/>
      <c r="N50">
        <f t="shared" si="0"/>
        <v>1</v>
      </c>
    </row>
    <row r="51" spans="1:14" ht="30.95" customHeight="1" x14ac:dyDescent="0.3">
      <c r="A51" s="18">
        <v>21</v>
      </c>
      <c r="B51" s="338"/>
      <c r="C51" s="85" t="s">
        <v>63</v>
      </c>
      <c r="D51" s="86" t="s">
        <v>536</v>
      </c>
      <c r="E51" s="85"/>
      <c r="F51" s="87"/>
      <c r="G51" s="87"/>
      <c r="H51" s="87"/>
      <c r="I51" s="87"/>
      <c r="J51" s="167" t="s">
        <v>527</v>
      </c>
      <c r="K51" s="352"/>
      <c r="L51" s="352"/>
      <c r="M51" s="388"/>
      <c r="N51">
        <f t="shared" si="0"/>
        <v>1</v>
      </c>
    </row>
    <row r="52" spans="1:14" ht="30.95" customHeight="1" x14ac:dyDescent="0.3">
      <c r="A52" s="18">
        <v>22</v>
      </c>
      <c r="B52" s="338"/>
      <c r="C52" s="85" t="s">
        <v>63</v>
      </c>
      <c r="D52" s="86" t="s">
        <v>536</v>
      </c>
      <c r="E52" s="85"/>
      <c r="F52" s="87"/>
      <c r="G52" s="87"/>
      <c r="H52" s="87"/>
      <c r="I52" s="87"/>
      <c r="J52" s="167" t="s">
        <v>527</v>
      </c>
      <c r="K52" s="352"/>
      <c r="L52" s="352"/>
      <c r="M52" s="388"/>
    </row>
    <row r="53" spans="1:14" ht="30.95" customHeight="1" x14ac:dyDescent="0.3">
      <c r="A53" s="18">
        <v>23</v>
      </c>
      <c r="B53" s="338"/>
      <c r="C53" s="85" t="s">
        <v>62</v>
      </c>
      <c r="D53" s="86" t="s">
        <v>537</v>
      </c>
      <c r="E53" s="85"/>
      <c r="F53" s="87"/>
      <c r="G53" s="87"/>
      <c r="H53" s="87"/>
      <c r="I53" s="87"/>
      <c r="J53" s="167" t="s">
        <v>527</v>
      </c>
      <c r="K53" s="352"/>
      <c r="L53" s="352"/>
      <c r="M53" s="388"/>
    </row>
    <row r="54" spans="1:14" ht="30.95" customHeight="1" thickBot="1" x14ac:dyDescent="0.35">
      <c r="A54" s="21">
        <v>24</v>
      </c>
      <c r="B54" s="339"/>
      <c r="C54" s="85" t="s">
        <v>62</v>
      </c>
      <c r="D54" s="86" t="s">
        <v>537</v>
      </c>
      <c r="E54" s="169"/>
      <c r="F54" s="174"/>
      <c r="G54" s="174"/>
      <c r="H54" s="174"/>
      <c r="I54" s="174"/>
      <c r="J54" s="167" t="s">
        <v>527</v>
      </c>
      <c r="K54" s="390"/>
      <c r="L54" s="390"/>
      <c r="M54" s="389"/>
    </row>
    <row r="55" spans="1:14" ht="32.1" customHeight="1" x14ac:dyDescent="0.3"/>
    <row r="56" spans="1:14" ht="32.1" customHeight="1" x14ac:dyDescent="0.3"/>
    <row r="57" spans="1:14" ht="32.1" customHeight="1" x14ac:dyDescent="0.3"/>
    <row r="58" spans="1:14" ht="32.1" customHeight="1" x14ac:dyDescent="0.3"/>
    <row r="59" spans="1:14" ht="32.1" customHeight="1" x14ac:dyDescent="0.3"/>
    <row r="60" spans="1:14" ht="32.1" customHeight="1" x14ac:dyDescent="0.3"/>
    <row r="61" spans="1:14" ht="32.1" customHeight="1" x14ac:dyDescent="0.3"/>
    <row r="62" spans="1:14" ht="32.1" customHeight="1" x14ac:dyDescent="0.3"/>
    <row r="63" spans="1:14" ht="32.1" customHeight="1" x14ac:dyDescent="0.3"/>
    <row r="64" spans="1:14" ht="32.1" customHeight="1" x14ac:dyDescent="0.3"/>
    <row r="65" ht="32.1" customHeight="1" x14ac:dyDescent="0.3"/>
    <row r="66" ht="32.1" customHeight="1" x14ac:dyDescent="0.3"/>
    <row r="67" ht="32.1" customHeight="1" x14ac:dyDescent="0.3"/>
    <row r="68" ht="32.1" customHeight="1" x14ac:dyDescent="0.3"/>
    <row r="69" ht="32.1" customHeight="1" x14ac:dyDescent="0.3"/>
    <row r="70" ht="32.1" customHeight="1" x14ac:dyDescent="0.3"/>
    <row r="71" ht="32.1" customHeight="1" x14ac:dyDescent="0.3"/>
    <row r="72" ht="32.1" customHeight="1" x14ac:dyDescent="0.3"/>
    <row r="73" ht="32.1" customHeight="1" x14ac:dyDescent="0.3"/>
    <row r="74" ht="32.1" customHeight="1" x14ac:dyDescent="0.3"/>
    <row r="75" ht="32.1" customHeight="1" x14ac:dyDescent="0.3"/>
    <row r="76" ht="32.1" customHeight="1" x14ac:dyDescent="0.3"/>
    <row r="77" ht="32.1" customHeight="1" x14ac:dyDescent="0.3"/>
    <row r="78" ht="32.1" customHeight="1" x14ac:dyDescent="0.3"/>
    <row r="79" ht="32.1" customHeight="1" x14ac:dyDescent="0.3"/>
    <row r="80" ht="32.1" customHeight="1" x14ac:dyDescent="0.3"/>
    <row r="81" ht="32.1" customHeight="1" x14ac:dyDescent="0.3"/>
    <row r="82" ht="32.1" customHeight="1" x14ac:dyDescent="0.3"/>
    <row r="83" ht="32.1" customHeight="1" x14ac:dyDescent="0.3"/>
    <row r="84" ht="32.1" customHeight="1" x14ac:dyDescent="0.3"/>
    <row r="85" ht="32.1" customHeight="1" x14ac:dyDescent="0.3"/>
    <row r="86" ht="32.1" customHeight="1" x14ac:dyDescent="0.3"/>
    <row r="87" ht="32.1" customHeight="1" x14ac:dyDescent="0.3"/>
    <row r="88" ht="32.1" customHeight="1" x14ac:dyDescent="0.3"/>
    <row r="89" ht="32.1" customHeight="1" x14ac:dyDescent="0.3"/>
    <row r="90" ht="32.1" customHeight="1" x14ac:dyDescent="0.3"/>
    <row r="91" ht="32.1" customHeight="1" x14ac:dyDescent="0.3"/>
    <row r="92" ht="32.1" customHeight="1" x14ac:dyDescent="0.3"/>
    <row r="93" ht="32.1" customHeight="1" x14ac:dyDescent="0.3"/>
    <row r="94" ht="32.1" customHeight="1" x14ac:dyDescent="0.3"/>
    <row r="95" ht="32.1" customHeight="1" x14ac:dyDescent="0.3"/>
    <row r="96" ht="32.1" customHeight="1" x14ac:dyDescent="0.3"/>
    <row r="97" ht="32.1" customHeight="1" x14ac:dyDescent="0.3"/>
    <row r="98" ht="32.1" customHeight="1" x14ac:dyDescent="0.3"/>
    <row r="99" ht="32.1" customHeight="1" x14ac:dyDescent="0.3"/>
    <row r="100" ht="32.1" customHeight="1" x14ac:dyDescent="0.3"/>
    <row r="101" ht="32.1" customHeight="1" x14ac:dyDescent="0.3"/>
    <row r="102" ht="32.1" customHeight="1" x14ac:dyDescent="0.3"/>
    <row r="103" ht="32.1" customHeight="1" x14ac:dyDescent="0.3"/>
    <row r="104" ht="32.1" customHeight="1" x14ac:dyDescent="0.3"/>
    <row r="105" ht="32.1" customHeight="1" x14ac:dyDescent="0.3"/>
    <row r="106" ht="32.1" customHeight="1" x14ac:dyDescent="0.3"/>
    <row r="107" ht="32.1" customHeight="1" x14ac:dyDescent="0.3"/>
    <row r="108" ht="32.1" customHeight="1" x14ac:dyDescent="0.3"/>
    <row r="109" ht="32.1" customHeight="1" x14ac:dyDescent="0.3"/>
    <row r="110" ht="32.1" customHeight="1" x14ac:dyDescent="0.3"/>
    <row r="111" ht="32.1" customHeight="1" x14ac:dyDescent="0.3"/>
    <row r="112" ht="32.1" customHeight="1" x14ac:dyDescent="0.3"/>
    <row r="113" ht="32.1" customHeight="1" x14ac:dyDescent="0.3"/>
    <row r="114" ht="32.1" customHeight="1" x14ac:dyDescent="0.3"/>
    <row r="115" ht="32.1" customHeight="1" x14ac:dyDescent="0.3"/>
    <row r="116" ht="32.1" customHeight="1" x14ac:dyDescent="0.3"/>
    <row r="117" ht="32.1" customHeight="1" x14ac:dyDescent="0.3"/>
    <row r="118" ht="32.1" customHeight="1" x14ac:dyDescent="0.3"/>
    <row r="119" ht="32.1" customHeight="1" x14ac:dyDescent="0.3"/>
    <row r="120" ht="32.1" customHeight="1" x14ac:dyDescent="0.3"/>
    <row r="121" ht="32.1" customHeight="1" x14ac:dyDescent="0.3"/>
    <row r="122" ht="32.1" customHeight="1" x14ac:dyDescent="0.3"/>
    <row r="123" ht="32.1" customHeight="1" x14ac:dyDescent="0.3"/>
    <row r="124" ht="32.1" customHeight="1" x14ac:dyDescent="0.3"/>
    <row r="125" ht="32.1" customHeight="1" x14ac:dyDescent="0.3"/>
    <row r="126" ht="32.1" customHeight="1" x14ac:dyDescent="0.3"/>
    <row r="127" ht="32.1" customHeight="1" x14ac:dyDescent="0.3"/>
    <row r="128" ht="32.1" customHeight="1" x14ac:dyDescent="0.3"/>
    <row r="129" ht="32.1" customHeight="1" x14ac:dyDescent="0.3"/>
    <row r="130" ht="32.1" customHeight="1" x14ac:dyDescent="0.3"/>
    <row r="131" ht="32.1" customHeight="1" x14ac:dyDescent="0.3"/>
    <row r="132" ht="32.1" customHeight="1" x14ac:dyDescent="0.3"/>
    <row r="133" ht="32.1" customHeight="1" x14ac:dyDescent="0.3"/>
    <row r="134" ht="32.1" customHeight="1" x14ac:dyDescent="0.3"/>
  </sheetData>
  <mergeCells count="26">
    <mergeCell ref="L4:L27"/>
    <mergeCell ref="M4:M27"/>
    <mergeCell ref="K31:K54"/>
    <mergeCell ref="L31:L54"/>
    <mergeCell ref="M31:M54"/>
    <mergeCell ref="A29:C29"/>
    <mergeCell ref="F29:G29"/>
    <mergeCell ref="H29:I29"/>
    <mergeCell ref="J29:J30"/>
    <mergeCell ref="K4:K27"/>
    <mergeCell ref="B31:B54"/>
    <mergeCell ref="B4:B27"/>
    <mergeCell ref="M1:M3"/>
    <mergeCell ref="A2:C2"/>
    <mergeCell ref="F2:G2"/>
    <mergeCell ref="H2:I2"/>
    <mergeCell ref="J2:J3"/>
    <mergeCell ref="A1:C1"/>
    <mergeCell ref="F1:J1"/>
    <mergeCell ref="K1:K3"/>
    <mergeCell ref="L1:L3"/>
    <mergeCell ref="A28:C28"/>
    <mergeCell ref="F28:J28"/>
    <mergeCell ref="K28:K30"/>
    <mergeCell ref="L28:L30"/>
    <mergeCell ref="M28:M30"/>
  </mergeCells>
  <phoneticPr fontId="1" type="noConversion"/>
  <pageMargins left="0.25" right="0.25" top="0.75" bottom="0.75" header="0.3" footer="0.3"/>
  <pageSetup paperSize="9" scale="56" fitToHeight="0" orientation="landscape" r:id="rId1"/>
  <rowBreaks count="1" manualBreakCount="1">
    <brk id="27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3"/>
  <sheetViews>
    <sheetView view="pageBreakPreview" zoomScale="70" zoomScaleNormal="100" zoomScaleSheetLayoutView="70" workbookViewId="0">
      <pane ySplit="4" topLeftCell="A62" activePane="bottomLeft" state="frozen"/>
      <selection activeCell="E28" sqref="E28"/>
      <selection pane="bottomLeft" activeCell="E25" sqref="E25:E28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4" ht="29.1" customHeight="1" x14ac:dyDescent="0.3">
      <c r="A1" s="374" t="s">
        <v>8</v>
      </c>
      <c r="B1" s="325"/>
      <c r="C1" s="325"/>
      <c r="D1" s="213" t="s">
        <v>11</v>
      </c>
      <c r="E1" s="213" t="s">
        <v>12</v>
      </c>
      <c r="F1" s="338" t="s">
        <v>544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COUNTIF(N5:N503,0)/COUNT(A:A)</f>
        <v>0.69444444444444442</v>
      </c>
    </row>
    <row r="2" spans="1:14" ht="29.1" customHeight="1" x14ac:dyDescent="0.3">
      <c r="A2" s="336" t="s">
        <v>9</v>
      </c>
      <c r="B2" s="337"/>
      <c r="C2" s="337"/>
      <c r="D2" s="368" t="s">
        <v>518</v>
      </c>
      <c r="E2" s="348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4" ht="29.1" customHeight="1" x14ac:dyDescent="0.3">
      <c r="A3" s="336"/>
      <c r="B3" s="337"/>
      <c r="C3" s="337"/>
      <c r="D3" s="368"/>
      <c r="E3" s="396"/>
      <c r="F3" s="211" t="s">
        <v>638</v>
      </c>
      <c r="G3" s="214">
        <f>전송손실!M17</f>
        <v>-9.0496400000000001</v>
      </c>
      <c r="H3" s="211" t="s">
        <v>638</v>
      </c>
      <c r="I3" s="214">
        <f>전송손실!M43</f>
        <v>-6.0647799999999989</v>
      </c>
      <c r="J3" s="369"/>
      <c r="K3" s="332"/>
      <c r="L3" s="332"/>
      <c r="M3" s="332"/>
    </row>
    <row r="4" spans="1:14" ht="29.1" customHeight="1" thickBot="1" x14ac:dyDescent="0.35">
      <c r="A4" s="212" t="s">
        <v>0</v>
      </c>
      <c r="B4" s="212" t="s">
        <v>1</v>
      </c>
      <c r="C4" s="212" t="s">
        <v>23</v>
      </c>
      <c r="D4" s="212" t="s">
        <v>2</v>
      </c>
      <c r="E4" s="212" t="s">
        <v>3</v>
      </c>
      <c r="F4" s="212" t="s">
        <v>4</v>
      </c>
      <c r="G4" s="212" t="s">
        <v>506</v>
      </c>
      <c r="H4" s="212" t="s">
        <v>4</v>
      </c>
      <c r="I4" s="212" t="s">
        <v>506</v>
      </c>
      <c r="J4" s="370"/>
      <c r="K4" s="367"/>
      <c r="L4" s="367"/>
      <c r="M4" s="367"/>
    </row>
    <row r="5" spans="1:14" ht="30.95" customHeight="1" x14ac:dyDescent="0.3">
      <c r="A5" s="64">
        <v>1</v>
      </c>
      <c r="B5" s="393" t="s">
        <v>132</v>
      </c>
      <c r="C5" s="73"/>
      <c r="D5" s="77" t="s">
        <v>521</v>
      </c>
      <c r="E5" s="73"/>
      <c r="F5" s="151"/>
      <c r="G5" s="151"/>
      <c r="H5" s="151"/>
      <c r="I5" s="151"/>
      <c r="J5" s="159" t="s">
        <v>522</v>
      </c>
      <c r="K5" s="378" t="s">
        <v>449</v>
      </c>
      <c r="L5" s="355"/>
      <c r="M5" s="359"/>
      <c r="N5">
        <f>IF(C5="",0,1)</f>
        <v>0</v>
      </c>
    </row>
    <row r="6" spans="1:14" ht="30.95" customHeight="1" x14ac:dyDescent="0.3">
      <c r="A6" s="18">
        <v>2</v>
      </c>
      <c r="B6" s="338"/>
      <c r="C6" s="76"/>
      <c r="D6" s="77" t="s">
        <v>521</v>
      </c>
      <c r="E6" s="76"/>
      <c r="F6" s="118"/>
      <c r="G6" s="118"/>
      <c r="H6" s="118"/>
      <c r="I6" s="118"/>
      <c r="J6" s="159" t="s">
        <v>522</v>
      </c>
      <c r="K6" s="355"/>
      <c r="L6" s="355"/>
      <c r="M6" s="359"/>
      <c r="N6">
        <f t="shared" ref="N6:N71" si="0">IF(C6="",0,1)</f>
        <v>0</v>
      </c>
    </row>
    <row r="7" spans="1:14" ht="30.95" customHeight="1" x14ac:dyDescent="0.3">
      <c r="A7" s="18">
        <v>3</v>
      </c>
      <c r="B7" s="338"/>
      <c r="C7" s="85" t="s">
        <v>26</v>
      </c>
      <c r="D7" s="86" t="s">
        <v>488</v>
      </c>
      <c r="E7" s="85"/>
      <c r="F7" s="117"/>
      <c r="G7" s="117"/>
      <c r="H7" s="117"/>
      <c r="I7" s="117"/>
      <c r="J7" s="121"/>
      <c r="K7" s="355"/>
      <c r="L7" s="355"/>
      <c r="M7" s="359"/>
      <c r="N7">
        <f t="shared" si="0"/>
        <v>1</v>
      </c>
    </row>
    <row r="8" spans="1:14" ht="30.95" customHeight="1" x14ac:dyDescent="0.3">
      <c r="A8" s="18">
        <v>4</v>
      </c>
      <c r="B8" s="338"/>
      <c r="C8" s="85" t="s">
        <v>26</v>
      </c>
      <c r="D8" s="86" t="s">
        <v>487</v>
      </c>
      <c r="E8" s="85"/>
      <c r="F8" s="117"/>
      <c r="G8" s="117"/>
      <c r="H8" s="117"/>
      <c r="I8" s="117"/>
      <c r="J8" s="121"/>
      <c r="K8" s="355"/>
      <c r="L8" s="355"/>
      <c r="M8" s="359"/>
      <c r="N8">
        <f t="shared" si="0"/>
        <v>1</v>
      </c>
    </row>
    <row r="9" spans="1:14" ht="30.95" customHeight="1" x14ac:dyDescent="0.3">
      <c r="A9" s="18">
        <v>5</v>
      </c>
      <c r="B9" s="338"/>
      <c r="C9" s="76"/>
      <c r="D9" s="77"/>
      <c r="E9" s="76"/>
      <c r="F9" s="118">
        <v>-6.4349999999999996</v>
      </c>
      <c r="G9" s="118">
        <v>18.739999999999998</v>
      </c>
      <c r="H9" s="118">
        <v>-4.42</v>
      </c>
      <c r="I9" s="118">
        <v>18.747</v>
      </c>
      <c r="J9" s="118" t="s">
        <v>660</v>
      </c>
      <c r="K9" s="355"/>
      <c r="L9" s="355"/>
      <c r="M9" s="359"/>
      <c r="N9">
        <f t="shared" si="0"/>
        <v>0</v>
      </c>
    </row>
    <row r="10" spans="1:14" ht="30.95" customHeight="1" x14ac:dyDescent="0.3">
      <c r="A10" s="18">
        <v>6</v>
      </c>
      <c r="B10" s="338"/>
      <c r="C10" s="76"/>
      <c r="D10" s="77"/>
      <c r="E10" s="76"/>
      <c r="F10" s="118">
        <v>-6.516</v>
      </c>
      <c r="G10" s="118">
        <v>18.736999999999998</v>
      </c>
      <c r="H10" s="118">
        <v>-4.3410000000000002</v>
      </c>
      <c r="I10" s="118">
        <v>18.745000000000001</v>
      </c>
      <c r="J10" s="118" t="s">
        <v>660</v>
      </c>
      <c r="K10" s="355"/>
      <c r="L10" s="355"/>
      <c r="M10" s="359"/>
      <c r="N10">
        <f t="shared" si="0"/>
        <v>0</v>
      </c>
    </row>
    <row r="11" spans="1:14" ht="30.95" customHeight="1" x14ac:dyDescent="0.3">
      <c r="A11" s="18">
        <v>7</v>
      </c>
      <c r="B11" s="338"/>
      <c r="C11" s="76"/>
      <c r="D11" s="77" t="s">
        <v>523</v>
      </c>
      <c r="E11" s="76"/>
      <c r="F11" s="118"/>
      <c r="G11" s="118"/>
      <c r="H11" s="118"/>
      <c r="I11" s="118"/>
      <c r="J11" s="159" t="s">
        <v>524</v>
      </c>
      <c r="K11" s="355"/>
      <c r="L11" s="355"/>
      <c r="M11" s="359"/>
      <c r="N11">
        <f t="shared" si="0"/>
        <v>0</v>
      </c>
    </row>
    <row r="12" spans="1:14" ht="30.95" customHeight="1" x14ac:dyDescent="0.3">
      <c r="A12" s="18">
        <v>8</v>
      </c>
      <c r="B12" s="338"/>
      <c r="C12" s="76"/>
      <c r="D12" s="77" t="s">
        <v>523</v>
      </c>
      <c r="E12" s="76"/>
      <c r="F12" s="118"/>
      <c r="G12" s="118"/>
      <c r="H12" s="118"/>
      <c r="I12" s="118"/>
      <c r="J12" s="159" t="s">
        <v>524</v>
      </c>
      <c r="K12" s="355"/>
      <c r="L12" s="355"/>
      <c r="M12" s="359"/>
      <c r="N12">
        <f t="shared" si="0"/>
        <v>0</v>
      </c>
    </row>
    <row r="13" spans="1:14" ht="30.95" customHeight="1" x14ac:dyDescent="0.3">
      <c r="A13" s="18">
        <v>9</v>
      </c>
      <c r="B13" s="338"/>
      <c r="C13" s="35"/>
      <c r="D13" s="12"/>
      <c r="E13" s="35"/>
      <c r="F13" s="116"/>
      <c r="G13" s="116"/>
      <c r="H13" s="116"/>
      <c r="I13" s="116"/>
      <c r="J13" s="122"/>
      <c r="K13" s="355"/>
      <c r="L13" s="355"/>
      <c r="M13" s="359"/>
      <c r="N13">
        <f t="shared" si="0"/>
        <v>0</v>
      </c>
    </row>
    <row r="14" spans="1:14" ht="30.95" customHeight="1" x14ac:dyDescent="0.3">
      <c r="A14" s="18">
        <v>10</v>
      </c>
      <c r="B14" s="338"/>
      <c r="C14" s="35"/>
      <c r="D14" s="12"/>
      <c r="E14" s="35"/>
      <c r="F14" s="116"/>
      <c r="G14" s="116"/>
      <c r="H14" s="116"/>
      <c r="I14" s="116"/>
      <c r="J14" s="122"/>
      <c r="K14" s="355"/>
      <c r="L14" s="355"/>
      <c r="M14" s="359"/>
      <c r="N14">
        <f t="shared" si="0"/>
        <v>0</v>
      </c>
    </row>
    <row r="15" spans="1:14" ht="30.95" customHeight="1" x14ac:dyDescent="0.3">
      <c r="A15" s="18">
        <v>11</v>
      </c>
      <c r="B15" s="338"/>
      <c r="C15" s="35"/>
      <c r="D15" s="12"/>
      <c r="E15" s="35"/>
      <c r="F15" s="116"/>
      <c r="G15" s="116"/>
      <c r="H15" s="116"/>
      <c r="I15" s="116"/>
      <c r="J15" s="122"/>
      <c r="K15" s="355"/>
      <c r="L15" s="355"/>
      <c r="M15" s="359"/>
      <c r="N15">
        <f t="shared" si="0"/>
        <v>0</v>
      </c>
    </row>
    <row r="16" spans="1:14" ht="30.95" customHeight="1" x14ac:dyDescent="0.3">
      <c r="A16" s="18">
        <v>12</v>
      </c>
      <c r="B16" s="338"/>
      <c r="C16" s="35"/>
      <c r="D16" s="12"/>
      <c r="E16" s="35"/>
      <c r="F16" s="116"/>
      <c r="G16" s="116"/>
      <c r="H16" s="116"/>
      <c r="I16" s="116"/>
      <c r="J16" s="122"/>
      <c r="K16" s="355"/>
      <c r="L16" s="355"/>
      <c r="M16" s="359"/>
      <c r="N16">
        <f t="shared" si="0"/>
        <v>0</v>
      </c>
    </row>
    <row r="17" spans="1:16" ht="30.95" customHeight="1" x14ac:dyDescent="0.3">
      <c r="A17" s="18">
        <v>13</v>
      </c>
      <c r="B17" s="338"/>
      <c r="C17" s="85" t="s">
        <v>63</v>
      </c>
      <c r="D17" s="86" t="s">
        <v>495</v>
      </c>
      <c r="E17" s="85"/>
      <c r="F17" s="117"/>
      <c r="G17" s="117"/>
      <c r="H17" s="117"/>
      <c r="I17" s="117"/>
      <c r="J17" s="121"/>
      <c r="K17" s="355"/>
      <c r="L17" s="355"/>
      <c r="M17" s="359"/>
      <c r="N17">
        <f t="shared" si="0"/>
        <v>1</v>
      </c>
    </row>
    <row r="18" spans="1:16" ht="30.95" customHeight="1" x14ac:dyDescent="0.3">
      <c r="A18" s="18">
        <v>14</v>
      </c>
      <c r="B18" s="338"/>
      <c r="C18" s="76"/>
      <c r="D18" s="77"/>
      <c r="E18" s="76"/>
      <c r="F18" s="118">
        <v>-6.5270000000000001</v>
      </c>
      <c r="G18" s="118">
        <v>18.734999999999999</v>
      </c>
      <c r="H18" s="118">
        <v>-3.9940000000000002</v>
      </c>
      <c r="I18" s="118">
        <v>18.742999999999999</v>
      </c>
      <c r="J18" s="118" t="s">
        <v>660</v>
      </c>
      <c r="K18" s="355"/>
      <c r="L18" s="355"/>
      <c r="M18" s="359"/>
      <c r="N18">
        <f t="shared" si="0"/>
        <v>0</v>
      </c>
    </row>
    <row r="19" spans="1:16" ht="30.95" customHeight="1" x14ac:dyDescent="0.3">
      <c r="A19" s="18">
        <v>15</v>
      </c>
      <c r="B19" s="338"/>
      <c r="C19" s="35" t="s">
        <v>131</v>
      </c>
      <c r="D19" s="12" t="s">
        <v>712</v>
      </c>
      <c r="E19" s="35"/>
      <c r="F19" s="116"/>
      <c r="G19" s="116"/>
      <c r="H19" s="116"/>
      <c r="I19" s="116"/>
      <c r="J19" s="122"/>
      <c r="K19" s="355"/>
      <c r="L19" s="355"/>
      <c r="M19" s="359"/>
      <c r="N19">
        <f t="shared" si="0"/>
        <v>1</v>
      </c>
    </row>
    <row r="20" spans="1:16" ht="30.95" customHeight="1" x14ac:dyDescent="0.3">
      <c r="A20" s="18">
        <v>16</v>
      </c>
      <c r="B20" s="338"/>
      <c r="C20" s="35" t="s">
        <v>131</v>
      </c>
      <c r="D20" s="12" t="s">
        <v>713</v>
      </c>
      <c r="E20" s="35"/>
      <c r="F20" s="116"/>
      <c r="G20" s="116"/>
      <c r="H20" s="116"/>
      <c r="I20" s="116"/>
      <c r="J20" s="122"/>
      <c r="K20" s="355"/>
      <c r="L20" s="355"/>
      <c r="M20" s="359"/>
      <c r="N20">
        <f t="shared" si="0"/>
        <v>1</v>
      </c>
    </row>
    <row r="21" spans="1:16" ht="30.95" customHeight="1" x14ac:dyDescent="0.3">
      <c r="A21" s="18">
        <v>17</v>
      </c>
      <c r="B21" s="338"/>
      <c r="C21" s="35" t="s">
        <v>15</v>
      </c>
      <c r="D21" s="12" t="s">
        <v>145</v>
      </c>
      <c r="E21" s="35" t="s">
        <v>714</v>
      </c>
      <c r="F21" s="116"/>
      <c r="G21" s="116"/>
      <c r="H21" s="116"/>
      <c r="I21" s="116"/>
      <c r="J21" s="122"/>
      <c r="K21" s="355"/>
      <c r="L21" s="355"/>
      <c r="M21" s="359"/>
      <c r="N21">
        <f t="shared" si="0"/>
        <v>1</v>
      </c>
    </row>
    <row r="22" spans="1:16" ht="30.95" customHeight="1" x14ac:dyDescent="0.3">
      <c r="A22" s="18">
        <v>18</v>
      </c>
      <c r="B22" s="338"/>
      <c r="C22" s="35" t="s">
        <v>15</v>
      </c>
      <c r="D22" s="12" t="s">
        <v>145</v>
      </c>
      <c r="E22" s="35" t="s">
        <v>714</v>
      </c>
      <c r="F22" s="116"/>
      <c r="G22" s="116"/>
      <c r="H22" s="116"/>
      <c r="I22" s="116"/>
      <c r="J22" s="122"/>
      <c r="K22" s="355"/>
      <c r="L22" s="355"/>
      <c r="M22" s="359"/>
      <c r="N22">
        <f t="shared" si="0"/>
        <v>1</v>
      </c>
    </row>
    <row r="23" spans="1:16" ht="30.95" customHeight="1" x14ac:dyDescent="0.3">
      <c r="A23" s="18">
        <v>19</v>
      </c>
      <c r="B23" s="338"/>
      <c r="C23" s="76"/>
      <c r="D23" s="77"/>
      <c r="E23" s="76"/>
      <c r="F23" s="118">
        <v>-6.5359999999999996</v>
      </c>
      <c r="G23" s="118">
        <v>18.736999999999998</v>
      </c>
      <c r="H23" s="118">
        <v>-4.0759999999999996</v>
      </c>
      <c r="I23" s="118">
        <v>18.745000000000001</v>
      </c>
      <c r="J23" s="118" t="s">
        <v>660</v>
      </c>
      <c r="K23" s="355"/>
      <c r="L23" s="355"/>
      <c r="M23" s="359"/>
      <c r="N23">
        <f t="shared" si="0"/>
        <v>0</v>
      </c>
    </row>
    <row r="24" spans="1:16" ht="30.95" customHeight="1" x14ac:dyDescent="0.3">
      <c r="A24" s="18">
        <v>20</v>
      </c>
      <c r="B24" s="338"/>
      <c r="C24" s="76"/>
      <c r="D24" s="77"/>
      <c r="E24" s="76"/>
      <c r="F24" s="118">
        <v>-6.4580000000000002</v>
      </c>
      <c r="G24" s="118">
        <v>18.736999999999998</v>
      </c>
      <c r="H24" s="118">
        <v>-3.9969999999999999</v>
      </c>
      <c r="I24" s="118">
        <v>18.745999999999999</v>
      </c>
      <c r="J24" s="118" t="s">
        <v>660</v>
      </c>
      <c r="K24" s="355"/>
      <c r="L24" s="355"/>
      <c r="M24" s="359"/>
      <c r="N24">
        <f t="shared" si="0"/>
        <v>0</v>
      </c>
    </row>
    <row r="25" spans="1:16" ht="30.95" customHeight="1" x14ac:dyDescent="0.3">
      <c r="A25" s="18">
        <v>21</v>
      </c>
      <c r="B25" s="338"/>
      <c r="C25" s="35"/>
      <c r="D25" s="12"/>
      <c r="E25" s="397" t="s">
        <v>445</v>
      </c>
      <c r="F25" s="116"/>
      <c r="G25" s="116"/>
      <c r="H25" s="116"/>
      <c r="I25" s="116"/>
      <c r="J25" s="122"/>
      <c r="K25" s="355"/>
      <c r="L25" s="355"/>
      <c r="M25" s="359"/>
      <c r="N25">
        <f t="shared" si="0"/>
        <v>0</v>
      </c>
    </row>
    <row r="26" spans="1:16" ht="30.95" customHeight="1" x14ac:dyDescent="0.3">
      <c r="A26" s="18">
        <v>22</v>
      </c>
      <c r="B26" s="338"/>
      <c r="C26" s="35"/>
      <c r="D26" s="12"/>
      <c r="E26" s="398"/>
      <c r="F26" s="116"/>
      <c r="G26" s="116"/>
      <c r="H26" s="116"/>
      <c r="I26" s="116"/>
      <c r="J26" s="122"/>
      <c r="K26" s="355"/>
      <c r="L26" s="355"/>
      <c r="M26" s="359"/>
      <c r="N26">
        <f t="shared" si="0"/>
        <v>0</v>
      </c>
    </row>
    <row r="27" spans="1:16" ht="30.95" customHeight="1" x14ac:dyDescent="0.3">
      <c r="A27" s="18">
        <v>23</v>
      </c>
      <c r="B27" s="338"/>
      <c r="C27" s="35"/>
      <c r="D27" s="12"/>
      <c r="E27" s="398"/>
      <c r="F27" s="116"/>
      <c r="G27" s="116"/>
      <c r="H27" s="116"/>
      <c r="I27" s="116"/>
      <c r="J27" s="122"/>
      <c r="K27" s="355"/>
      <c r="L27" s="355"/>
      <c r="M27" s="359"/>
      <c r="N27">
        <f t="shared" si="0"/>
        <v>0</v>
      </c>
    </row>
    <row r="28" spans="1:16" ht="30.95" customHeight="1" thickBot="1" x14ac:dyDescent="0.35">
      <c r="A28" s="21">
        <v>24</v>
      </c>
      <c r="B28" s="339"/>
      <c r="C28" s="40"/>
      <c r="D28" s="22"/>
      <c r="E28" s="399"/>
      <c r="F28" s="128"/>
      <c r="G28" s="128"/>
      <c r="H28" s="128"/>
      <c r="I28" s="128"/>
      <c r="J28" s="129"/>
      <c r="K28" s="356"/>
      <c r="L28" s="356"/>
      <c r="M28" s="360"/>
      <c r="N28">
        <f t="shared" si="0"/>
        <v>0</v>
      </c>
      <c r="O28">
        <f>SUM(F9:F10,F18,F23,F24)/5</f>
        <v>-6.4944000000000006</v>
      </c>
      <c r="P28">
        <f>SUM(H9,H10,H18,H23,H24)/5</f>
        <v>-4.1655999999999995</v>
      </c>
    </row>
    <row r="29" spans="1:16" ht="30.95" customHeight="1" x14ac:dyDescent="0.3">
      <c r="A29" s="374" t="s">
        <v>8</v>
      </c>
      <c r="B29" s="325"/>
      <c r="C29" s="325"/>
      <c r="D29" s="228" t="s">
        <v>11</v>
      </c>
      <c r="E29" s="228" t="s">
        <v>12</v>
      </c>
      <c r="F29" s="338" t="s">
        <v>544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518</v>
      </c>
      <c r="E30" s="348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96"/>
      <c r="F31" s="226" t="s">
        <v>638</v>
      </c>
      <c r="G31" s="214">
        <f>전송손실!M19</f>
        <v>-4.4909599999999994</v>
      </c>
      <c r="H31" s="226" t="s">
        <v>638</v>
      </c>
      <c r="I31" s="214">
        <f>전송손실!M45</f>
        <v>-3.1089200000000003</v>
      </c>
      <c r="J31" s="369"/>
      <c r="K31" s="332"/>
      <c r="L31" s="332"/>
      <c r="M31" s="332"/>
    </row>
    <row r="32" spans="1:16" ht="30.95" customHeight="1" thickBot="1" x14ac:dyDescent="0.35">
      <c r="A32" s="229" t="s">
        <v>0</v>
      </c>
      <c r="B32" s="229" t="s">
        <v>1</v>
      </c>
      <c r="C32" s="229" t="s">
        <v>23</v>
      </c>
      <c r="D32" s="229" t="s">
        <v>2</v>
      </c>
      <c r="E32" s="229" t="s">
        <v>3</v>
      </c>
      <c r="F32" s="229" t="s">
        <v>4</v>
      </c>
      <c r="G32" s="229" t="s">
        <v>506</v>
      </c>
      <c r="H32" s="229" t="s">
        <v>4</v>
      </c>
      <c r="I32" s="229" t="s">
        <v>506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64">
        <v>1</v>
      </c>
      <c r="B33" s="394" t="s">
        <v>452</v>
      </c>
      <c r="C33" s="68" t="s">
        <v>146</v>
      </c>
      <c r="D33" s="17" t="s">
        <v>489</v>
      </c>
      <c r="E33" s="68"/>
      <c r="F33" s="123"/>
      <c r="G33" s="123"/>
      <c r="H33" s="123"/>
      <c r="I33" s="123"/>
      <c r="J33" s="124"/>
      <c r="K33" s="355" t="s">
        <v>429</v>
      </c>
      <c r="L33" s="355"/>
      <c r="M33" s="359"/>
      <c r="N33">
        <f t="shared" si="0"/>
        <v>1</v>
      </c>
    </row>
    <row r="34" spans="1:14" ht="30.95" customHeight="1" x14ac:dyDescent="0.3">
      <c r="A34" s="18">
        <v>2</v>
      </c>
      <c r="B34" s="394"/>
      <c r="C34" s="35" t="s">
        <v>146</v>
      </c>
      <c r="D34" s="12" t="s">
        <v>490</v>
      </c>
      <c r="E34" s="35"/>
      <c r="F34" s="116"/>
      <c r="G34" s="116"/>
      <c r="H34" s="116"/>
      <c r="I34" s="116"/>
      <c r="J34" s="122"/>
      <c r="K34" s="355"/>
      <c r="L34" s="355"/>
      <c r="M34" s="359"/>
      <c r="N34">
        <f t="shared" si="0"/>
        <v>1</v>
      </c>
    </row>
    <row r="35" spans="1:14" ht="30.95" customHeight="1" x14ac:dyDescent="0.3">
      <c r="A35" s="18">
        <v>3</v>
      </c>
      <c r="B35" s="394"/>
      <c r="C35" s="35" t="s">
        <v>146</v>
      </c>
      <c r="D35" s="12" t="s">
        <v>133</v>
      </c>
      <c r="E35" s="35"/>
      <c r="F35" s="116"/>
      <c r="G35" s="116"/>
      <c r="H35" s="116"/>
      <c r="I35" s="116"/>
      <c r="J35" s="122"/>
      <c r="K35" s="355"/>
      <c r="L35" s="355"/>
      <c r="M35" s="359"/>
      <c r="N35">
        <f t="shared" si="0"/>
        <v>1</v>
      </c>
    </row>
    <row r="36" spans="1:14" ht="30.95" customHeight="1" x14ac:dyDescent="0.3">
      <c r="A36" s="18">
        <v>4</v>
      </c>
      <c r="B36" s="394"/>
      <c r="C36" s="35" t="s">
        <v>146</v>
      </c>
      <c r="D36" s="12" t="s">
        <v>134</v>
      </c>
      <c r="E36" s="35"/>
      <c r="F36" s="116"/>
      <c r="G36" s="116"/>
      <c r="H36" s="116"/>
      <c r="I36" s="116"/>
      <c r="J36" s="122"/>
      <c r="K36" s="355"/>
      <c r="L36" s="355"/>
      <c r="M36" s="359"/>
      <c r="N36">
        <f t="shared" si="0"/>
        <v>1</v>
      </c>
    </row>
    <row r="37" spans="1:14" ht="30.95" customHeight="1" x14ac:dyDescent="0.3">
      <c r="A37" s="18">
        <v>5</v>
      </c>
      <c r="B37" s="394"/>
      <c r="C37" s="35" t="s">
        <v>146</v>
      </c>
      <c r="D37" s="12" t="s">
        <v>140</v>
      </c>
      <c r="E37" s="35"/>
      <c r="F37" s="116"/>
      <c r="G37" s="116"/>
      <c r="H37" s="116"/>
      <c r="I37" s="116"/>
      <c r="J37" s="122"/>
      <c r="K37" s="355"/>
      <c r="L37" s="355"/>
      <c r="M37" s="359"/>
      <c r="N37">
        <f t="shared" si="0"/>
        <v>1</v>
      </c>
    </row>
    <row r="38" spans="1:14" ht="30.95" customHeight="1" x14ac:dyDescent="0.3">
      <c r="A38" s="18">
        <v>6</v>
      </c>
      <c r="B38" s="394"/>
      <c r="C38" s="35" t="s">
        <v>146</v>
      </c>
      <c r="D38" s="12" t="s">
        <v>141</v>
      </c>
      <c r="E38" s="35"/>
      <c r="F38" s="116"/>
      <c r="G38" s="116"/>
      <c r="H38" s="116"/>
      <c r="I38" s="116"/>
      <c r="J38" s="122"/>
      <c r="K38" s="355"/>
      <c r="L38" s="355"/>
      <c r="M38" s="359"/>
      <c r="N38">
        <f t="shared" si="0"/>
        <v>1</v>
      </c>
    </row>
    <row r="39" spans="1:14" ht="30.95" customHeight="1" x14ac:dyDescent="0.3">
      <c r="A39" s="18">
        <v>7</v>
      </c>
      <c r="B39" s="394"/>
      <c r="C39" s="35" t="s">
        <v>146</v>
      </c>
      <c r="D39" s="12" t="s">
        <v>491</v>
      </c>
      <c r="E39" s="35"/>
      <c r="F39" s="116"/>
      <c r="G39" s="116"/>
      <c r="H39" s="116"/>
      <c r="I39" s="116"/>
      <c r="J39" s="122"/>
      <c r="K39" s="355"/>
      <c r="L39" s="355"/>
      <c r="M39" s="359"/>
      <c r="N39">
        <f t="shared" si="0"/>
        <v>1</v>
      </c>
    </row>
    <row r="40" spans="1:14" ht="30.95" customHeight="1" x14ac:dyDescent="0.3">
      <c r="A40" s="18">
        <v>8</v>
      </c>
      <c r="B40" s="394"/>
      <c r="C40" s="35" t="s">
        <v>146</v>
      </c>
      <c r="D40" s="12" t="s">
        <v>492</v>
      </c>
      <c r="E40" s="35"/>
      <c r="F40" s="116"/>
      <c r="G40" s="116"/>
      <c r="H40" s="116"/>
      <c r="I40" s="116"/>
      <c r="J40" s="122"/>
      <c r="K40" s="355"/>
      <c r="L40" s="355"/>
      <c r="M40" s="359"/>
      <c r="N40">
        <f t="shared" si="0"/>
        <v>1</v>
      </c>
    </row>
    <row r="41" spans="1:14" ht="30.95" customHeight="1" x14ac:dyDescent="0.3">
      <c r="A41" s="18">
        <v>9</v>
      </c>
      <c r="B41" s="394"/>
      <c r="C41" s="99" t="s">
        <v>63</v>
      </c>
      <c r="D41" s="12" t="s">
        <v>512</v>
      </c>
      <c r="E41" s="35"/>
      <c r="F41" s="116"/>
      <c r="G41" s="116"/>
      <c r="H41" s="116"/>
      <c r="I41" s="116"/>
      <c r="J41" s="122"/>
      <c r="K41" s="355"/>
      <c r="L41" s="355"/>
      <c r="M41" s="359"/>
      <c r="N41">
        <f t="shared" si="0"/>
        <v>1</v>
      </c>
    </row>
    <row r="42" spans="1:14" ht="30.95" customHeight="1" x14ac:dyDescent="0.3">
      <c r="A42" s="18">
        <v>10</v>
      </c>
      <c r="B42" s="394"/>
      <c r="C42" s="76"/>
      <c r="D42" s="77"/>
      <c r="E42" s="76"/>
      <c r="F42" s="118">
        <v>-2.831</v>
      </c>
      <c r="G42" s="118">
        <v>8.5679999999999996</v>
      </c>
      <c r="H42" s="118">
        <v>-3.137</v>
      </c>
      <c r="I42" s="118">
        <v>8.5719999999999992</v>
      </c>
      <c r="J42" s="118" t="s">
        <v>664</v>
      </c>
      <c r="K42" s="355"/>
      <c r="L42" s="355"/>
      <c r="M42" s="359"/>
      <c r="N42">
        <f t="shared" si="0"/>
        <v>0</v>
      </c>
    </row>
    <row r="43" spans="1:14" ht="30.95" customHeight="1" x14ac:dyDescent="0.3">
      <c r="A43" s="18">
        <v>11</v>
      </c>
      <c r="B43" s="394"/>
      <c r="C43" s="76"/>
      <c r="D43" s="77" t="s">
        <v>521</v>
      </c>
      <c r="E43" s="76"/>
      <c r="F43" s="118"/>
      <c r="G43" s="118"/>
      <c r="H43" s="118"/>
      <c r="I43" s="118"/>
      <c r="J43" s="159" t="s">
        <v>522</v>
      </c>
      <c r="K43" s="355"/>
      <c r="L43" s="355"/>
      <c r="M43" s="359"/>
      <c r="N43">
        <f t="shared" si="0"/>
        <v>0</v>
      </c>
    </row>
    <row r="44" spans="1:14" ht="30.95" customHeight="1" x14ac:dyDescent="0.3">
      <c r="A44" s="18">
        <v>12</v>
      </c>
      <c r="B44" s="394"/>
      <c r="C44" s="76"/>
      <c r="D44" s="77" t="s">
        <v>521</v>
      </c>
      <c r="E44" s="76"/>
      <c r="F44" s="118"/>
      <c r="G44" s="118"/>
      <c r="H44" s="118"/>
      <c r="I44" s="118"/>
      <c r="J44" s="159" t="s">
        <v>522</v>
      </c>
      <c r="K44" s="355"/>
      <c r="L44" s="355"/>
      <c r="M44" s="359"/>
      <c r="N44">
        <f t="shared" si="0"/>
        <v>0</v>
      </c>
    </row>
    <row r="45" spans="1:14" ht="30.95" customHeight="1" x14ac:dyDescent="0.3">
      <c r="A45" s="18">
        <v>13</v>
      </c>
      <c r="B45" s="394"/>
      <c r="C45" s="76"/>
      <c r="D45" s="77"/>
      <c r="E45" s="76"/>
      <c r="F45" s="118">
        <v>-2.931</v>
      </c>
      <c r="G45" s="118">
        <v>8.5679999999999996</v>
      </c>
      <c r="H45" s="118">
        <v>-2.3149999999999999</v>
      </c>
      <c r="I45" s="118">
        <v>8.5719999999999992</v>
      </c>
      <c r="J45" s="118" t="s">
        <v>664</v>
      </c>
      <c r="K45" s="355"/>
      <c r="L45" s="355"/>
      <c r="M45" s="359"/>
      <c r="N45">
        <f t="shared" si="0"/>
        <v>0</v>
      </c>
    </row>
    <row r="46" spans="1:14" ht="30.95" customHeight="1" x14ac:dyDescent="0.3">
      <c r="A46" s="18">
        <v>14</v>
      </c>
      <c r="B46" s="394"/>
      <c r="C46" s="76"/>
      <c r="D46" s="77"/>
      <c r="E46" s="76"/>
      <c r="F46" s="118">
        <v>-2.976</v>
      </c>
      <c r="G46" s="118">
        <v>8.5690000000000008</v>
      </c>
      <c r="H46" s="118">
        <v>-2.2240000000000002</v>
      </c>
      <c r="I46" s="118">
        <v>8.5730000000000004</v>
      </c>
      <c r="J46" s="118" t="s">
        <v>664</v>
      </c>
      <c r="K46" s="355"/>
      <c r="L46" s="355"/>
      <c r="M46" s="359"/>
      <c r="N46">
        <f t="shared" si="0"/>
        <v>0</v>
      </c>
    </row>
    <row r="47" spans="1:14" ht="30.95" customHeight="1" x14ac:dyDescent="0.3">
      <c r="A47" s="18">
        <v>15</v>
      </c>
      <c r="B47" s="394"/>
      <c r="C47" s="35" t="s">
        <v>146</v>
      </c>
      <c r="D47" s="12" t="s">
        <v>135</v>
      </c>
      <c r="E47" s="35"/>
      <c r="F47" s="116"/>
      <c r="G47" s="116"/>
      <c r="H47" s="116"/>
      <c r="I47" s="116"/>
      <c r="J47" s="122"/>
      <c r="K47" s="355"/>
      <c r="L47" s="355"/>
      <c r="M47" s="359"/>
      <c r="N47">
        <f t="shared" si="0"/>
        <v>1</v>
      </c>
    </row>
    <row r="48" spans="1:14" ht="30.95" customHeight="1" x14ac:dyDescent="0.3">
      <c r="A48" s="18">
        <v>16</v>
      </c>
      <c r="B48" s="394"/>
      <c r="C48" s="35" t="s">
        <v>146</v>
      </c>
      <c r="D48" s="12" t="s">
        <v>136</v>
      </c>
      <c r="E48" s="35"/>
      <c r="F48" s="116"/>
      <c r="G48" s="116"/>
      <c r="H48" s="116"/>
      <c r="I48" s="116"/>
      <c r="J48" s="122"/>
      <c r="K48" s="355"/>
      <c r="L48" s="355"/>
      <c r="M48" s="359"/>
      <c r="N48">
        <f t="shared" si="0"/>
        <v>1</v>
      </c>
    </row>
    <row r="49" spans="1:16" ht="30.95" customHeight="1" x14ac:dyDescent="0.3">
      <c r="A49" s="18">
        <v>17</v>
      </c>
      <c r="B49" s="394"/>
      <c r="C49" s="35" t="s">
        <v>146</v>
      </c>
      <c r="D49" s="12" t="s">
        <v>137</v>
      </c>
      <c r="E49" s="35"/>
      <c r="F49" s="116"/>
      <c r="G49" s="116"/>
      <c r="H49" s="116"/>
      <c r="I49" s="116"/>
      <c r="J49" s="122"/>
      <c r="K49" s="355"/>
      <c r="L49" s="355"/>
      <c r="M49" s="359"/>
      <c r="N49">
        <f t="shared" si="0"/>
        <v>1</v>
      </c>
    </row>
    <row r="50" spans="1:16" ht="30.95" customHeight="1" x14ac:dyDescent="0.3">
      <c r="A50" s="18">
        <v>18</v>
      </c>
      <c r="B50" s="394"/>
      <c r="C50" s="35" t="s">
        <v>146</v>
      </c>
      <c r="D50" s="12" t="s">
        <v>138</v>
      </c>
      <c r="E50" s="35"/>
      <c r="F50" s="116"/>
      <c r="G50" s="116"/>
      <c r="H50" s="116"/>
      <c r="I50" s="116"/>
      <c r="J50" s="122"/>
      <c r="K50" s="355"/>
      <c r="L50" s="355"/>
      <c r="M50" s="359"/>
      <c r="N50">
        <f t="shared" si="0"/>
        <v>1</v>
      </c>
    </row>
    <row r="51" spans="1:16" ht="30.95" customHeight="1" x14ac:dyDescent="0.3">
      <c r="A51" s="18">
        <v>19</v>
      </c>
      <c r="B51" s="394"/>
      <c r="C51" s="76"/>
      <c r="D51" s="77"/>
      <c r="E51" s="76"/>
      <c r="F51" s="118">
        <v>-3.0019999999999998</v>
      </c>
      <c r="G51" s="118">
        <v>8.5860000000000003</v>
      </c>
      <c r="H51" s="118">
        <v>-2.327</v>
      </c>
      <c r="I51" s="118">
        <v>8.5709999999999997</v>
      </c>
      <c r="J51" s="118" t="s">
        <v>664</v>
      </c>
      <c r="K51" s="355"/>
      <c r="L51" s="355"/>
      <c r="M51" s="359"/>
      <c r="N51">
        <f t="shared" si="0"/>
        <v>0</v>
      </c>
    </row>
    <row r="52" spans="1:16" ht="30.95" customHeight="1" x14ac:dyDescent="0.3">
      <c r="A52" s="18">
        <v>20</v>
      </c>
      <c r="B52" s="394"/>
      <c r="C52" s="76"/>
      <c r="D52" s="77"/>
      <c r="E52" s="76"/>
      <c r="F52" s="118">
        <v>-2.9969999999999999</v>
      </c>
      <c r="G52" s="118">
        <v>8.5690000000000008</v>
      </c>
      <c r="H52" s="118">
        <v>-2.4729999999999999</v>
      </c>
      <c r="I52" s="118">
        <v>8.5730000000000004</v>
      </c>
      <c r="J52" s="118" t="s">
        <v>664</v>
      </c>
      <c r="K52" s="355"/>
      <c r="L52" s="355"/>
      <c r="M52" s="359"/>
      <c r="N52">
        <f t="shared" si="0"/>
        <v>0</v>
      </c>
    </row>
    <row r="53" spans="1:16" ht="30.95" customHeight="1" x14ac:dyDescent="0.3">
      <c r="A53" s="18">
        <v>21</v>
      </c>
      <c r="B53" s="394"/>
      <c r="C53" s="35"/>
      <c r="D53" s="12"/>
      <c r="E53" s="35"/>
      <c r="F53" s="116"/>
      <c r="G53" s="116"/>
      <c r="H53" s="116"/>
      <c r="I53" s="116"/>
      <c r="J53" s="122"/>
      <c r="K53" s="355"/>
      <c r="L53" s="355"/>
      <c r="M53" s="359"/>
      <c r="N53">
        <f t="shared" si="0"/>
        <v>0</v>
      </c>
    </row>
    <row r="54" spans="1:16" ht="30.95" customHeight="1" x14ac:dyDescent="0.3">
      <c r="A54" s="18">
        <v>22</v>
      </c>
      <c r="B54" s="394"/>
      <c r="C54" s="35"/>
      <c r="D54" s="12"/>
      <c r="E54" s="35"/>
      <c r="F54" s="116"/>
      <c r="G54" s="116"/>
      <c r="H54" s="116"/>
      <c r="I54" s="116"/>
      <c r="J54" s="122"/>
      <c r="K54" s="355"/>
      <c r="L54" s="355"/>
      <c r="M54" s="359"/>
      <c r="N54">
        <f t="shared" si="0"/>
        <v>0</v>
      </c>
    </row>
    <row r="55" spans="1:16" ht="30.95" customHeight="1" x14ac:dyDescent="0.3">
      <c r="A55" s="18">
        <v>23</v>
      </c>
      <c r="B55" s="394"/>
      <c r="C55" s="76"/>
      <c r="D55" s="77" t="s">
        <v>523</v>
      </c>
      <c r="E55" s="76"/>
      <c r="F55" s="118"/>
      <c r="G55" s="118"/>
      <c r="H55" s="118"/>
      <c r="I55" s="118"/>
      <c r="J55" s="159" t="s">
        <v>524</v>
      </c>
      <c r="K55" s="355"/>
      <c r="L55" s="355"/>
      <c r="M55" s="359"/>
      <c r="N55">
        <f t="shared" si="0"/>
        <v>0</v>
      </c>
    </row>
    <row r="56" spans="1:16" ht="30.95" customHeight="1" thickBot="1" x14ac:dyDescent="0.35">
      <c r="A56" s="18">
        <v>24</v>
      </c>
      <c r="B56" s="394"/>
      <c r="C56" s="76"/>
      <c r="D56" s="77" t="s">
        <v>523</v>
      </c>
      <c r="E56" s="76"/>
      <c r="F56" s="118"/>
      <c r="G56" s="118"/>
      <c r="H56" s="118"/>
      <c r="I56" s="118"/>
      <c r="J56" s="159" t="s">
        <v>524</v>
      </c>
      <c r="K56" s="355"/>
      <c r="L56" s="355"/>
      <c r="M56" s="359"/>
      <c r="N56">
        <f t="shared" si="0"/>
        <v>0</v>
      </c>
      <c r="O56">
        <f>SUM(F42,F45:F46,F51:F52,F62:F63,F65:F68,F77:F78,F81:F84)/17</f>
        <v>-2.7516470588235289</v>
      </c>
      <c r="P56">
        <f>SUM(H42,H45:H46,H51:H52,H62:H63,H65:H68,H77:H78,H81:H84)/17</f>
        <v>-1.9539411764705881</v>
      </c>
    </row>
    <row r="57" spans="1:16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544</v>
      </c>
      <c r="G57" s="338"/>
      <c r="H57" s="338"/>
      <c r="I57" s="338"/>
      <c r="J57" s="338"/>
      <c r="K57" s="332" t="s">
        <v>10</v>
      </c>
      <c r="L57" s="331" t="s">
        <v>32</v>
      </c>
      <c r="M57" s="331" t="s">
        <v>33</v>
      </c>
      <c r="N57">
        <f t="shared" si="0"/>
        <v>0</v>
      </c>
    </row>
    <row r="58" spans="1:16" ht="30.95" customHeight="1" x14ac:dyDescent="0.3">
      <c r="A58" s="336" t="s">
        <v>9</v>
      </c>
      <c r="B58" s="337"/>
      <c r="C58" s="337"/>
      <c r="D58" s="368" t="s">
        <v>518</v>
      </c>
      <c r="E58" s="348" t="s">
        <v>687</v>
      </c>
      <c r="F58" s="349" t="s">
        <v>5</v>
      </c>
      <c r="G58" s="349"/>
      <c r="H58" s="349" t="s">
        <v>7</v>
      </c>
      <c r="I58" s="349"/>
      <c r="J58" s="369" t="s">
        <v>628</v>
      </c>
      <c r="K58" s="332"/>
      <c r="L58" s="332"/>
      <c r="M58" s="332"/>
      <c r="N58">
        <f t="shared" si="0"/>
        <v>0</v>
      </c>
    </row>
    <row r="59" spans="1:16" ht="30.95" customHeight="1" x14ac:dyDescent="0.3">
      <c r="A59" s="336"/>
      <c r="B59" s="337"/>
      <c r="C59" s="337"/>
      <c r="D59" s="368"/>
      <c r="E59" s="396"/>
      <c r="F59" s="226" t="s">
        <v>638</v>
      </c>
      <c r="G59" s="214">
        <f>전송손실!M19</f>
        <v>-4.4909599999999994</v>
      </c>
      <c r="H59" s="226" t="s">
        <v>638</v>
      </c>
      <c r="I59" s="214">
        <f>전송손실!M45</f>
        <v>-3.1089200000000003</v>
      </c>
      <c r="J59" s="369"/>
      <c r="K59" s="332"/>
      <c r="L59" s="332"/>
      <c r="M59" s="332"/>
    </row>
    <row r="60" spans="1:16" ht="30.95" customHeight="1" thickBot="1" x14ac:dyDescent="0.35">
      <c r="A60" s="229" t="s">
        <v>0</v>
      </c>
      <c r="B60" s="229" t="s">
        <v>1</v>
      </c>
      <c r="C60" s="229" t="s">
        <v>23</v>
      </c>
      <c r="D60" s="229" t="s">
        <v>2</v>
      </c>
      <c r="E60" s="229" t="s">
        <v>3</v>
      </c>
      <c r="F60" s="229" t="s">
        <v>4</v>
      </c>
      <c r="G60" s="229" t="s">
        <v>506</v>
      </c>
      <c r="H60" s="229" t="s">
        <v>4</v>
      </c>
      <c r="I60" s="229" t="s">
        <v>506</v>
      </c>
      <c r="J60" s="370"/>
      <c r="K60" s="367"/>
      <c r="L60" s="367"/>
      <c r="M60" s="367"/>
      <c r="N60">
        <f t="shared" si="0"/>
        <v>1</v>
      </c>
    </row>
    <row r="61" spans="1:16" ht="30.95" customHeight="1" x14ac:dyDescent="0.3">
      <c r="A61" s="18">
        <v>1</v>
      </c>
      <c r="B61" s="394" t="s">
        <v>453</v>
      </c>
      <c r="C61" s="35" t="s">
        <v>147</v>
      </c>
      <c r="D61" s="12" t="s">
        <v>139</v>
      </c>
      <c r="E61" s="35"/>
      <c r="F61" s="116"/>
      <c r="G61" s="116"/>
      <c r="H61" s="116"/>
      <c r="I61" s="116"/>
      <c r="J61" s="122"/>
      <c r="K61" s="355" t="s">
        <v>462</v>
      </c>
      <c r="L61" s="355"/>
      <c r="M61" s="359"/>
      <c r="N61">
        <f t="shared" si="0"/>
        <v>1</v>
      </c>
    </row>
    <row r="62" spans="1:16" ht="30.95" customHeight="1" x14ac:dyDescent="0.3">
      <c r="A62" s="18">
        <v>2</v>
      </c>
      <c r="B62" s="394"/>
      <c r="C62" s="76"/>
      <c r="D62" s="77"/>
      <c r="E62" s="76"/>
      <c r="F62" s="118">
        <v>-2.71</v>
      </c>
      <c r="G62" s="118">
        <v>8.3450000000000006</v>
      </c>
      <c r="H62" s="118">
        <v>-1.7909999999999999</v>
      </c>
      <c r="I62" s="118">
        <v>8.3480000000000008</v>
      </c>
      <c r="J62" s="118" t="s">
        <v>664</v>
      </c>
      <c r="K62" s="355"/>
      <c r="L62" s="355"/>
      <c r="M62" s="359"/>
      <c r="N62">
        <f t="shared" si="0"/>
        <v>0</v>
      </c>
    </row>
    <row r="63" spans="1:16" ht="30.95" customHeight="1" x14ac:dyDescent="0.3">
      <c r="A63" s="18">
        <v>3</v>
      </c>
      <c r="B63" s="394"/>
      <c r="C63" s="76"/>
      <c r="D63" s="77"/>
      <c r="E63" s="76"/>
      <c r="F63" s="118">
        <v>-2.77</v>
      </c>
      <c r="G63" s="118">
        <v>8.343</v>
      </c>
      <c r="H63" s="118">
        <v>-1.7929999999999999</v>
      </c>
      <c r="I63" s="118">
        <v>8.4359999999999999</v>
      </c>
      <c r="J63" s="118" t="s">
        <v>664</v>
      </c>
      <c r="K63" s="355"/>
      <c r="L63" s="355"/>
      <c r="M63" s="359"/>
      <c r="N63">
        <f t="shared" si="0"/>
        <v>0</v>
      </c>
    </row>
    <row r="64" spans="1:16" ht="30.95" customHeight="1" x14ac:dyDescent="0.3">
      <c r="A64" s="18">
        <v>4</v>
      </c>
      <c r="B64" s="394"/>
      <c r="C64" s="35" t="s">
        <v>147</v>
      </c>
      <c r="D64" s="12" t="s">
        <v>715</v>
      </c>
      <c r="E64" s="15"/>
      <c r="F64" s="116"/>
      <c r="G64" s="116"/>
      <c r="H64" s="116"/>
      <c r="I64" s="116"/>
      <c r="J64" s="122"/>
      <c r="K64" s="355"/>
      <c r="L64" s="355"/>
      <c r="M64" s="359"/>
      <c r="N64">
        <f t="shared" si="0"/>
        <v>1</v>
      </c>
    </row>
    <row r="65" spans="1:14" ht="30.95" customHeight="1" x14ac:dyDescent="0.3">
      <c r="A65" s="18">
        <v>5</v>
      </c>
      <c r="B65" s="394"/>
      <c r="C65" s="76"/>
      <c r="D65" s="77"/>
      <c r="E65" s="76"/>
      <c r="F65" s="118">
        <v>-2.5830000000000002</v>
      </c>
      <c r="G65" s="118">
        <v>8.3469999999999995</v>
      </c>
      <c r="H65" s="118">
        <v>-2.0339999999999998</v>
      </c>
      <c r="I65" s="118">
        <v>8.35</v>
      </c>
      <c r="J65" s="118" t="s">
        <v>664</v>
      </c>
      <c r="K65" s="355"/>
      <c r="L65" s="355"/>
      <c r="M65" s="359"/>
      <c r="N65">
        <f t="shared" si="0"/>
        <v>0</v>
      </c>
    </row>
    <row r="66" spans="1:14" ht="30.95" customHeight="1" x14ac:dyDescent="0.3">
      <c r="A66" s="18">
        <v>6</v>
      </c>
      <c r="B66" s="394"/>
      <c r="C66" s="76"/>
      <c r="D66" s="77"/>
      <c r="E66" s="76"/>
      <c r="F66" s="118">
        <v>-2.5539999999999998</v>
      </c>
      <c r="G66" s="118">
        <v>8.3439999999999994</v>
      </c>
      <c r="H66" s="118">
        <v>-2.0779999999999998</v>
      </c>
      <c r="I66" s="118">
        <v>8.3480000000000008</v>
      </c>
      <c r="J66" s="118" t="s">
        <v>664</v>
      </c>
      <c r="K66" s="355"/>
      <c r="L66" s="355"/>
      <c r="M66" s="359"/>
      <c r="N66">
        <f t="shared" si="0"/>
        <v>0</v>
      </c>
    </row>
    <row r="67" spans="1:14" ht="30.95" customHeight="1" x14ac:dyDescent="0.3">
      <c r="A67" s="18">
        <v>7</v>
      </c>
      <c r="B67" s="394"/>
      <c r="C67" s="76"/>
      <c r="D67" s="77"/>
      <c r="E67" s="76"/>
      <c r="F67" s="118">
        <v>-2.61</v>
      </c>
      <c r="G67" s="118">
        <v>8.3450000000000006</v>
      </c>
      <c r="H67" s="118">
        <v>-1.663</v>
      </c>
      <c r="I67" s="118">
        <v>8.3490000000000002</v>
      </c>
      <c r="J67" s="118" t="s">
        <v>664</v>
      </c>
      <c r="K67" s="355"/>
      <c r="L67" s="355"/>
      <c r="M67" s="359"/>
      <c r="N67">
        <f t="shared" si="0"/>
        <v>0</v>
      </c>
    </row>
    <row r="68" spans="1:14" ht="30.95" customHeight="1" x14ac:dyDescent="0.3">
      <c r="A68" s="18">
        <v>8</v>
      </c>
      <c r="B68" s="394"/>
      <c r="C68" s="76"/>
      <c r="D68" s="77"/>
      <c r="E68" s="76"/>
      <c r="F68" s="118">
        <v>-2.7029999999999998</v>
      </c>
      <c r="G68" s="118">
        <v>8.3439999999999994</v>
      </c>
      <c r="H68" s="118">
        <v>-1.7230000000000001</v>
      </c>
      <c r="I68" s="118">
        <v>8.3469999999999995</v>
      </c>
      <c r="J68" s="118" t="s">
        <v>664</v>
      </c>
      <c r="K68" s="355"/>
      <c r="L68" s="355"/>
      <c r="M68" s="359"/>
      <c r="N68">
        <f t="shared" si="0"/>
        <v>0</v>
      </c>
    </row>
    <row r="69" spans="1:14" ht="30.95" customHeight="1" x14ac:dyDescent="0.3">
      <c r="A69" s="18">
        <v>9</v>
      </c>
      <c r="B69" s="394"/>
      <c r="C69" s="35" t="s">
        <v>146</v>
      </c>
      <c r="D69" s="12" t="s">
        <v>142</v>
      </c>
      <c r="E69" s="35"/>
      <c r="F69" s="116"/>
      <c r="G69" s="116"/>
      <c r="H69" s="116"/>
      <c r="I69" s="116"/>
      <c r="J69" s="122"/>
      <c r="K69" s="355"/>
      <c r="L69" s="355"/>
      <c r="M69" s="359"/>
      <c r="N69">
        <f t="shared" si="0"/>
        <v>1</v>
      </c>
    </row>
    <row r="70" spans="1:14" ht="30.95" customHeight="1" x14ac:dyDescent="0.3">
      <c r="A70" s="18">
        <v>10</v>
      </c>
      <c r="B70" s="394"/>
      <c r="C70" s="35" t="s">
        <v>146</v>
      </c>
      <c r="D70" s="12" t="s">
        <v>143</v>
      </c>
      <c r="E70" s="35"/>
      <c r="F70" s="116"/>
      <c r="G70" s="116"/>
      <c r="H70" s="116"/>
      <c r="I70" s="116"/>
      <c r="J70" s="122"/>
      <c r="K70" s="355"/>
      <c r="L70" s="355"/>
      <c r="M70" s="359"/>
      <c r="N70">
        <f t="shared" si="0"/>
        <v>1</v>
      </c>
    </row>
    <row r="71" spans="1:14" ht="30.95" customHeight="1" x14ac:dyDescent="0.3">
      <c r="A71" s="18">
        <v>11</v>
      </c>
      <c r="B71" s="394"/>
      <c r="C71" s="35"/>
      <c r="D71" s="12" t="s">
        <v>716</v>
      </c>
      <c r="E71" s="35"/>
      <c r="F71" s="116"/>
      <c r="G71" s="116"/>
      <c r="H71" s="116"/>
      <c r="I71" s="116"/>
      <c r="J71" s="122"/>
      <c r="K71" s="355"/>
      <c r="L71" s="355"/>
      <c r="M71" s="359"/>
      <c r="N71">
        <f t="shared" si="0"/>
        <v>0</v>
      </c>
    </row>
    <row r="72" spans="1:14" ht="30.95" customHeight="1" x14ac:dyDescent="0.3">
      <c r="A72" s="18">
        <v>12</v>
      </c>
      <c r="B72" s="394"/>
      <c r="C72" s="35"/>
      <c r="D72" s="12"/>
      <c r="E72" s="35"/>
      <c r="F72" s="116"/>
      <c r="G72" s="116"/>
      <c r="H72" s="116"/>
      <c r="I72" s="116"/>
      <c r="J72" s="122"/>
      <c r="K72" s="355"/>
      <c r="L72" s="355"/>
      <c r="M72" s="359"/>
      <c r="N72">
        <f t="shared" ref="N72:N84" si="1">IF(C72="",0,1)</f>
        <v>0</v>
      </c>
    </row>
    <row r="73" spans="1:14" ht="30.95" customHeight="1" x14ac:dyDescent="0.3">
      <c r="A73" s="18">
        <v>13</v>
      </c>
      <c r="B73" s="394"/>
      <c r="C73" s="35"/>
      <c r="D73" s="12"/>
      <c r="E73" s="35"/>
      <c r="F73" s="116"/>
      <c r="G73" s="116"/>
      <c r="H73" s="116"/>
      <c r="I73" s="116"/>
      <c r="J73" s="122"/>
      <c r="K73" s="355"/>
      <c r="L73" s="355"/>
      <c r="M73" s="359"/>
      <c r="N73">
        <f t="shared" si="1"/>
        <v>0</v>
      </c>
    </row>
    <row r="74" spans="1:14" ht="30.95" customHeight="1" x14ac:dyDescent="0.3">
      <c r="A74" s="18">
        <v>14</v>
      </c>
      <c r="B74" s="394"/>
      <c r="C74" s="35"/>
      <c r="D74" s="12"/>
      <c r="E74" s="35"/>
      <c r="F74" s="116"/>
      <c r="G74" s="116"/>
      <c r="H74" s="116"/>
      <c r="I74" s="116"/>
      <c r="J74" s="122"/>
      <c r="K74" s="355"/>
      <c r="L74" s="355"/>
      <c r="M74" s="359"/>
      <c r="N74">
        <f t="shared" si="1"/>
        <v>0</v>
      </c>
    </row>
    <row r="75" spans="1:14" ht="30.95" customHeight="1" x14ac:dyDescent="0.3">
      <c r="A75" s="18">
        <v>15</v>
      </c>
      <c r="B75" s="394"/>
      <c r="C75" s="35"/>
      <c r="D75" s="12"/>
      <c r="E75" s="35"/>
      <c r="F75" s="116"/>
      <c r="G75" s="116"/>
      <c r="H75" s="116"/>
      <c r="I75" s="116"/>
      <c r="J75" s="122"/>
      <c r="K75" s="355"/>
      <c r="L75" s="355"/>
      <c r="M75" s="359"/>
      <c r="N75">
        <f t="shared" si="1"/>
        <v>0</v>
      </c>
    </row>
    <row r="76" spans="1:14" ht="30.95" customHeight="1" x14ac:dyDescent="0.3">
      <c r="A76" s="18">
        <v>16</v>
      </c>
      <c r="B76" s="394"/>
      <c r="C76" s="35"/>
      <c r="D76" s="12"/>
      <c r="E76" s="35"/>
      <c r="F76" s="116"/>
      <c r="G76" s="116"/>
      <c r="H76" s="116"/>
      <c r="I76" s="116"/>
      <c r="J76" s="122"/>
      <c r="K76" s="355"/>
      <c r="L76" s="355"/>
      <c r="M76" s="359"/>
      <c r="N76">
        <f t="shared" si="1"/>
        <v>0</v>
      </c>
    </row>
    <row r="77" spans="1:14" ht="30.95" customHeight="1" x14ac:dyDescent="0.3">
      <c r="A77" s="18">
        <v>17</v>
      </c>
      <c r="B77" s="394"/>
      <c r="C77" s="76"/>
      <c r="D77" s="77"/>
      <c r="E77" s="76"/>
      <c r="F77" s="118">
        <v>-2.653</v>
      </c>
      <c r="G77" s="118">
        <v>8.3480000000000008</v>
      </c>
      <c r="H77" s="118">
        <v>-1.6519999999999999</v>
      </c>
      <c r="I77" s="118">
        <v>8.3490000000000002</v>
      </c>
      <c r="J77" s="118" t="s">
        <v>664</v>
      </c>
      <c r="K77" s="355"/>
      <c r="L77" s="355"/>
      <c r="M77" s="359"/>
      <c r="N77">
        <f t="shared" si="1"/>
        <v>0</v>
      </c>
    </row>
    <row r="78" spans="1:14" ht="30.95" customHeight="1" x14ac:dyDescent="0.3">
      <c r="A78" s="18">
        <v>18</v>
      </c>
      <c r="B78" s="394"/>
      <c r="C78" s="76"/>
      <c r="D78" s="77"/>
      <c r="E78" s="76"/>
      <c r="F78" s="118">
        <v>-2.64</v>
      </c>
      <c r="G78" s="118">
        <v>8.3460000000000001</v>
      </c>
      <c r="H78" s="118">
        <v>-1.6080000000000001</v>
      </c>
      <c r="I78" s="118">
        <v>8.35</v>
      </c>
      <c r="J78" s="118" t="s">
        <v>664</v>
      </c>
      <c r="K78" s="355"/>
      <c r="L78" s="355"/>
      <c r="M78" s="359"/>
      <c r="N78">
        <f t="shared" si="1"/>
        <v>0</v>
      </c>
    </row>
    <row r="79" spans="1:14" ht="30.95" customHeight="1" x14ac:dyDescent="0.3">
      <c r="A79" s="18">
        <v>19</v>
      </c>
      <c r="B79" s="394"/>
      <c r="C79" s="35" t="s">
        <v>144</v>
      </c>
      <c r="D79" s="12" t="s">
        <v>145</v>
      </c>
      <c r="E79" s="35"/>
      <c r="F79" s="116"/>
      <c r="G79" s="116"/>
      <c r="H79" s="116"/>
      <c r="I79" s="116"/>
      <c r="J79" s="122"/>
      <c r="K79" s="355"/>
      <c r="L79" s="355"/>
      <c r="M79" s="359"/>
      <c r="N79">
        <f t="shared" si="1"/>
        <v>1</v>
      </c>
    </row>
    <row r="80" spans="1:14" ht="30.95" customHeight="1" x14ac:dyDescent="0.3">
      <c r="A80" s="18">
        <v>20</v>
      </c>
      <c r="B80" s="394"/>
      <c r="C80" s="35" t="s">
        <v>144</v>
      </c>
      <c r="D80" s="12" t="s">
        <v>145</v>
      </c>
      <c r="E80" s="35"/>
      <c r="F80" s="116"/>
      <c r="G80" s="116"/>
      <c r="H80" s="116"/>
      <c r="I80" s="116"/>
      <c r="J80" s="122"/>
      <c r="K80" s="355"/>
      <c r="L80" s="355"/>
      <c r="M80" s="359"/>
      <c r="N80">
        <f t="shared" si="1"/>
        <v>1</v>
      </c>
    </row>
    <row r="81" spans="1:14" ht="30.95" customHeight="1" x14ac:dyDescent="0.3">
      <c r="A81" s="18">
        <v>21</v>
      </c>
      <c r="B81" s="394"/>
      <c r="C81" s="76"/>
      <c r="D81" s="77"/>
      <c r="E81" s="76"/>
      <c r="F81" s="118">
        <v>-2.7869999999999999</v>
      </c>
      <c r="G81" s="118">
        <v>8.3469999999999995</v>
      </c>
      <c r="H81" s="118">
        <v>-1.6419999999999999</v>
      </c>
      <c r="I81" s="118">
        <v>8.35</v>
      </c>
      <c r="J81" s="118" t="s">
        <v>664</v>
      </c>
      <c r="K81" s="355"/>
      <c r="L81" s="355"/>
      <c r="M81" s="359"/>
      <c r="N81">
        <f t="shared" si="1"/>
        <v>0</v>
      </c>
    </row>
    <row r="82" spans="1:14" ht="30.95" customHeight="1" x14ac:dyDescent="0.3">
      <c r="A82" s="18">
        <v>22</v>
      </c>
      <c r="B82" s="394"/>
      <c r="C82" s="76"/>
      <c r="D82" s="77"/>
      <c r="E82" s="76"/>
      <c r="F82" s="118">
        <v>-2.63</v>
      </c>
      <c r="G82" s="118">
        <v>8.3460000000000001</v>
      </c>
      <c r="H82" s="118">
        <v>-1.6890000000000001</v>
      </c>
      <c r="I82" s="118">
        <v>8.35</v>
      </c>
      <c r="J82" s="118" t="s">
        <v>664</v>
      </c>
      <c r="K82" s="355"/>
      <c r="L82" s="355"/>
      <c r="M82" s="359"/>
      <c r="N82">
        <f t="shared" si="1"/>
        <v>0</v>
      </c>
    </row>
    <row r="83" spans="1:14" ht="30.95" customHeight="1" x14ac:dyDescent="0.3">
      <c r="A83" s="18">
        <v>23</v>
      </c>
      <c r="B83" s="394"/>
      <c r="C83" s="76"/>
      <c r="D83" s="77"/>
      <c r="E83" s="76"/>
      <c r="F83" s="118">
        <v>-2.6320000000000001</v>
      </c>
      <c r="G83" s="118">
        <v>8.3480000000000008</v>
      </c>
      <c r="H83" s="118">
        <v>-1.407</v>
      </c>
      <c r="I83" s="118">
        <v>8.35</v>
      </c>
      <c r="J83" s="118" t="s">
        <v>664</v>
      </c>
      <c r="K83" s="355"/>
      <c r="L83" s="355"/>
      <c r="M83" s="359"/>
      <c r="N83">
        <f t="shared" si="1"/>
        <v>0</v>
      </c>
    </row>
    <row r="84" spans="1:14" ht="30.95" customHeight="1" thickBot="1" x14ac:dyDescent="0.35">
      <c r="A84" s="21">
        <v>24</v>
      </c>
      <c r="B84" s="395"/>
      <c r="C84" s="82"/>
      <c r="D84" s="147"/>
      <c r="E84" s="82"/>
      <c r="F84" s="148">
        <v>-2.7690000000000001</v>
      </c>
      <c r="G84" s="148">
        <v>8.3469999999999995</v>
      </c>
      <c r="H84" s="148">
        <v>-1.661</v>
      </c>
      <c r="I84" s="148">
        <v>8.3510000000000009</v>
      </c>
      <c r="J84" s="118" t="s">
        <v>664</v>
      </c>
      <c r="K84" s="356"/>
      <c r="L84" s="356"/>
      <c r="M84" s="360"/>
      <c r="N84">
        <f t="shared" si="1"/>
        <v>0</v>
      </c>
    </row>
    <row r="85" spans="1:14" ht="32.1" customHeight="1" x14ac:dyDescent="0.3"/>
    <row r="86" spans="1:14" ht="32.1" customHeight="1" x14ac:dyDescent="0.3"/>
    <row r="87" spans="1:14" ht="32.1" customHeight="1" x14ac:dyDescent="0.3"/>
    <row r="88" spans="1:14" ht="32.1" customHeight="1" x14ac:dyDescent="0.3"/>
    <row r="89" spans="1:14" ht="32.1" customHeight="1" x14ac:dyDescent="0.3"/>
    <row r="90" spans="1:14" ht="32.1" customHeight="1" x14ac:dyDescent="0.3"/>
    <row r="91" spans="1:14" ht="32.1" customHeight="1" x14ac:dyDescent="0.3"/>
    <row r="92" spans="1:14" ht="32.1" customHeight="1" x14ac:dyDescent="0.3"/>
    <row r="93" spans="1:14" ht="32.1" customHeight="1" x14ac:dyDescent="0.3"/>
    <row r="94" spans="1:14" ht="32.1" customHeight="1" x14ac:dyDescent="0.3"/>
    <row r="95" spans="1:14" ht="32.1" customHeight="1" x14ac:dyDescent="0.3"/>
    <row r="96" spans="1:14" ht="32.1" customHeight="1" x14ac:dyDescent="0.3"/>
    <row r="97" ht="32.1" customHeight="1" x14ac:dyDescent="0.3"/>
    <row r="98" ht="32.1" customHeight="1" x14ac:dyDescent="0.3"/>
    <row r="99" ht="32.1" customHeight="1" x14ac:dyDescent="0.3"/>
    <row r="100" ht="32.1" customHeight="1" x14ac:dyDescent="0.3"/>
    <row r="101" ht="32.1" customHeight="1" x14ac:dyDescent="0.3"/>
    <row r="102" ht="32.1" customHeight="1" x14ac:dyDescent="0.3"/>
    <row r="103" ht="32.1" customHeight="1" x14ac:dyDescent="0.3"/>
    <row r="104" ht="32.1" customHeight="1" x14ac:dyDescent="0.3"/>
    <row r="105" ht="32.1" customHeight="1" x14ac:dyDescent="0.3"/>
    <row r="106" ht="32.1" customHeight="1" x14ac:dyDescent="0.3"/>
    <row r="107" ht="32.1" customHeight="1" x14ac:dyDescent="0.3"/>
    <row r="108" ht="32.1" customHeight="1" x14ac:dyDescent="0.3"/>
    <row r="109" ht="32.1" customHeight="1" x14ac:dyDescent="0.3"/>
    <row r="110" ht="32.1" customHeight="1" x14ac:dyDescent="0.3"/>
    <row r="111" ht="32.1" customHeight="1" x14ac:dyDescent="0.3"/>
    <row r="112" ht="32.1" customHeight="1" x14ac:dyDescent="0.3"/>
    <row r="113" ht="32.1" customHeight="1" x14ac:dyDescent="0.3"/>
    <row r="114" ht="32.1" customHeight="1" x14ac:dyDescent="0.3"/>
    <row r="115" ht="32.1" customHeight="1" x14ac:dyDescent="0.3"/>
    <row r="116" ht="32.1" customHeight="1" x14ac:dyDescent="0.3"/>
    <row r="117" ht="32.1" customHeight="1" x14ac:dyDescent="0.3"/>
    <row r="118" ht="32.1" customHeight="1" x14ac:dyDescent="0.3"/>
    <row r="119" ht="32.1" customHeight="1" x14ac:dyDescent="0.3"/>
    <row r="120" ht="32.1" customHeight="1" x14ac:dyDescent="0.3"/>
    <row r="121" ht="32.1" customHeight="1" x14ac:dyDescent="0.3"/>
    <row r="122" ht="32.1" customHeight="1" x14ac:dyDescent="0.3"/>
    <row r="123" ht="32.1" customHeight="1" x14ac:dyDescent="0.3"/>
    <row r="124" ht="32.1" customHeight="1" x14ac:dyDescent="0.3"/>
    <row r="125" ht="32.1" customHeight="1" x14ac:dyDescent="0.3"/>
    <row r="126" ht="32.1" customHeight="1" x14ac:dyDescent="0.3"/>
    <row r="127" ht="32.1" customHeight="1" x14ac:dyDescent="0.3"/>
    <row r="128" ht="32.1" customHeight="1" x14ac:dyDescent="0.3"/>
    <row r="129" ht="32.1" customHeight="1" x14ac:dyDescent="0.3"/>
    <row r="130" ht="32.1" customHeight="1" x14ac:dyDescent="0.3"/>
    <row r="131" ht="32.1" customHeight="1" x14ac:dyDescent="0.3"/>
    <row r="132" ht="32.1" customHeight="1" x14ac:dyDescent="0.3"/>
    <row r="133" ht="32.1" customHeight="1" x14ac:dyDescent="0.3"/>
    <row r="134" ht="32.1" customHeight="1" x14ac:dyDescent="0.3"/>
    <row r="135" ht="32.1" customHeight="1" x14ac:dyDescent="0.3"/>
    <row r="136" ht="32.1" customHeight="1" x14ac:dyDescent="0.3"/>
    <row r="137" ht="32.1" customHeight="1" x14ac:dyDescent="0.3"/>
    <row r="138" ht="32.1" customHeight="1" x14ac:dyDescent="0.3"/>
    <row r="139" ht="32.1" customHeight="1" x14ac:dyDescent="0.3"/>
    <row r="140" ht="32.1" customHeight="1" x14ac:dyDescent="0.3"/>
    <row r="141" ht="32.1" customHeight="1" x14ac:dyDescent="0.3"/>
    <row r="142" ht="32.1" customHeight="1" x14ac:dyDescent="0.3"/>
    <row r="143" ht="32.1" customHeight="1" x14ac:dyDescent="0.3"/>
  </sheetData>
  <mergeCells count="46">
    <mergeCell ref="E58:E59"/>
    <mergeCell ref="B33:B56"/>
    <mergeCell ref="M61:M84"/>
    <mergeCell ref="L61:L84"/>
    <mergeCell ref="K61:K84"/>
    <mergeCell ref="K29:K32"/>
    <mergeCell ref="L29:L32"/>
    <mergeCell ref="M29:M32"/>
    <mergeCell ref="K57:K60"/>
    <mergeCell ref="L57:L60"/>
    <mergeCell ref="M57:M60"/>
    <mergeCell ref="M33:M56"/>
    <mergeCell ref="L33:L56"/>
    <mergeCell ref="K33:K56"/>
    <mergeCell ref="A1:C1"/>
    <mergeCell ref="E25:E28"/>
    <mergeCell ref="M1:M4"/>
    <mergeCell ref="F2:G2"/>
    <mergeCell ref="H2:I2"/>
    <mergeCell ref="J2:J4"/>
    <mergeCell ref="L1:L4"/>
    <mergeCell ref="F1:J1"/>
    <mergeCell ref="K1:K4"/>
    <mergeCell ref="M5:M28"/>
    <mergeCell ref="L5:L28"/>
    <mergeCell ref="K5:K28"/>
    <mergeCell ref="A2:C3"/>
    <mergeCell ref="D2:D3"/>
    <mergeCell ref="E2:E3"/>
    <mergeCell ref="B5:B28"/>
    <mergeCell ref="B61:B84"/>
    <mergeCell ref="A57:C57"/>
    <mergeCell ref="A29:C29"/>
    <mergeCell ref="F29:J29"/>
    <mergeCell ref="F30:G30"/>
    <mergeCell ref="H30:I30"/>
    <mergeCell ref="J30:J32"/>
    <mergeCell ref="F57:J57"/>
    <mergeCell ref="F58:G58"/>
    <mergeCell ref="H58:I58"/>
    <mergeCell ref="J58:J60"/>
    <mergeCell ref="A30:C31"/>
    <mergeCell ref="D30:D31"/>
    <mergeCell ref="E30:E31"/>
    <mergeCell ref="A58:C59"/>
    <mergeCell ref="D58:D59"/>
  </mergeCells>
  <phoneticPr fontId="1" type="noConversion"/>
  <pageMargins left="0.25" right="0.25" top="0.75" bottom="0.75" header="0.3" footer="0.3"/>
  <pageSetup paperSize="9" scale="55" fitToHeight="3" orientation="landscape" r:id="rId1"/>
  <rowBreaks count="2" manualBreakCount="2">
    <brk id="28" max="12" man="1"/>
    <brk id="56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6"/>
  <sheetViews>
    <sheetView view="pageBreakPreview" zoomScale="70" zoomScaleNormal="100" zoomScaleSheetLayoutView="70" workbookViewId="0">
      <pane ySplit="4" topLeftCell="A65" activePane="bottomLeft" state="frozen"/>
      <selection activeCell="E28" sqref="E28"/>
      <selection pane="bottomLeft" activeCell="E28" sqref="E28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style="206" customWidth="1"/>
    <col min="11" max="11" width="20.625" style="1" customWidth="1"/>
    <col min="12" max="12" width="16.625" style="1" customWidth="1"/>
    <col min="13" max="13" width="9" style="1" customWidth="1"/>
    <col min="14" max="14" width="0" hidden="1" customWidth="1"/>
  </cols>
  <sheetData>
    <row r="1" spans="1:14" ht="29.1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545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 s="71">
        <f>COUNTIF(N5:N506,0)/COUNT(A:A)</f>
        <v>0.625</v>
      </c>
    </row>
    <row r="2" spans="1:14" ht="29.1" customHeight="1" x14ac:dyDescent="0.3">
      <c r="A2" s="336" t="s">
        <v>9</v>
      </c>
      <c r="B2" s="337"/>
      <c r="C2" s="337"/>
      <c r="D2" s="368" t="s">
        <v>519</v>
      </c>
      <c r="E2" s="337" t="s">
        <v>703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4" ht="29.1" customHeight="1" x14ac:dyDescent="0.3">
      <c r="A3" s="336"/>
      <c r="B3" s="337"/>
      <c r="C3" s="337"/>
      <c r="D3" s="368"/>
      <c r="E3" s="337"/>
      <c r="F3" s="201" t="s">
        <v>638</v>
      </c>
      <c r="G3" s="214">
        <f>전송손실!M23</f>
        <v>-7.2042799999999989</v>
      </c>
      <c r="H3" s="201" t="s">
        <v>638</v>
      </c>
      <c r="I3" s="214">
        <f>전송손실!M49</f>
        <v>-4.8520599999999998</v>
      </c>
      <c r="J3" s="369"/>
      <c r="K3" s="332"/>
      <c r="L3" s="332"/>
      <c r="M3" s="332"/>
    </row>
    <row r="4" spans="1:14" ht="29.1" customHeight="1" thickBot="1" x14ac:dyDescent="0.35">
      <c r="A4" s="203" t="s">
        <v>0</v>
      </c>
      <c r="B4" s="203" t="s">
        <v>1</v>
      </c>
      <c r="C4" s="203" t="s">
        <v>23</v>
      </c>
      <c r="D4" s="203" t="s">
        <v>2</v>
      </c>
      <c r="E4" s="203" t="s">
        <v>3</v>
      </c>
      <c r="F4" s="203" t="s">
        <v>4</v>
      </c>
      <c r="G4" s="203" t="s">
        <v>506</v>
      </c>
      <c r="H4" s="203" t="s">
        <v>4</v>
      </c>
      <c r="I4" s="203" t="s">
        <v>506</v>
      </c>
      <c r="J4" s="370"/>
      <c r="K4" s="367"/>
      <c r="L4" s="367"/>
      <c r="M4" s="367"/>
    </row>
    <row r="5" spans="1:14" ht="30" customHeight="1" x14ac:dyDescent="0.3">
      <c r="A5" s="25">
        <v>1</v>
      </c>
      <c r="B5" s="401" t="s">
        <v>392</v>
      </c>
      <c r="C5" s="41" t="s">
        <v>131</v>
      </c>
      <c r="D5" s="26" t="s">
        <v>382</v>
      </c>
      <c r="E5" s="41"/>
      <c r="F5" s="149"/>
      <c r="G5" s="149"/>
      <c r="H5" s="149"/>
      <c r="I5" s="149"/>
      <c r="J5" s="149"/>
      <c r="K5" s="404" t="s">
        <v>454</v>
      </c>
      <c r="L5" s="357"/>
      <c r="M5" s="358"/>
      <c r="N5">
        <f>IF(C5="",0,1)</f>
        <v>1</v>
      </c>
    </row>
    <row r="6" spans="1:14" ht="30" customHeight="1" x14ac:dyDescent="0.3">
      <c r="A6" s="18">
        <v>2</v>
      </c>
      <c r="B6" s="338"/>
      <c r="C6" s="35" t="s">
        <v>131</v>
      </c>
      <c r="D6" s="12" t="s">
        <v>383</v>
      </c>
      <c r="E6" s="35"/>
      <c r="F6" s="116"/>
      <c r="G6" s="116"/>
      <c r="H6" s="116"/>
      <c r="I6" s="116"/>
      <c r="J6" s="116"/>
      <c r="K6" s="355"/>
      <c r="L6" s="355"/>
      <c r="M6" s="359"/>
      <c r="N6">
        <f t="shared" ref="N6:N74" si="0">IF(C6="",0,1)</f>
        <v>1</v>
      </c>
    </row>
    <row r="7" spans="1:14" ht="30" customHeight="1" x14ac:dyDescent="0.3">
      <c r="A7" s="18">
        <v>3</v>
      </c>
      <c r="B7" s="338"/>
      <c r="C7" s="99" t="s">
        <v>63</v>
      </c>
      <c r="D7" s="12" t="s">
        <v>520</v>
      </c>
      <c r="E7" s="35"/>
      <c r="F7" s="116"/>
      <c r="G7" s="116"/>
      <c r="H7" s="116"/>
      <c r="I7" s="116"/>
      <c r="J7" s="116"/>
      <c r="K7" s="355"/>
      <c r="L7" s="355"/>
      <c r="M7" s="359"/>
      <c r="N7">
        <f t="shared" si="0"/>
        <v>1</v>
      </c>
    </row>
    <row r="8" spans="1:14" ht="30" customHeight="1" x14ac:dyDescent="0.3">
      <c r="A8" s="18">
        <v>4</v>
      </c>
      <c r="B8" s="338"/>
      <c r="C8" s="76"/>
      <c r="D8" s="77"/>
      <c r="E8" s="76"/>
      <c r="F8" s="118">
        <v>-10.141</v>
      </c>
      <c r="G8" s="118">
        <v>29.727</v>
      </c>
      <c r="H8" s="207">
        <v>-9.9459999999999997</v>
      </c>
      <c r="I8" s="207">
        <v>29.74</v>
      </c>
      <c r="J8" s="207" t="s">
        <v>626</v>
      </c>
      <c r="K8" s="355"/>
      <c r="L8" s="355"/>
      <c r="M8" s="359"/>
      <c r="N8">
        <f t="shared" si="0"/>
        <v>0</v>
      </c>
    </row>
    <row r="9" spans="1:14" ht="30" customHeight="1" x14ac:dyDescent="0.3">
      <c r="A9" s="18">
        <v>5</v>
      </c>
      <c r="B9" s="338"/>
      <c r="C9" s="35"/>
      <c r="D9" s="12"/>
      <c r="E9" s="35"/>
      <c r="F9" s="116"/>
      <c r="G9" s="116"/>
      <c r="H9" s="116"/>
      <c r="I9" s="116"/>
      <c r="J9" s="116"/>
      <c r="K9" s="355"/>
      <c r="L9" s="355"/>
      <c r="M9" s="359"/>
      <c r="N9">
        <f t="shared" si="0"/>
        <v>0</v>
      </c>
    </row>
    <row r="10" spans="1:14" ht="30" customHeight="1" x14ac:dyDescent="0.3">
      <c r="A10" s="18">
        <v>6</v>
      </c>
      <c r="B10" s="338"/>
      <c r="C10" s="35"/>
      <c r="D10" s="12"/>
      <c r="E10" s="35"/>
      <c r="F10" s="116"/>
      <c r="G10" s="116"/>
      <c r="H10" s="116"/>
      <c r="I10" s="116"/>
      <c r="J10" s="116"/>
      <c r="K10" s="355"/>
      <c r="L10" s="355"/>
      <c r="M10" s="359"/>
      <c r="N10">
        <f t="shared" si="0"/>
        <v>0</v>
      </c>
    </row>
    <row r="11" spans="1:14" ht="30" customHeight="1" x14ac:dyDescent="0.3">
      <c r="A11" s="18">
        <v>7</v>
      </c>
      <c r="B11" s="338"/>
      <c r="C11" s="35" t="s">
        <v>15</v>
      </c>
      <c r="D11" s="12" t="s">
        <v>470</v>
      </c>
      <c r="E11" s="35"/>
      <c r="F11" s="116"/>
      <c r="G11" s="116"/>
      <c r="H11" s="116"/>
      <c r="I11" s="116"/>
      <c r="J11" s="116"/>
      <c r="K11" s="355"/>
      <c r="L11" s="355"/>
      <c r="M11" s="359"/>
      <c r="N11">
        <f t="shared" si="0"/>
        <v>1</v>
      </c>
    </row>
    <row r="12" spans="1:14" ht="30" customHeight="1" x14ac:dyDescent="0.3">
      <c r="A12" s="18">
        <v>8</v>
      </c>
      <c r="B12" s="338"/>
      <c r="C12" s="35" t="s">
        <v>15</v>
      </c>
      <c r="D12" s="12" t="s">
        <v>470</v>
      </c>
      <c r="E12" s="35"/>
      <c r="F12" s="116"/>
      <c r="G12" s="116"/>
      <c r="H12" s="116"/>
      <c r="I12" s="116"/>
      <c r="J12" s="116"/>
      <c r="K12" s="355"/>
      <c r="L12" s="355"/>
      <c r="M12" s="359"/>
      <c r="N12">
        <f t="shared" si="0"/>
        <v>1</v>
      </c>
    </row>
    <row r="13" spans="1:14" ht="30" customHeight="1" x14ac:dyDescent="0.3">
      <c r="A13" s="18">
        <v>9</v>
      </c>
      <c r="B13" s="338"/>
      <c r="C13" s="35" t="s">
        <v>130</v>
      </c>
      <c r="D13" s="12" t="s">
        <v>384</v>
      </c>
      <c r="E13" s="35"/>
      <c r="F13" s="116"/>
      <c r="G13" s="116"/>
      <c r="H13" s="116"/>
      <c r="I13" s="116"/>
      <c r="J13" s="116"/>
      <c r="K13" s="355"/>
      <c r="L13" s="355"/>
      <c r="M13" s="359"/>
      <c r="N13">
        <f t="shared" si="0"/>
        <v>1</v>
      </c>
    </row>
    <row r="14" spans="1:14" ht="30" customHeight="1" x14ac:dyDescent="0.3">
      <c r="A14" s="18">
        <v>10</v>
      </c>
      <c r="B14" s="338"/>
      <c r="C14" s="35" t="s">
        <v>130</v>
      </c>
      <c r="D14" s="12" t="s">
        <v>385</v>
      </c>
      <c r="E14" s="35"/>
      <c r="F14" s="116"/>
      <c r="G14" s="116"/>
      <c r="H14" s="116"/>
      <c r="I14" s="116"/>
      <c r="J14" s="116"/>
      <c r="K14" s="355"/>
      <c r="L14" s="355"/>
      <c r="M14" s="359"/>
      <c r="N14">
        <f t="shared" si="0"/>
        <v>1</v>
      </c>
    </row>
    <row r="15" spans="1:14" ht="30" customHeight="1" x14ac:dyDescent="0.3">
      <c r="A15" s="18">
        <v>11</v>
      </c>
      <c r="B15" s="338"/>
      <c r="C15" s="35" t="s">
        <v>130</v>
      </c>
      <c r="D15" s="12" t="s">
        <v>501</v>
      </c>
      <c r="E15" s="35"/>
      <c r="F15" s="116"/>
      <c r="G15" s="116"/>
      <c r="H15" s="116"/>
      <c r="I15" s="116"/>
      <c r="J15" s="116"/>
      <c r="K15" s="355"/>
      <c r="L15" s="355"/>
      <c r="M15" s="359"/>
      <c r="N15">
        <f t="shared" si="0"/>
        <v>1</v>
      </c>
    </row>
    <row r="16" spans="1:14" ht="30" customHeight="1" x14ac:dyDescent="0.3">
      <c r="A16" s="18">
        <v>12</v>
      </c>
      <c r="B16" s="338"/>
      <c r="C16" s="76"/>
      <c r="D16" s="77"/>
      <c r="E16" s="76"/>
      <c r="F16" s="118">
        <v>-10.201000000000001</v>
      </c>
      <c r="G16" s="118">
        <v>29.722000000000001</v>
      </c>
      <c r="H16" s="207">
        <v>-10.754</v>
      </c>
      <c r="I16" s="207">
        <v>29.72</v>
      </c>
      <c r="J16" s="207" t="s">
        <v>626</v>
      </c>
      <c r="K16" s="355"/>
      <c r="L16" s="355"/>
      <c r="M16" s="359"/>
      <c r="N16">
        <f t="shared" si="0"/>
        <v>0</v>
      </c>
    </row>
    <row r="17" spans="1:17" ht="30" customHeight="1" x14ac:dyDescent="0.3">
      <c r="A17" s="18">
        <v>13</v>
      </c>
      <c r="B17" s="338"/>
      <c r="C17" s="76"/>
      <c r="D17" s="77"/>
      <c r="E17" s="76"/>
      <c r="F17" s="118">
        <v>-9.9730000000000008</v>
      </c>
      <c r="G17" s="118">
        <v>29.72</v>
      </c>
      <c r="H17" s="118">
        <v>-7.65</v>
      </c>
      <c r="I17" s="118">
        <v>29.73</v>
      </c>
      <c r="J17" s="118" t="s">
        <v>627</v>
      </c>
      <c r="K17" s="355"/>
      <c r="L17" s="355"/>
      <c r="M17" s="359"/>
      <c r="N17">
        <f t="shared" si="0"/>
        <v>0</v>
      </c>
    </row>
    <row r="18" spans="1:17" ht="30" customHeight="1" x14ac:dyDescent="0.3">
      <c r="A18" s="18">
        <v>14</v>
      </c>
      <c r="B18" s="338"/>
      <c r="C18" s="76"/>
      <c r="D18" s="77"/>
      <c r="E18" s="76"/>
      <c r="F18" s="118">
        <v>-10.148999999999999</v>
      </c>
      <c r="G18" s="118">
        <v>29.72</v>
      </c>
      <c r="H18" s="118">
        <v>-8.1189999999999998</v>
      </c>
      <c r="I18" s="118">
        <v>29.731999999999999</v>
      </c>
      <c r="J18" s="118" t="s">
        <v>627</v>
      </c>
      <c r="K18" s="355"/>
      <c r="L18" s="355"/>
      <c r="M18" s="359"/>
      <c r="N18">
        <f t="shared" si="0"/>
        <v>0</v>
      </c>
    </row>
    <row r="19" spans="1:17" ht="30" customHeight="1" x14ac:dyDescent="0.3">
      <c r="A19" s="18">
        <v>15</v>
      </c>
      <c r="B19" s="338"/>
      <c r="C19" s="35" t="s">
        <v>386</v>
      </c>
      <c r="D19" s="12" t="s">
        <v>387</v>
      </c>
      <c r="E19" s="35"/>
      <c r="F19" s="116"/>
      <c r="G19" s="116"/>
      <c r="H19" s="116"/>
      <c r="I19" s="116"/>
      <c r="J19" s="116"/>
      <c r="K19" s="355"/>
      <c r="L19" s="355"/>
      <c r="M19" s="359"/>
      <c r="N19">
        <f t="shared" si="0"/>
        <v>1</v>
      </c>
    </row>
    <row r="20" spans="1:17" ht="30" customHeight="1" x14ac:dyDescent="0.3">
      <c r="A20" s="18">
        <v>16</v>
      </c>
      <c r="B20" s="338"/>
      <c r="C20" s="35" t="s">
        <v>388</v>
      </c>
      <c r="D20" s="12" t="s">
        <v>389</v>
      </c>
      <c r="E20" s="35"/>
      <c r="F20" s="116"/>
      <c r="G20" s="116"/>
      <c r="H20" s="116"/>
      <c r="I20" s="116"/>
      <c r="J20" s="116"/>
      <c r="K20" s="355"/>
      <c r="L20" s="355"/>
      <c r="M20" s="359"/>
      <c r="N20">
        <f t="shared" si="0"/>
        <v>1</v>
      </c>
    </row>
    <row r="21" spans="1:17" ht="30" customHeight="1" x14ac:dyDescent="0.3">
      <c r="A21" s="18">
        <v>17</v>
      </c>
      <c r="B21" s="338"/>
      <c r="C21" s="76"/>
      <c r="D21" s="77"/>
      <c r="E21" s="76"/>
      <c r="F21" s="118">
        <v>-10.321</v>
      </c>
      <c r="G21" s="118">
        <v>29.696000000000002</v>
      </c>
      <c r="H21" s="207">
        <v>-11.795</v>
      </c>
      <c r="I21" s="207">
        <v>27.675999999999998</v>
      </c>
      <c r="J21" s="207" t="s">
        <v>626</v>
      </c>
      <c r="K21" s="355"/>
      <c r="L21" s="355"/>
      <c r="M21" s="359"/>
      <c r="N21">
        <f t="shared" si="0"/>
        <v>0</v>
      </c>
    </row>
    <row r="22" spans="1:17" ht="30" customHeight="1" x14ac:dyDescent="0.3">
      <c r="A22" s="18">
        <v>18</v>
      </c>
      <c r="B22" s="338"/>
      <c r="C22" s="76"/>
      <c r="D22" s="77"/>
      <c r="E22" s="76"/>
      <c r="F22" s="118">
        <v>-10.425000000000001</v>
      </c>
      <c r="G22" s="118">
        <v>29.713999999999999</v>
      </c>
      <c r="H22" s="207">
        <v>-13.393000000000001</v>
      </c>
      <c r="I22" s="207">
        <v>29.731999999999999</v>
      </c>
      <c r="J22" s="207" t="s">
        <v>626</v>
      </c>
      <c r="K22" s="355"/>
      <c r="L22" s="355"/>
      <c r="M22" s="359"/>
      <c r="N22">
        <f t="shared" si="0"/>
        <v>0</v>
      </c>
    </row>
    <row r="23" spans="1:17" ht="30" customHeight="1" x14ac:dyDescent="0.3">
      <c r="A23" s="18">
        <v>19</v>
      </c>
      <c r="B23" s="338"/>
      <c r="C23" s="76"/>
      <c r="D23" s="77"/>
      <c r="E23" s="76"/>
      <c r="F23" s="118">
        <v>-10.474</v>
      </c>
      <c r="G23" s="118">
        <v>29.716999999999999</v>
      </c>
      <c r="H23" s="207">
        <v>-10.949</v>
      </c>
      <c r="I23" s="207">
        <v>27.669</v>
      </c>
      <c r="J23" s="207" t="s">
        <v>626</v>
      </c>
      <c r="K23" s="355"/>
      <c r="L23" s="355"/>
      <c r="M23" s="359"/>
      <c r="N23">
        <f t="shared" si="0"/>
        <v>0</v>
      </c>
    </row>
    <row r="24" spans="1:17" ht="30" customHeight="1" x14ac:dyDescent="0.3">
      <c r="A24" s="18">
        <v>20</v>
      </c>
      <c r="B24" s="338"/>
      <c r="C24" s="76"/>
      <c r="D24" s="77"/>
      <c r="E24" s="76"/>
      <c r="F24" s="118">
        <v>-10.311</v>
      </c>
      <c r="G24" s="118">
        <v>29.716999999999999</v>
      </c>
      <c r="H24" s="207">
        <v>-10.374000000000001</v>
      </c>
      <c r="I24" s="207">
        <v>27.175999999999998</v>
      </c>
      <c r="J24" s="207" t="s">
        <v>626</v>
      </c>
      <c r="K24" s="355"/>
      <c r="L24" s="355"/>
      <c r="M24" s="359"/>
      <c r="N24">
        <f t="shared" si="0"/>
        <v>0</v>
      </c>
    </row>
    <row r="25" spans="1:17" ht="30" customHeight="1" x14ac:dyDescent="0.3">
      <c r="A25" s="18">
        <v>21</v>
      </c>
      <c r="B25" s="338"/>
      <c r="C25" s="85" t="s">
        <v>130</v>
      </c>
      <c r="D25" s="86" t="s">
        <v>390</v>
      </c>
      <c r="E25" s="35" t="s">
        <v>699</v>
      </c>
      <c r="F25" s="116"/>
      <c r="G25" s="116"/>
      <c r="H25" s="116"/>
      <c r="I25" s="116"/>
      <c r="J25" s="205"/>
      <c r="K25" s="355"/>
      <c r="L25" s="355"/>
      <c r="M25" s="359"/>
      <c r="N25">
        <f t="shared" si="0"/>
        <v>1</v>
      </c>
    </row>
    <row r="26" spans="1:17" ht="30" customHeight="1" x14ac:dyDescent="0.3">
      <c r="A26" s="18">
        <v>22</v>
      </c>
      <c r="B26" s="338"/>
      <c r="C26" s="85" t="s">
        <v>130</v>
      </c>
      <c r="D26" s="86" t="s">
        <v>391</v>
      </c>
      <c r="E26" s="130" t="s">
        <v>699</v>
      </c>
      <c r="F26" s="116"/>
      <c r="G26" s="116"/>
      <c r="H26" s="116"/>
      <c r="I26" s="116"/>
      <c r="J26" s="205"/>
      <c r="K26" s="355"/>
      <c r="L26" s="355"/>
      <c r="M26" s="359"/>
      <c r="N26">
        <f t="shared" si="0"/>
        <v>1</v>
      </c>
    </row>
    <row r="27" spans="1:17" ht="30" customHeight="1" x14ac:dyDescent="0.3">
      <c r="A27" s="18">
        <v>23</v>
      </c>
      <c r="B27" s="338"/>
      <c r="C27" s="76"/>
      <c r="D27" s="77"/>
      <c r="E27" s="76"/>
      <c r="F27" s="118">
        <v>-10.378</v>
      </c>
      <c r="G27" s="118">
        <v>29.722000000000001</v>
      </c>
      <c r="H27" s="207">
        <v>-13.853999999999999</v>
      </c>
      <c r="I27" s="207">
        <v>29.73</v>
      </c>
      <c r="J27" s="207" t="s">
        <v>626</v>
      </c>
      <c r="K27" s="355"/>
      <c r="L27" s="355"/>
      <c r="M27" s="359"/>
      <c r="N27">
        <f t="shared" si="0"/>
        <v>0</v>
      </c>
    </row>
    <row r="28" spans="1:17" ht="30" customHeight="1" thickBot="1" x14ac:dyDescent="0.35">
      <c r="A28" s="21">
        <v>24</v>
      </c>
      <c r="B28" s="339"/>
      <c r="C28" s="82"/>
      <c r="D28" s="147"/>
      <c r="E28" s="82"/>
      <c r="F28" s="148">
        <v>-10.443</v>
      </c>
      <c r="G28" s="148">
        <v>29.722000000000001</v>
      </c>
      <c r="H28" s="208">
        <v>-11.189</v>
      </c>
      <c r="I28" s="208">
        <v>23.155999999999999</v>
      </c>
      <c r="J28" s="208" t="s">
        <v>626</v>
      </c>
      <c r="K28" s="356"/>
      <c r="L28" s="356"/>
      <c r="M28" s="360"/>
      <c r="N28">
        <f t="shared" si="0"/>
        <v>0</v>
      </c>
      <c r="P28">
        <f>SUM(F8,F16,F17,F18,F21,F22,F23,F24,F27,F28)/10</f>
        <v>-10.281600000000001</v>
      </c>
      <c r="Q28">
        <f>SUM(H8,H16,H17,H18,H21,H22,H23,H24,H27,H28)/10</f>
        <v>-10.802299999999999</v>
      </c>
    </row>
    <row r="29" spans="1:17" ht="30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545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</row>
    <row r="30" spans="1:17" ht="30" customHeight="1" x14ac:dyDescent="0.3">
      <c r="A30" s="336" t="s">
        <v>9</v>
      </c>
      <c r="B30" s="337"/>
      <c r="C30" s="337"/>
      <c r="D30" s="368" t="s">
        <v>519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</row>
    <row r="31" spans="1:17" ht="30" customHeight="1" x14ac:dyDescent="0.3">
      <c r="A31" s="336"/>
      <c r="B31" s="337"/>
      <c r="C31" s="337"/>
      <c r="D31" s="368"/>
      <c r="E31" s="337"/>
      <c r="F31" s="201" t="s">
        <v>638</v>
      </c>
      <c r="G31" s="214">
        <f>전송손실!M35</f>
        <v>-9.3243259999999992</v>
      </c>
      <c r="H31" s="201" t="s">
        <v>638</v>
      </c>
      <c r="I31" s="214">
        <f>전송손실!M61</f>
        <v>0</v>
      </c>
      <c r="J31" s="369"/>
      <c r="K31" s="332"/>
      <c r="L31" s="332"/>
      <c r="M31" s="332"/>
    </row>
    <row r="32" spans="1:17" ht="30" customHeight="1" thickBot="1" x14ac:dyDescent="0.35">
      <c r="A32" s="203" t="s">
        <v>0</v>
      </c>
      <c r="B32" s="203" t="s">
        <v>1</v>
      </c>
      <c r="C32" s="203" t="s">
        <v>23</v>
      </c>
      <c r="D32" s="203" t="s">
        <v>2</v>
      </c>
      <c r="E32" s="203" t="s">
        <v>3</v>
      </c>
      <c r="F32" s="203" t="s">
        <v>4</v>
      </c>
      <c r="G32" s="203" t="s">
        <v>506</v>
      </c>
      <c r="H32" s="203" t="s">
        <v>4</v>
      </c>
      <c r="I32" s="203" t="s">
        <v>506</v>
      </c>
      <c r="J32" s="370"/>
      <c r="K32" s="367"/>
      <c r="L32" s="367"/>
      <c r="M32" s="367"/>
    </row>
    <row r="33" spans="1:14" ht="30" customHeight="1" x14ac:dyDescent="0.3">
      <c r="A33" s="25">
        <v>25</v>
      </c>
      <c r="B33" s="400" t="s">
        <v>149</v>
      </c>
      <c r="C33" s="44" t="s">
        <v>26</v>
      </c>
      <c r="D33" s="26" t="s">
        <v>150</v>
      </c>
      <c r="E33" s="41"/>
      <c r="F33" s="149"/>
      <c r="G33" s="149"/>
      <c r="H33" s="149"/>
      <c r="I33" s="149"/>
      <c r="J33" s="149"/>
      <c r="K33" s="378" t="s">
        <v>455</v>
      </c>
      <c r="L33" s="355"/>
      <c r="M33" s="359"/>
      <c r="N33">
        <f t="shared" si="0"/>
        <v>1</v>
      </c>
    </row>
    <row r="34" spans="1:14" ht="30" customHeight="1" x14ac:dyDescent="0.3">
      <c r="A34" s="18">
        <v>26</v>
      </c>
      <c r="B34" s="394"/>
      <c r="C34" s="42" t="s">
        <v>26</v>
      </c>
      <c r="D34" s="12" t="s">
        <v>151</v>
      </c>
      <c r="E34" s="35"/>
      <c r="F34" s="116"/>
      <c r="G34" s="116"/>
      <c r="H34" s="116"/>
      <c r="I34" s="116"/>
      <c r="J34" s="116"/>
      <c r="K34" s="355"/>
      <c r="L34" s="355"/>
      <c r="M34" s="359"/>
      <c r="N34">
        <f t="shared" si="0"/>
        <v>1</v>
      </c>
    </row>
    <row r="35" spans="1:14" ht="30" customHeight="1" x14ac:dyDescent="0.3">
      <c r="A35" s="18">
        <v>27</v>
      </c>
      <c r="B35" s="394"/>
      <c r="C35" s="99" t="s">
        <v>63</v>
      </c>
      <c r="D35" s="12" t="s">
        <v>517</v>
      </c>
      <c r="E35" s="35"/>
      <c r="F35" s="116"/>
      <c r="G35" s="116"/>
      <c r="H35" s="116"/>
      <c r="I35" s="116"/>
      <c r="J35" s="116"/>
      <c r="K35" s="355"/>
      <c r="L35" s="355"/>
      <c r="M35" s="359"/>
      <c r="N35">
        <f t="shared" si="0"/>
        <v>1</v>
      </c>
    </row>
    <row r="36" spans="1:14" ht="30" customHeight="1" x14ac:dyDescent="0.3">
      <c r="A36" s="18">
        <v>28</v>
      </c>
      <c r="B36" s="394"/>
      <c r="C36" s="76"/>
      <c r="D36" s="77"/>
      <c r="E36" s="76"/>
      <c r="F36" s="118">
        <v>-6.0739999999999998</v>
      </c>
      <c r="G36" s="118">
        <v>14.863</v>
      </c>
      <c r="H36" s="118">
        <v>-4.8099999999999996</v>
      </c>
      <c r="I36" s="118">
        <v>14.868</v>
      </c>
      <c r="J36" s="118" t="s">
        <v>664</v>
      </c>
      <c r="K36" s="355"/>
      <c r="L36" s="355"/>
      <c r="M36" s="359"/>
      <c r="N36">
        <f t="shared" si="0"/>
        <v>0</v>
      </c>
    </row>
    <row r="37" spans="1:14" ht="30" customHeight="1" x14ac:dyDescent="0.3">
      <c r="A37" s="18">
        <v>29</v>
      </c>
      <c r="B37" s="394"/>
      <c r="C37" s="42" t="s">
        <v>26</v>
      </c>
      <c r="D37" s="12" t="s">
        <v>152</v>
      </c>
      <c r="E37" s="35"/>
      <c r="F37" s="116"/>
      <c r="G37" s="116"/>
      <c r="H37" s="116"/>
      <c r="I37" s="116"/>
      <c r="J37" s="116"/>
      <c r="K37" s="355"/>
      <c r="L37" s="355"/>
      <c r="M37" s="359"/>
      <c r="N37">
        <f t="shared" si="0"/>
        <v>1</v>
      </c>
    </row>
    <row r="38" spans="1:14" ht="30" customHeight="1" x14ac:dyDescent="0.3">
      <c r="A38" s="18">
        <v>30</v>
      </c>
      <c r="B38" s="394"/>
      <c r="C38" s="42" t="s">
        <v>26</v>
      </c>
      <c r="D38" s="12" t="s">
        <v>153</v>
      </c>
      <c r="E38" s="35"/>
      <c r="F38" s="116"/>
      <c r="G38" s="116"/>
      <c r="H38" s="116"/>
      <c r="I38" s="116"/>
      <c r="J38" s="116"/>
      <c r="K38" s="355"/>
      <c r="L38" s="355"/>
      <c r="M38" s="359"/>
      <c r="N38">
        <f t="shared" si="0"/>
        <v>1</v>
      </c>
    </row>
    <row r="39" spans="1:14" ht="30" customHeight="1" x14ac:dyDescent="0.3">
      <c r="A39" s="18">
        <v>31</v>
      </c>
      <c r="B39" s="394"/>
      <c r="C39" s="42" t="s">
        <v>25</v>
      </c>
      <c r="D39" s="12" t="s">
        <v>155</v>
      </c>
      <c r="E39" s="35"/>
      <c r="F39" s="116"/>
      <c r="G39" s="116"/>
      <c r="H39" s="116"/>
      <c r="I39" s="116"/>
      <c r="J39" s="116"/>
      <c r="K39" s="355"/>
      <c r="L39" s="355"/>
      <c r="M39" s="359"/>
      <c r="N39">
        <f t="shared" si="0"/>
        <v>1</v>
      </c>
    </row>
    <row r="40" spans="1:14" ht="30" customHeight="1" x14ac:dyDescent="0.3">
      <c r="A40" s="18">
        <v>32</v>
      </c>
      <c r="B40" s="394"/>
      <c r="C40" s="42" t="s">
        <v>25</v>
      </c>
      <c r="D40" s="12" t="s">
        <v>154</v>
      </c>
      <c r="E40" s="35"/>
      <c r="F40" s="116"/>
      <c r="G40" s="116"/>
      <c r="H40" s="116"/>
      <c r="I40" s="116"/>
      <c r="J40" s="116"/>
      <c r="K40" s="355"/>
      <c r="L40" s="355"/>
      <c r="M40" s="359"/>
      <c r="N40">
        <f t="shared" si="0"/>
        <v>1</v>
      </c>
    </row>
    <row r="41" spans="1:14" ht="30" customHeight="1" x14ac:dyDescent="0.3">
      <c r="A41" s="18">
        <v>33</v>
      </c>
      <c r="B41" s="394"/>
      <c r="C41" s="76"/>
      <c r="D41" s="77"/>
      <c r="E41" s="76"/>
      <c r="F41" s="118">
        <v>-5.3220000000000001</v>
      </c>
      <c r="G41" s="118">
        <v>14.867000000000001</v>
      </c>
      <c r="H41" s="118">
        <v>-3.512</v>
      </c>
      <c r="I41" s="118">
        <v>14.872999999999999</v>
      </c>
      <c r="J41" s="118" t="s">
        <v>664</v>
      </c>
      <c r="K41" s="355"/>
      <c r="L41" s="355"/>
      <c r="M41" s="359"/>
      <c r="N41">
        <f t="shared" si="0"/>
        <v>0</v>
      </c>
    </row>
    <row r="42" spans="1:14" ht="30" customHeight="1" x14ac:dyDescent="0.3">
      <c r="A42" s="18">
        <v>34</v>
      </c>
      <c r="B42" s="394"/>
      <c r="C42" s="76"/>
      <c r="D42" s="77"/>
      <c r="E42" s="76"/>
      <c r="F42" s="118">
        <v>-5.4660000000000002</v>
      </c>
      <c r="G42" s="118">
        <v>14.865</v>
      </c>
      <c r="H42" s="118">
        <v>-4.2549999999999999</v>
      </c>
      <c r="I42" s="118">
        <v>14.871</v>
      </c>
      <c r="J42" s="118" t="s">
        <v>664</v>
      </c>
      <c r="K42" s="355"/>
      <c r="L42" s="355"/>
      <c r="M42" s="359"/>
      <c r="N42">
        <f t="shared" si="0"/>
        <v>0</v>
      </c>
    </row>
    <row r="43" spans="1:14" ht="30" customHeight="1" x14ac:dyDescent="0.3">
      <c r="A43" s="18">
        <v>35</v>
      </c>
      <c r="B43" s="394"/>
      <c r="C43" s="76"/>
      <c r="D43" s="77"/>
      <c r="E43" s="76"/>
      <c r="F43" s="118">
        <v>-5.0999999999999996</v>
      </c>
      <c r="G43" s="118">
        <v>14.87</v>
      </c>
      <c r="H43" s="118">
        <v>-3.4260000000000002</v>
      </c>
      <c r="I43" s="118">
        <v>14.872</v>
      </c>
      <c r="J43" s="118" t="s">
        <v>664</v>
      </c>
      <c r="K43" s="355"/>
      <c r="L43" s="355"/>
      <c r="M43" s="359"/>
      <c r="N43">
        <f t="shared" si="0"/>
        <v>0</v>
      </c>
    </row>
    <row r="44" spans="1:14" ht="30" customHeight="1" x14ac:dyDescent="0.3">
      <c r="A44" s="18">
        <v>36</v>
      </c>
      <c r="B44" s="394"/>
      <c r="C44" s="76"/>
      <c r="D44" s="77"/>
      <c r="E44" s="76"/>
      <c r="F44" s="118">
        <v>-5.6529999999999996</v>
      </c>
      <c r="G44" s="118">
        <v>14.866</v>
      </c>
      <c r="H44" s="118">
        <v>-4.093</v>
      </c>
      <c r="I44" s="118">
        <v>14.872</v>
      </c>
      <c r="J44" s="118" t="s">
        <v>664</v>
      </c>
      <c r="K44" s="355"/>
      <c r="L44" s="355"/>
      <c r="M44" s="359"/>
      <c r="N44">
        <f t="shared" si="0"/>
        <v>0</v>
      </c>
    </row>
    <row r="45" spans="1:14" ht="30" customHeight="1" x14ac:dyDescent="0.3">
      <c r="A45" s="18">
        <v>37</v>
      </c>
      <c r="B45" s="394"/>
      <c r="C45" s="42" t="s">
        <v>27</v>
      </c>
      <c r="D45" s="12" t="s">
        <v>156</v>
      </c>
      <c r="E45" s="35"/>
      <c r="F45" s="116"/>
      <c r="G45" s="116"/>
      <c r="H45" s="116"/>
      <c r="I45" s="116"/>
      <c r="J45" s="116"/>
      <c r="K45" s="355"/>
      <c r="L45" s="355"/>
      <c r="M45" s="359"/>
      <c r="N45">
        <f t="shared" si="0"/>
        <v>1</v>
      </c>
    </row>
    <row r="46" spans="1:14" ht="30" customHeight="1" x14ac:dyDescent="0.3">
      <c r="A46" s="18">
        <v>38</v>
      </c>
      <c r="B46" s="394"/>
      <c r="C46" s="42" t="s">
        <v>27</v>
      </c>
      <c r="D46" s="12" t="s">
        <v>156</v>
      </c>
      <c r="E46" s="35"/>
      <c r="F46" s="116"/>
      <c r="G46" s="116"/>
      <c r="H46" s="116"/>
      <c r="I46" s="116"/>
      <c r="J46" s="116"/>
      <c r="K46" s="355"/>
      <c r="L46" s="355"/>
      <c r="M46" s="359"/>
      <c r="N46">
        <f t="shared" si="0"/>
        <v>1</v>
      </c>
    </row>
    <row r="47" spans="1:14" ht="30" customHeight="1" x14ac:dyDescent="0.3">
      <c r="A47" s="18">
        <v>39</v>
      </c>
      <c r="B47" s="394"/>
      <c r="C47" s="76"/>
      <c r="D47" s="77"/>
      <c r="E47" s="76"/>
      <c r="F47" s="118">
        <v>-5.7350000000000003</v>
      </c>
      <c r="G47" s="118">
        <v>14.863</v>
      </c>
      <c r="H47" s="118">
        <v>-5.133</v>
      </c>
      <c r="I47" s="118">
        <v>14.869</v>
      </c>
      <c r="J47" s="118" t="s">
        <v>664</v>
      </c>
      <c r="K47" s="355"/>
      <c r="L47" s="355"/>
      <c r="M47" s="359"/>
      <c r="N47">
        <f t="shared" si="0"/>
        <v>0</v>
      </c>
    </row>
    <row r="48" spans="1:14" ht="30" customHeight="1" x14ac:dyDescent="0.3">
      <c r="A48" s="18">
        <v>40</v>
      </c>
      <c r="B48" s="394"/>
      <c r="C48" s="76"/>
      <c r="D48" s="77"/>
      <c r="E48" s="76"/>
      <c r="F48" s="118">
        <v>-5.7080000000000002</v>
      </c>
      <c r="G48" s="118">
        <v>14.866</v>
      </c>
      <c r="H48" s="118">
        <v>-4.109</v>
      </c>
      <c r="I48" s="118">
        <v>14.872</v>
      </c>
      <c r="J48" s="118" t="s">
        <v>664</v>
      </c>
      <c r="K48" s="355"/>
      <c r="L48" s="355"/>
      <c r="M48" s="359"/>
      <c r="N48">
        <f t="shared" si="0"/>
        <v>0</v>
      </c>
    </row>
    <row r="49" spans="1:17" ht="30" customHeight="1" x14ac:dyDescent="0.3">
      <c r="A49" s="18">
        <v>41</v>
      </c>
      <c r="B49" s="394"/>
      <c r="C49" s="76"/>
      <c r="D49" s="77"/>
      <c r="E49" s="76"/>
      <c r="F49" s="118">
        <v>-5.4809999999999999</v>
      </c>
      <c r="G49" s="118">
        <v>14.86</v>
      </c>
      <c r="H49" s="118">
        <v>-4.976</v>
      </c>
      <c r="I49" s="118">
        <v>14.867000000000001</v>
      </c>
      <c r="J49" s="118" t="s">
        <v>664</v>
      </c>
      <c r="K49" s="355"/>
      <c r="L49" s="355"/>
      <c r="M49" s="359"/>
      <c r="N49">
        <f t="shared" si="0"/>
        <v>0</v>
      </c>
    </row>
    <row r="50" spans="1:17" ht="30" customHeight="1" x14ac:dyDescent="0.3">
      <c r="A50" s="18">
        <v>42</v>
      </c>
      <c r="B50" s="394"/>
      <c r="C50" s="76"/>
      <c r="D50" s="77"/>
      <c r="E50" s="76"/>
      <c r="F50" s="118">
        <v>-5.6269999999999998</v>
      </c>
      <c r="G50" s="118">
        <v>14.865</v>
      </c>
      <c r="H50" s="118">
        <v>-4.0739999999999998</v>
      </c>
      <c r="I50" s="118">
        <v>14.871</v>
      </c>
      <c r="J50" s="118" t="s">
        <v>664</v>
      </c>
      <c r="K50" s="355"/>
      <c r="L50" s="355"/>
      <c r="M50" s="359"/>
      <c r="N50">
        <f t="shared" si="0"/>
        <v>0</v>
      </c>
    </row>
    <row r="51" spans="1:17" ht="30" customHeight="1" x14ac:dyDescent="0.3">
      <c r="A51" s="18">
        <v>43</v>
      </c>
      <c r="B51" s="394"/>
      <c r="C51" s="76"/>
      <c r="D51" s="77"/>
      <c r="E51" s="76"/>
      <c r="F51" s="118">
        <v>-5.8819999999999997</v>
      </c>
      <c r="G51" s="118">
        <v>14.862</v>
      </c>
      <c r="H51" s="118">
        <v>-4.6109999999999998</v>
      </c>
      <c r="I51" s="118">
        <v>14.868</v>
      </c>
      <c r="J51" s="118" t="s">
        <v>664</v>
      </c>
      <c r="K51" s="355"/>
      <c r="L51" s="355"/>
      <c r="M51" s="359"/>
      <c r="N51">
        <f t="shared" si="0"/>
        <v>0</v>
      </c>
    </row>
    <row r="52" spans="1:17" ht="30" customHeight="1" x14ac:dyDescent="0.3">
      <c r="A52" s="18">
        <v>44</v>
      </c>
      <c r="B52" s="394"/>
      <c r="C52" s="76"/>
      <c r="D52" s="77"/>
      <c r="E52" s="76"/>
      <c r="F52" s="118">
        <v>-5.7720000000000002</v>
      </c>
      <c r="G52" s="118">
        <v>14.863</v>
      </c>
      <c r="H52" s="118">
        <v>-4.3689999999999998</v>
      </c>
      <c r="I52" s="118">
        <v>14.868</v>
      </c>
      <c r="J52" s="118" t="s">
        <v>664</v>
      </c>
      <c r="K52" s="355"/>
      <c r="L52" s="355"/>
      <c r="M52" s="359"/>
      <c r="N52">
        <f t="shared" si="0"/>
        <v>0</v>
      </c>
    </row>
    <row r="53" spans="1:17" ht="30" customHeight="1" x14ac:dyDescent="0.3">
      <c r="A53" s="18">
        <v>45</v>
      </c>
      <c r="B53" s="394"/>
      <c r="C53" s="42"/>
      <c r="D53" s="12"/>
      <c r="E53" s="35"/>
      <c r="F53" s="116"/>
      <c r="G53" s="116"/>
      <c r="H53" s="116"/>
      <c r="I53" s="116"/>
      <c r="J53" s="116"/>
      <c r="K53" s="355"/>
      <c r="L53" s="355"/>
      <c r="M53" s="359"/>
      <c r="N53">
        <f t="shared" si="0"/>
        <v>0</v>
      </c>
    </row>
    <row r="54" spans="1:17" ht="30" customHeight="1" x14ac:dyDescent="0.3">
      <c r="A54" s="18">
        <v>46</v>
      </c>
      <c r="B54" s="394"/>
      <c r="C54" s="42"/>
      <c r="D54" s="12"/>
      <c r="E54" s="35"/>
      <c r="F54" s="116"/>
      <c r="G54" s="116"/>
      <c r="H54" s="116"/>
      <c r="I54" s="116"/>
      <c r="J54" s="116"/>
      <c r="K54" s="355"/>
      <c r="L54" s="355"/>
      <c r="M54" s="359"/>
      <c r="N54">
        <f t="shared" si="0"/>
        <v>0</v>
      </c>
    </row>
    <row r="55" spans="1:17" ht="30" customHeight="1" x14ac:dyDescent="0.3">
      <c r="A55" s="18">
        <v>47</v>
      </c>
      <c r="B55" s="394"/>
      <c r="C55" s="42"/>
      <c r="D55" s="12"/>
      <c r="E55" s="35"/>
      <c r="F55" s="116"/>
      <c r="G55" s="116"/>
      <c r="H55" s="116"/>
      <c r="I55" s="116"/>
      <c r="J55" s="116"/>
      <c r="K55" s="355"/>
      <c r="L55" s="355"/>
      <c r="M55" s="359"/>
      <c r="N55">
        <f t="shared" si="0"/>
        <v>0</v>
      </c>
    </row>
    <row r="56" spans="1:17" ht="30" customHeight="1" thickBot="1" x14ac:dyDescent="0.35">
      <c r="A56" s="21">
        <v>48</v>
      </c>
      <c r="B56" s="395"/>
      <c r="C56" s="45"/>
      <c r="D56" s="22"/>
      <c r="E56" s="40"/>
      <c r="F56" s="128"/>
      <c r="G56" s="128"/>
      <c r="H56" s="128"/>
      <c r="I56" s="128"/>
      <c r="J56" s="128"/>
      <c r="K56" s="356"/>
      <c r="L56" s="356"/>
      <c r="M56" s="360"/>
      <c r="N56">
        <f t="shared" si="0"/>
        <v>0</v>
      </c>
      <c r="P56" s="220">
        <f>SUM(F36,F41,F42,F43,F44,F47,F48,F49,F50,F51,F52)/11</f>
        <v>-5.62</v>
      </c>
      <c r="Q56" s="220">
        <f>SUM(H41,H36,H42,H43,H44,H47,H48,H49,H50,H51,H52)/11</f>
        <v>-4.3061818181818179</v>
      </c>
    </row>
    <row r="57" spans="1:17" ht="30" customHeight="1" x14ac:dyDescent="0.3">
      <c r="A57" s="374" t="s">
        <v>8</v>
      </c>
      <c r="B57" s="325"/>
      <c r="C57" s="325"/>
      <c r="D57" s="110" t="s">
        <v>11</v>
      </c>
      <c r="E57" s="110" t="s">
        <v>12</v>
      </c>
      <c r="F57" s="338" t="s">
        <v>545</v>
      </c>
      <c r="G57" s="338"/>
      <c r="H57" s="338"/>
      <c r="I57" s="338"/>
      <c r="J57" s="338"/>
      <c r="K57" s="332" t="s">
        <v>10</v>
      </c>
      <c r="L57" s="331" t="s">
        <v>32</v>
      </c>
      <c r="M57" s="331" t="s">
        <v>33</v>
      </c>
      <c r="N57">
        <f t="shared" si="0"/>
        <v>0</v>
      </c>
    </row>
    <row r="58" spans="1:17" ht="30" customHeight="1" x14ac:dyDescent="0.3">
      <c r="A58" s="336" t="s">
        <v>9</v>
      </c>
      <c r="B58" s="337"/>
      <c r="C58" s="337"/>
      <c r="D58" s="368" t="s">
        <v>519</v>
      </c>
      <c r="E58" s="337" t="s">
        <v>687</v>
      </c>
      <c r="F58" s="349" t="s">
        <v>5</v>
      </c>
      <c r="G58" s="349"/>
      <c r="H58" s="349" t="s">
        <v>7</v>
      </c>
      <c r="I58" s="349"/>
      <c r="J58" s="369" t="s">
        <v>668</v>
      </c>
      <c r="K58" s="332"/>
      <c r="L58" s="332"/>
      <c r="M58" s="332"/>
      <c r="N58">
        <f t="shared" si="0"/>
        <v>0</v>
      </c>
    </row>
    <row r="59" spans="1:17" ht="30" customHeight="1" x14ac:dyDescent="0.3">
      <c r="A59" s="336"/>
      <c r="B59" s="337"/>
      <c r="C59" s="337"/>
      <c r="D59" s="368"/>
      <c r="E59" s="337"/>
      <c r="F59" s="201" t="s">
        <v>638</v>
      </c>
      <c r="G59" s="214">
        <f>전송손실!M65</f>
        <v>0</v>
      </c>
      <c r="H59" s="201" t="s">
        <v>638</v>
      </c>
      <c r="I59" s="214">
        <f>전송손실!M89</f>
        <v>0</v>
      </c>
      <c r="J59" s="369"/>
      <c r="K59" s="332"/>
      <c r="L59" s="332"/>
      <c r="M59" s="332"/>
    </row>
    <row r="60" spans="1:17" ht="30" customHeight="1" thickBot="1" x14ac:dyDescent="0.35">
      <c r="A60" s="203" t="s">
        <v>0</v>
      </c>
      <c r="B60" s="203" t="s">
        <v>1</v>
      </c>
      <c r="C60" s="203" t="s">
        <v>23</v>
      </c>
      <c r="D60" s="203" t="s">
        <v>2</v>
      </c>
      <c r="E60" s="203" t="s">
        <v>3</v>
      </c>
      <c r="F60" s="203" t="s">
        <v>4</v>
      </c>
      <c r="G60" s="203" t="s">
        <v>506</v>
      </c>
      <c r="H60" s="203" t="s">
        <v>4</v>
      </c>
      <c r="I60" s="203" t="s">
        <v>506</v>
      </c>
      <c r="J60" s="370"/>
      <c r="K60" s="367"/>
      <c r="L60" s="367"/>
      <c r="M60" s="367"/>
      <c r="N60">
        <f t="shared" si="0"/>
        <v>1</v>
      </c>
    </row>
    <row r="61" spans="1:17" ht="30" customHeight="1" x14ac:dyDescent="0.3">
      <c r="A61" s="64">
        <v>1</v>
      </c>
      <c r="B61" s="344" t="s">
        <v>421</v>
      </c>
      <c r="C61" s="90"/>
      <c r="D61" s="266" t="s">
        <v>700</v>
      </c>
      <c r="E61" s="90"/>
      <c r="F61" s="92"/>
      <c r="G61" s="92"/>
      <c r="H61" s="92"/>
      <c r="I61" s="92"/>
      <c r="J61" s="167" t="s">
        <v>527</v>
      </c>
      <c r="K61" s="357"/>
      <c r="L61" s="354"/>
      <c r="M61" s="358"/>
      <c r="N61">
        <f t="shared" si="0"/>
        <v>0</v>
      </c>
    </row>
    <row r="62" spans="1:17" ht="30" customHeight="1" x14ac:dyDescent="0.3">
      <c r="A62" s="18">
        <v>2</v>
      </c>
      <c r="B62" s="344"/>
      <c r="C62" s="94"/>
      <c r="D62" s="95"/>
      <c r="E62" s="94"/>
      <c r="F62" s="96"/>
      <c r="G62" s="96"/>
      <c r="H62" s="96"/>
      <c r="I62" s="96"/>
      <c r="J62" s="167" t="s">
        <v>527</v>
      </c>
      <c r="K62" s="355"/>
      <c r="L62" s="355"/>
      <c r="M62" s="359"/>
      <c r="N62">
        <f t="shared" si="0"/>
        <v>0</v>
      </c>
    </row>
    <row r="63" spans="1:17" ht="30" customHeight="1" x14ac:dyDescent="0.3">
      <c r="A63" s="18">
        <v>3</v>
      </c>
      <c r="B63" s="344"/>
      <c r="C63" s="35"/>
      <c r="D63" s="12"/>
      <c r="E63" s="35"/>
      <c r="F63" s="43"/>
      <c r="G63" s="43"/>
      <c r="H63" s="43"/>
      <c r="I63" s="43"/>
      <c r="J63" s="167" t="s">
        <v>527</v>
      </c>
      <c r="K63" s="355"/>
      <c r="L63" s="355"/>
      <c r="M63" s="359"/>
      <c r="N63">
        <f t="shared" si="0"/>
        <v>0</v>
      </c>
    </row>
    <row r="64" spans="1:17" ht="30" customHeight="1" x14ac:dyDescent="0.3">
      <c r="A64" s="18">
        <v>4</v>
      </c>
      <c r="B64" s="344"/>
      <c r="C64" s="35"/>
      <c r="D64" s="12"/>
      <c r="E64" s="15"/>
      <c r="F64" s="43"/>
      <c r="G64" s="43"/>
      <c r="H64" s="43"/>
      <c r="I64" s="43"/>
      <c r="J64" s="167" t="s">
        <v>527</v>
      </c>
      <c r="K64" s="355"/>
      <c r="L64" s="355"/>
      <c r="M64" s="359"/>
      <c r="N64">
        <f t="shared" si="0"/>
        <v>0</v>
      </c>
    </row>
    <row r="65" spans="1:14" ht="30" customHeight="1" x14ac:dyDescent="0.3">
      <c r="A65" s="18">
        <v>5</v>
      </c>
      <c r="B65" s="344"/>
      <c r="C65" s="76"/>
      <c r="D65" s="77"/>
      <c r="E65" s="76"/>
      <c r="F65" s="78"/>
      <c r="G65" s="78"/>
      <c r="H65" s="78"/>
      <c r="I65" s="78"/>
      <c r="J65" s="167" t="s">
        <v>527</v>
      </c>
      <c r="K65" s="355"/>
      <c r="L65" s="355"/>
      <c r="M65" s="359"/>
      <c r="N65">
        <f t="shared" si="0"/>
        <v>0</v>
      </c>
    </row>
    <row r="66" spans="1:14" ht="30" customHeight="1" x14ac:dyDescent="0.3">
      <c r="A66" s="18">
        <v>6</v>
      </c>
      <c r="B66" s="344"/>
      <c r="C66" s="76"/>
      <c r="D66" s="77"/>
      <c r="E66" s="76"/>
      <c r="F66" s="78"/>
      <c r="G66" s="78"/>
      <c r="H66" s="78"/>
      <c r="I66" s="78"/>
      <c r="J66" s="167" t="s">
        <v>527</v>
      </c>
      <c r="K66" s="355"/>
      <c r="L66" s="355"/>
      <c r="M66" s="359"/>
      <c r="N66">
        <f t="shared" si="0"/>
        <v>0</v>
      </c>
    </row>
    <row r="67" spans="1:14" ht="30" customHeight="1" x14ac:dyDescent="0.3">
      <c r="A67" s="18">
        <v>7</v>
      </c>
      <c r="B67" s="344"/>
      <c r="C67" s="35" t="s">
        <v>360</v>
      </c>
      <c r="D67" s="12" t="s">
        <v>159</v>
      </c>
      <c r="E67" s="35"/>
      <c r="F67" s="43"/>
      <c r="G67" s="43"/>
      <c r="H67" s="43"/>
      <c r="I67" s="43"/>
      <c r="J67" s="167" t="s">
        <v>527</v>
      </c>
      <c r="K67" s="355"/>
      <c r="L67" s="355"/>
      <c r="M67" s="359"/>
      <c r="N67">
        <f t="shared" si="0"/>
        <v>1</v>
      </c>
    </row>
    <row r="68" spans="1:14" ht="30" customHeight="1" x14ac:dyDescent="0.3">
      <c r="A68" s="18">
        <v>8</v>
      </c>
      <c r="B68" s="344"/>
      <c r="C68" s="76"/>
      <c r="D68" s="77" t="s">
        <v>701</v>
      </c>
      <c r="E68" s="76"/>
      <c r="F68" s="78"/>
      <c r="G68" s="78"/>
      <c r="H68" s="78"/>
      <c r="I68" s="78"/>
      <c r="J68" s="167" t="s">
        <v>527</v>
      </c>
      <c r="K68" s="355"/>
      <c r="L68" s="355"/>
      <c r="M68" s="359"/>
      <c r="N68">
        <f t="shared" si="0"/>
        <v>0</v>
      </c>
    </row>
    <row r="69" spans="1:14" ht="30" customHeight="1" x14ac:dyDescent="0.3">
      <c r="A69" s="18">
        <v>9</v>
      </c>
      <c r="B69" s="344"/>
      <c r="C69" s="35" t="s">
        <v>358</v>
      </c>
      <c r="D69" s="12" t="s">
        <v>161</v>
      </c>
      <c r="E69" s="35"/>
      <c r="F69" s="43"/>
      <c r="G69" s="43"/>
      <c r="H69" s="43"/>
      <c r="I69" s="43"/>
      <c r="J69" s="167" t="s">
        <v>527</v>
      </c>
      <c r="K69" s="355"/>
      <c r="L69" s="355"/>
      <c r="M69" s="359"/>
      <c r="N69">
        <f t="shared" si="0"/>
        <v>1</v>
      </c>
    </row>
    <row r="70" spans="1:14" ht="30" customHeight="1" x14ac:dyDescent="0.3">
      <c r="A70" s="18">
        <v>10</v>
      </c>
      <c r="B70" s="344"/>
      <c r="C70" s="35" t="s">
        <v>358</v>
      </c>
      <c r="D70" s="12" t="s">
        <v>161</v>
      </c>
      <c r="E70" s="35"/>
      <c r="F70" s="43"/>
      <c r="G70" s="43"/>
      <c r="H70" s="43"/>
      <c r="I70" s="43"/>
      <c r="J70" s="167" t="s">
        <v>527</v>
      </c>
      <c r="K70" s="355"/>
      <c r="L70" s="355"/>
      <c r="M70" s="359"/>
      <c r="N70">
        <f t="shared" si="0"/>
        <v>1</v>
      </c>
    </row>
    <row r="71" spans="1:14" ht="30" customHeight="1" x14ac:dyDescent="0.3">
      <c r="A71" s="18">
        <v>11</v>
      </c>
      <c r="B71" s="344"/>
      <c r="C71" s="35" t="s">
        <v>358</v>
      </c>
      <c r="D71" s="12" t="s">
        <v>158</v>
      </c>
      <c r="E71" s="35"/>
      <c r="F71" s="43"/>
      <c r="G71" s="43"/>
      <c r="H71" s="43"/>
      <c r="I71" s="43"/>
      <c r="J71" s="167" t="s">
        <v>527</v>
      </c>
      <c r="K71" s="355"/>
      <c r="L71" s="355"/>
      <c r="M71" s="359"/>
      <c r="N71">
        <f t="shared" si="0"/>
        <v>1</v>
      </c>
    </row>
    <row r="72" spans="1:14" ht="30" customHeight="1" x14ac:dyDescent="0.3">
      <c r="A72" s="18">
        <v>12</v>
      </c>
      <c r="B72" s="344"/>
      <c r="C72" s="35" t="s">
        <v>358</v>
      </c>
      <c r="D72" s="12" t="s">
        <v>158</v>
      </c>
      <c r="E72" s="35"/>
      <c r="F72" s="43"/>
      <c r="G72" s="43"/>
      <c r="H72" s="43"/>
      <c r="I72" s="43"/>
      <c r="J72" s="167" t="s">
        <v>527</v>
      </c>
      <c r="K72" s="355"/>
      <c r="L72" s="355"/>
      <c r="M72" s="359"/>
      <c r="N72">
        <f t="shared" si="0"/>
        <v>1</v>
      </c>
    </row>
    <row r="73" spans="1:14" ht="30" customHeight="1" x14ac:dyDescent="0.3">
      <c r="A73" s="18">
        <v>13</v>
      </c>
      <c r="B73" s="344"/>
      <c r="C73" s="76"/>
      <c r="D73" s="77"/>
      <c r="E73" s="76"/>
      <c r="F73" s="78"/>
      <c r="G73" s="78"/>
      <c r="H73" s="78"/>
      <c r="I73" s="78"/>
      <c r="J73" s="167" t="s">
        <v>527</v>
      </c>
      <c r="K73" s="355"/>
      <c r="L73" s="355"/>
      <c r="M73" s="359"/>
      <c r="N73">
        <f t="shared" si="0"/>
        <v>0</v>
      </c>
    </row>
    <row r="74" spans="1:14" ht="30" customHeight="1" x14ac:dyDescent="0.3">
      <c r="A74" s="18">
        <v>14</v>
      </c>
      <c r="B74" s="344"/>
      <c r="C74" s="76"/>
      <c r="D74" s="77"/>
      <c r="E74" s="76"/>
      <c r="F74" s="78"/>
      <c r="G74" s="78"/>
      <c r="H74" s="78"/>
      <c r="I74" s="78"/>
      <c r="J74" s="167" t="s">
        <v>527</v>
      </c>
      <c r="K74" s="355"/>
      <c r="L74" s="355"/>
      <c r="M74" s="359"/>
      <c r="N74">
        <f t="shared" si="0"/>
        <v>0</v>
      </c>
    </row>
    <row r="75" spans="1:14" ht="30" customHeight="1" x14ac:dyDescent="0.3">
      <c r="A75" s="18">
        <v>15</v>
      </c>
      <c r="B75" s="344"/>
      <c r="C75" s="35" t="s">
        <v>357</v>
      </c>
      <c r="D75" s="12" t="s">
        <v>162</v>
      </c>
      <c r="E75" s="35"/>
      <c r="F75" s="43"/>
      <c r="G75" s="43"/>
      <c r="H75" s="43"/>
      <c r="I75" s="43"/>
      <c r="J75" s="167" t="s">
        <v>527</v>
      </c>
      <c r="K75" s="355"/>
      <c r="L75" s="355"/>
      <c r="M75" s="359"/>
      <c r="N75">
        <f t="shared" ref="N75:N111" si="1">IF(C75="",0,1)</f>
        <v>1</v>
      </c>
    </row>
    <row r="76" spans="1:14" ht="30" customHeight="1" x14ac:dyDescent="0.3">
      <c r="A76" s="18">
        <v>16</v>
      </c>
      <c r="B76" s="344"/>
      <c r="C76" s="35" t="s">
        <v>357</v>
      </c>
      <c r="D76" s="12" t="s">
        <v>162</v>
      </c>
      <c r="E76" s="35"/>
      <c r="F76" s="43"/>
      <c r="G76" s="43"/>
      <c r="H76" s="43"/>
      <c r="I76" s="43"/>
      <c r="J76" s="167" t="s">
        <v>527</v>
      </c>
      <c r="K76" s="355"/>
      <c r="L76" s="355"/>
      <c r="M76" s="359"/>
      <c r="N76">
        <f t="shared" si="1"/>
        <v>1</v>
      </c>
    </row>
    <row r="77" spans="1:14" ht="30" customHeight="1" x14ac:dyDescent="0.3">
      <c r="A77" s="18">
        <v>17</v>
      </c>
      <c r="B77" s="344"/>
      <c r="C77" s="85" t="s">
        <v>356</v>
      </c>
      <c r="D77" s="86" t="s">
        <v>481</v>
      </c>
      <c r="E77" s="85"/>
      <c r="F77" s="87"/>
      <c r="G77" s="87"/>
      <c r="H77" s="87"/>
      <c r="I77" s="87"/>
      <c r="J77" s="167" t="s">
        <v>527</v>
      </c>
      <c r="K77" s="355"/>
      <c r="L77" s="355"/>
      <c r="M77" s="359"/>
      <c r="N77">
        <f t="shared" si="1"/>
        <v>1</v>
      </c>
    </row>
    <row r="78" spans="1:14" ht="30" customHeight="1" x14ac:dyDescent="0.3">
      <c r="A78" s="18">
        <v>18</v>
      </c>
      <c r="B78" s="344"/>
      <c r="C78" s="85" t="s">
        <v>356</v>
      </c>
      <c r="D78" s="86" t="s">
        <v>482</v>
      </c>
      <c r="E78" s="85"/>
      <c r="F78" s="87"/>
      <c r="G78" s="87"/>
      <c r="H78" s="87"/>
      <c r="I78" s="87"/>
      <c r="J78" s="167" t="s">
        <v>527</v>
      </c>
      <c r="K78" s="355"/>
      <c r="L78" s="355"/>
      <c r="M78" s="359"/>
      <c r="N78">
        <f t="shared" si="1"/>
        <v>1</v>
      </c>
    </row>
    <row r="79" spans="1:14" ht="30" customHeight="1" x14ac:dyDescent="0.3">
      <c r="A79" s="18">
        <v>19</v>
      </c>
      <c r="B79" s="344"/>
      <c r="C79" s="76"/>
      <c r="D79" s="77"/>
      <c r="E79" s="76"/>
      <c r="F79" s="78"/>
      <c r="G79" s="78"/>
      <c r="H79" s="78"/>
      <c r="I79" s="78"/>
      <c r="J79" s="167" t="s">
        <v>527</v>
      </c>
      <c r="K79" s="355"/>
      <c r="L79" s="355"/>
      <c r="M79" s="359"/>
      <c r="N79">
        <f t="shared" si="1"/>
        <v>0</v>
      </c>
    </row>
    <row r="80" spans="1:14" ht="30" customHeight="1" x14ac:dyDescent="0.3">
      <c r="A80" s="18">
        <v>20</v>
      </c>
      <c r="B80" s="344"/>
      <c r="C80" s="76"/>
      <c r="D80" s="77"/>
      <c r="E80" s="76"/>
      <c r="F80" s="78"/>
      <c r="G80" s="78"/>
      <c r="H80" s="78"/>
      <c r="I80" s="78"/>
      <c r="J80" s="167" t="s">
        <v>527</v>
      </c>
      <c r="K80" s="355"/>
      <c r="L80" s="355"/>
      <c r="M80" s="359"/>
      <c r="N80">
        <f t="shared" si="1"/>
        <v>0</v>
      </c>
    </row>
    <row r="81" spans="1:14" ht="30" customHeight="1" x14ac:dyDescent="0.3">
      <c r="A81" s="18">
        <v>21</v>
      </c>
      <c r="B81" s="344"/>
      <c r="C81" s="85" t="s">
        <v>356</v>
      </c>
      <c r="D81" s="86" t="s">
        <v>164</v>
      </c>
      <c r="E81" s="85"/>
      <c r="F81" s="87"/>
      <c r="G81" s="87"/>
      <c r="H81" s="87"/>
      <c r="I81" s="87"/>
      <c r="J81" s="167" t="s">
        <v>527</v>
      </c>
      <c r="K81" s="355"/>
      <c r="L81" s="355"/>
      <c r="M81" s="359"/>
      <c r="N81">
        <f t="shared" si="1"/>
        <v>1</v>
      </c>
    </row>
    <row r="82" spans="1:14" ht="30" customHeight="1" x14ac:dyDescent="0.3">
      <c r="A82" s="18">
        <v>22</v>
      </c>
      <c r="B82" s="344"/>
      <c r="C82" s="85" t="s">
        <v>356</v>
      </c>
      <c r="D82" s="86" t="s">
        <v>163</v>
      </c>
      <c r="E82" s="85"/>
      <c r="F82" s="87"/>
      <c r="G82" s="87"/>
      <c r="H82" s="87"/>
      <c r="I82" s="87"/>
      <c r="J82" s="167" t="s">
        <v>527</v>
      </c>
      <c r="K82" s="355"/>
      <c r="L82" s="355"/>
      <c r="M82" s="359"/>
      <c r="N82">
        <f t="shared" si="1"/>
        <v>1</v>
      </c>
    </row>
    <row r="83" spans="1:14" ht="30" customHeight="1" x14ac:dyDescent="0.3">
      <c r="A83" s="18">
        <v>23</v>
      </c>
      <c r="B83" s="344"/>
      <c r="C83" s="35" t="s">
        <v>361</v>
      </c>
      <c r="D83" s="12" t="s">
        <v>52</v>
      </c>
      <c r="E83" s="35"/>
      <c r="F83" s="43"/>
      <c r="G83" s="43"/>
      <c r="H83" s="43"/>
      <c r="I83" s="43"/>
      <c r="J83" s="167" t="s">
        <v>527</v>
      </c>
      <c r="K83" s="355"/>
      <c r="L83" s="355"/>
      <c r="M83" s="359"/>
      <c r="N83">
        <f t="shared" si="1"/>
        <v>1</v>
      </c>
    </row>
    <row r="84" spans="1:14" ht="30" customHeight="1" thickBot="1" x14ac:dyDescent="0.35">
      <c r="A84" s="21">
        <v>24</v>
      </c>
      <c r="B84" s="403"/>
      <c r="C84" s="40" t="s">
        <v>361</v>
      </c>
      <c r="D84" s="22" t="s">
        <v>53</v>
      </c>
      <c r="E84" s="40"/>
      <c r="F84" s="23"/>
      <c r="G84" s="23"/>
      <c r="H84" s="23"/>
      <c r="I84" s="23"/>
      <c r="J84" s="167" t="s">
        <v>527</v>
      </c>
      <c r="K84" s="356"/>
      <c r="L84" s="356"/>
      <c r="M84" s="360"/>
      <c r="N84">
        <f t="shared" si="1"/>
        <v>1</v>
      </c>
    </row>
    <row r="85" spans="1:14" ht="30" customHeight="1" x14ac:dyDescent="0.3">
      <c r="A85" s="341" t="s">
        <v>8</v>
      </c>
      <c r="B85" s="342"/>
      <c r="C85" s="324"/>
      <c r="D85" s="228" t="s">
        <v>11</v>
      </c>
      <c r="E85" s="111" t="s">
        <v>12</v>
      </c>
      <c r="F85" s="324" t="str">
        <f>F1</f>
        <v>측정현황 (2024-10-11) / 측정자 박근호</v>
      </c>
      <c r="G85" s="325"/>
      <c r="H85" s="325"/>
      <c r="I85" s="325"/>
      <c r="J85" s="325"/>
      <c r="K85" s="325" t="s">
        <v>10</v>
      </c>
      <c r="L85" s="401" t="s">
        <v>32</v>
      </c>
      <c r="M85" s="401" t="s">
        <v>33</v>
      </c>
      <c r="N85">
        <f t="shared" si="1"/>
        <v>0</v>
      </c>
    </row>
    <row r="86" spans="1:14" ht="30" customHeight="1" thickBot="1" x14ac:dyDescent="0.35">
      <c r="A86" s="333" t="s">
        <v>9</v>
      </c>
      <c r="B86" s="334"/>
      <c r="C86" s="335"/>
      <c r="D86" s="7" t="s">
        <v>148</v>
      </c>
      <c r="E86" s="112" t="s">
        <v>687</v>
      </c>
      <c r="F86" s="336" t="s">
        <v>5</v>
      </c>
      <c r="G86" s="337"/>
      <c r="H86" s="337" t="s">
        <v>7</v>
      </c>
      <c r="I86" s="337"/>
      <c r="J86" s="402" t="s">
        <v>3</v>
      </c>
      <c r="K86" s="338"/>
      <c r="L86" s="338"/>
      <c r="M86" s="338"/>
      <c r="N86">
        <f t="shared" si="1"/>
        <v>0</v>
      </c>
    </row>
    <row r="87" spans="1:14" ht="30" customHeight="1" x14ac:dyDescent="0.3">
      <c r="A87" s="227" t="s">
        <v>0</v>
      </c>
      <c r="B87" s="227" t="s">
        <v>1</v>
      </c>
      <c r="C87" s="227" t="s">
        <v>23</v>
      </c>
      <c r="D87" s="227" t="s">
        <v>2</v>
      </c>
      <c r="E87" s="227" t="s">
        <v>3</v>
      </c>
      <c r="F87" s="225" t="s">
        <v>4</v>
      </c>
      <c r="G87" s="225" t="s">
        <v>6</v>
      </c>
      <c r="H87" s="225" t="s">
        <v>4</v>
      </c>
      <c r="I87" s="225" t="s">
        <v>6</v>
      </c>
      <c r="J87" s="402"/>
      <c r="K87" s="338"/>
      <c r="L87" s="338"/>
      <c r="M87" s="338"/>
      <c r="N87">
        <f t="shared" si="1"/>
        <v>1</v>
      </c>
    </row>
    <row r="88" spans="1:14" ht="30" customHeight="1" x14ac:dyDescent="0.3">
      <c r="A88" s="64">
        <v>1</v>
      </c>
      <c r="B88" s="344" t="s">
        <v>422</v>
      </c>
      <c r="C88" s="73"/>
      <c r="D88" s="74"/>
      <c r="E88" s="73"/>
      <c r="F88" s="75"/>
      <c r="G88" s="75"/>
      <c r="H88" s="75"/>
      <c r="I88" s="75"/>
      <c r="J88" s="167" t="s">
        <v>527</v>
      </c>
      <c r="K88" s="354"/>
      <c r="L88" s="354"/>
      <c r="M88" s="361"/>
      <c r="N88">
        <f t="shared" si="1"/>
        <v>0</v>
      </c>
    </row>
    <row r="89" spans="1:14" ht="30" customHeight="1" x14ac:dyDescent="0.3">
      <c r="A89" s="18">
        <v>2</v>
      </c>
      <c r="B89" s="346"/>
      <c r="C89" s="76"/>
      <c r="D89" s="77"/>
      <c r="E89" s="76"/>
      <c r="F89" s="78"/>
      <c r="G89" s="78"/>
      <c r="H89" s="78"/>
      <c r="I89" s="78"/>
      <c r="J89" s="167" t="s">
        <v>527</v>
      </c>
      <c r="K89" s="355"/>
      <c r="L89" s="355"/>
      <c r="M89" s="359"/>
      <c r="N89">
        <f t="shared" si="1"/>
        <v>0</v>
      </c>
    </row>
    <row r="90" spans="1:14" ht="30" customHeight="1" x14ac:dyDescent="0.3">
      <c r="A90" s="18">
        <v>3</v>
      </c>
      <c r="B90" s="346"/>
      <c r="C90" s="76"/>
      <c r="D90" s="77" t="s">
        <v>702</v>
      </c>
      <c r="E90" s="76"/>
      <c r="F90" s="78"/>
      <c r="G90" s="78"/>
      <c r="H90" s="78"/>
      <c r="I90" s="78"/>
      <c r="J90" s="167" t="s">
        <v>527</v>
      </c>
      <c r="K90" s="355"/>
      <c r="L90" s="355"/>
      <c r="M90" s="359"/>
      <c r="N90">
        <f t="shared" si="1"/>
        <v>0</v>
      </c>
    </row>
    <row r="91" spans="1:14" ht="30" customHeight="1" x14ac:dyDescent="0.3">
      <c r="A91" s="18">
        <v>4</v>
      </c>
      <c r="B91" s="346"/>
      <c r="C91" s="76"/>
      <c r="D91" s="77"/>
      <c r="E91" s="76"/>
      <c r="F91" s="78"/>
      <c r="G91" s="78"/>
      <c r="H91" s="78"/>
      <c r="I91" s="78"/>
      <c r="J91" s="167" t="s">
        <v>527</v>
      </c>
      <c r="K91" s="355"/>
      <c r="L91" s="355"/>
      <c r="M91" s="359"/>
      <c r="N91">
        <f t="shared" si="1"/>
        <v>0</v>
      </c>
    </row>
    <row r="92" spans="1:14" ht="30" customHeight="1" x14ac:dyDescent="0.3">
      <c r="A92" s="18">
        <v>5</v>
      </c>
      <c r="B92" s="346"/>
      <c r="C92" s="76"/>
      <c r="D92" s="77"/>
      <c r="E92" s="76"/>
      <c r="F92" s="78"/>
      <c r="G92" s="78"/>
      <c r="H92" s="78"/>
      <c r="I92" s="78"/>
      <c r="J92" s="167" t="s">
        <v>527</v>
      </c>
      <c r="K92" s="355"/>
      <c r="L92" s="355"/>
      <c r="M92" s="359"/>
      <c r="N92">
        <f t="shared" si="1"/>
        <v>0</v>
      </c>
    </row>
    <row r="93" spans="1:14" ht="30" customHeight="1" x14ac:dyDescent="0.3">
      <c r="A93" s="18">
        <v>6</v>
      </c>
      <c r="B93" s="346"/>
      <c r="C93" s="76"/>
      <c r="D93" s="77"/>
      <c r="E93" s="76"/>
      <c r="F93" s="78"/>
      <c r="G93" s="78"/>
      <c r="H93" s="78"/>
      <c r="I93" s="78"/>
      <c r="J93" s="167" t="s">
        <v>527</v>
      </c>
      <c r="K93" s="355"/>
      <c r="L93" s="355"/>
      <c r="M93" s="359"/>
      <c r="N93">
        <f t="shared" si="1"/>
        <v>0</v>
      </c>
    </row>
    <row r="94" spans="1:14" ht="30" customHeight="1" x14ac:dyDescent="0.3">
      <c r="A94" s="18">
        <v>7</v>
      </c>
      <c r="B94" s="346"/>
      <c r="C94" s="76"/>
      <c r="D94" s="77"/>
      <c r="E94" s="76"/>
      <c r="F94" s="78"/>
      <c r="G94" s="78"/>
      <c r="H94" s="78"/>
      <c r="I94" s="78"/>
      <c r="J94" s="167" t="s">
        <v>527</v>
      </c>
      <c r="K94" s="355"/>
      <c r="L94" s="355"/>
      <c r="M94" s="359"/>
      <c r="N94">
        <f t="shared" si="1"/>
        <v>0</v>
      </c>
    </row>
    <row r="95" spans="1:14" ht="30" customHeight="1" x14ac:dyDescent="0.3">
      <c r="A95" s="18">
        <v>8</v>
      </c>
      <c r="B95" s="346"/>
      <c r="C95" s="76"/>
      <c r="D95" s="77"/>
      <c r="E95" s="76"/>
      <c r="F95" s="78"/>
      <c r="G95" s="78"/>
      <c r="H95" s="78"/>
      <c r="I95" s="78"/>
      <c r="J95" s="167" t="s">
        <v>527</v>
      </c>
      <c r="K95" s="355"/>
      <c r="L95" s="355"/>
      <c r="M95" s="359"/>
      <c r="N95">
        <f t="shared" si="1"/>
        <v>0</v>
      </c>
    </row>
    <row r="96" spans="1:14" ht="30" customHeight="1" x14ac:dyDescent="0.3">
      <c r="A96" s="18">
        <v>9</v>
      </c>
      <c r="B96" s="346"/>
      <c r="C96" s="76"/>
      <c r="D96" s="77"/>
      <c r="E96" s="76"/>
      <c r="F96" s="78"/>
      <c r="G96" s="78"/>
      <c r="H96" s="78"/>
      <c r="I96" s="78"/>
      <c r="J96" s="167" t="s">
        <v>527</v>
      </c>
      <c r="K96" s="355"/>
      <c r="L96" s="355"/>
      <c r="M96" s="359"/>
      <c r="N96">
        <f t="shared" si="1"/>
        <v>0</v>
      </c>
    </row>
    <row r="97" spans="1:14" ht="30" customHeight="1" x14ac:dyDescent="0.3">
      <c r="A97" s="18">
        <v>10</v>
      </c>
      <c r="B97" s="346"/>
      <c r="C97" s="76"/>
      <c r="D97" s="77"/>
      <c r="E97" s="76"/>
      <c r="F97" s="78"/>
      <c r="G97" s="78"/>
      <c r="H97" s="78"/>
      <c r="I97" s="78"/>
      <c r="J97" s="167" t="s">
        <v>527</v>
      </c>
      <c r="K97" s="355"/>
      <c r="L97" s="355"/>
      <c r="M97" s="359"/>
      <c r="N97">
        <f t="shared" si="1"/>
        <v>0</v>
      </c>
    </row>
    <row r="98" spans="1:14" ht="30" customHeight="1" x14ac:dyDescent="0.3">
      <c r="A98" s="18">
        <v>11</v>
      </c>
      <c r="B98" s="346"/>
      <c r="C98" s="35" t="s">
        <v>357</v>
      </c>
      <c r="D98" s="12" t="s">
        <v>165</v>
      </c>
      <c r="E98" s="35"/>
      <c r="F98" s="43"/>
      <c r="G98" s="43"/>
      <c r="H98" s="43"/>
      <c r="I98" s="43"/>
      <c r="J98" s="167" t="s">
        <v>527</v>
      </c>
      <c r="K98" s="355"/>
      <c r="L98" s="355"/>
      <c r="M98" s="359"/>
      <c r="N98">
        <f t="shared" si="1"/>
        <v>1</v>
      </c>
    </row>
    <row r="99" spans="1:14" ht="30" customHeight="1" x14ac:dyDescent="0.3">
      <c r="A99" s="18">
        <v>12</v>
      </c>
      <c r="B99" s="346"/>
      <c r="C99" s="35" t="s">
        <v>357</v>
      </c>
      <c r="D99" s="12" t="s">
        <v>165</v>
      </c>
      <c r="E99" s="35"/>
      <c r="F99" s="43"/>
      <c r="G99" s="43"/>
      <c r="H99" s="43"/>
      <c r="I99" s="43"/>
      <c r="J99" s="167" t="s">
        <v>527</v>
      </c>
      <c r="K99" s="355"/>
      <c r="L99" s="355"/>
      <c r="M99" s="359"/>
      <c r="N99">
        <f t="shared" si="1"/>
        <v>1</v>
      </c>
    </row>
    <row r="100" spans="1:14" ht="30" customHeight="1" x14ac:dyDescent="0.3">
      <c r="A100" s="18">
        <v>13</v>
      </c>
      <c r="B100" s="346"/>
      <c r="C100" s="76"/>
      <c r="D100" s="77"/>
      <c r="E100" s="76"/>
      <c r="F100" s="78"/>
      <c r="G100" s="78"/>
      <c r="H100" s="78"/>
      <c r="I100" s="78"/>
      <c r="J100" s="167" t="s">
        <v>527</v>
      </c>
      <c r="K100" s="355"/>
      <c r="L100" s="355"/>
      <c r="M100" s="359"/>
      <c r="N100">
        <f t="shared" si="1"/>
        <v>0</v>
      </c>
    </row>
    <row r="101" spans="1:14" ht="30" customHeight="1" x14ac:dyDescent="0.3">
      <c r="A101" s="18">
        <v>14</v>
      </c>
      <c r="B101" s="346"/>
      <c r="C101" s="76"/>
      <c r="D101" s="77"/>
      <c r="E101" s="76"/>
      <c r="F101" s="78"/>
      <c r="G101" s="78"/>
      <c r="H101" s="78"/>
      <c r="I101" s="78"/>
      <c r="J101" s="167" t="s">
        <v>527</v>
      </c>
      <c r="K101" s="355"/>
      <c r="L101" s="355"/>
      <c r="M101" s="359"/>
      <c r="N101">
        <f t="shared" si="1"/>
        <v>0</v>
      </c>
    </row>
    <row r="102" spans="1:14" ht="30" customHeight="1" x14ac:dyDescent="0.3">
      <c r="A102" s="18">
        <v>15</v>
      </c>
      <c r="B102" s="346"/>
      <c r="C102" s="76"/>
      <c r="D102" s="77"/>
      <c r="E102" s="76"/>
      <c r="F102" s="78"/>
      <c r="G102" s="78"/>
      <c r="H102" s="78"/>
      <c r="I102" s="78"/>
      <c r="J102" s="167" t="s">
        <v>527</v>
      </c>
      <c r="K102" s="355"/>
      <c r="L102" s="355"/>
      <c r="M102" s="359"/>
      <c r="N102">
        <f t="shared" si="1"/>
        <v>0</v>
      </c>
    </row>
    <row r="103" spans="1:14" ht="30" customHeight="1" x14ac:dyDescent="0.3">
      <c r="A103" s="18">
        <v>16</v>
      </c>
      <c r="B103" s="346"/>
      <c r="C103" s="76"/>
      <c r="D103" s="77"/>
      <c r="E103" s="76"/>
      <c r="F103" s="78"/>
      <c r="G103" s="78"/>
      <c r="H103" s="78"/>
      <c r="I103" s="78"/>
      <c r="J103" s="167" t="s">
        <v>527</v>
      </c>
      <c r="K103" s="355"/>
      <c r="L103" s="355"/>
      <c r="M103" s="359"/>
      <c r="N103">
        <f t="shared" si="1"/>
        <v>0</v>
      </c>
    </row>
    <row r="104" spans="1:14" ht="30" customHeight="1" x14ac:dyDescent="0.3">
      <c r="A104" s="18">
        <v>17</v>
      </c>
      <c r="B104" s="346"/>
      <c r="C104" s="35" t="s">
        <v>356</v>
      </c>
      <c r="D104" s="12" t="s">
        <v>502</v>
      </c>
      <c r="E104" s="35"/>
      <c r="F104" s="43"/>
      <c r="G104" s="43"/>
      <c r="H104" s="43"/>
      <c r="I104" s="43"/>
      <c r="J104" s="167" t="s">
        <v>527</v>
      </c>
      <c r="K104" s="355"/>
      <c r="L104" s="355"/>
      <c r="M104" s="359"/>
      <c r="N104">
        <f t="shared" si="1"/>
        <v>1</v>
      </c>
    </row>
    <row r="105" spans="1:14" ht="30" customHeight="1" x14ac:dyDescent="0.3">
      <c r="A105" s="18">
        <v>18</v>
      </c>
      <c r="B105" s="346"/>
      <c r="C105" s="76"/>
      <c r="D105" s="77"/>
      <c r="E105" s="76"/>
      <c r="F105" s="78"/>
      <c r="G105" s="78"/>
      <c r="H105" s="78"/>
      <c r="I105" s="78"/>
      <c r="J105" s="167" t="s">
        <v>527</v>
      </c>
      <c r="K105" s="355"/>
      <c r="L105" s="355"/>
      <c r="M105" s="359"/>
      <c r="N105">
        <f t="shared" si="1"/>
        <v>0</v>
      </c>
    </row>
    <row r="106" spans="1:14" ht="30" customHeight="1" x14ac:dyDescent="0.3">
      <c r="A106" s="18">
        <v>19</v>
      </c>
      <c r="B106" s="346"/>
      <c r="C106" s="76"/>
      <c r="D106" s="77"/>
      <c r="E106" s="76"/>
      <c r="F106" s="78"/>
      <c r="G106" s="78"/>
      <c r="H106" s="78"/>
      <c r="I106" s="78"/>
      <c r="J106" s="167" t="s">
        <v>527</v>
      </c>
      <c r="K106" s="355"/>
      <c r="L106" s="355"/>
      <c r="M106" s="359"/>
      <c r="N106">
        <f t="shared" si="1"/>
        <v>0</v>
      </c>
    </row>
    <row r="107" spans="1:14" ht="30" customHeight="1" x14ac:dyDescent="0.3">
      <c r="A107" s="18">
        <v>20</v>
      </c>
      <c r="B107" s="346"/>
      <c r="C107" s="76"/>
      <c r="D107" s="77"/>
      <c r="E107" s="76"/>
      <c r="F107" s="78"/>
      <c r="G107" s="78"/>
      <c r="H107" s="78"/>
      <c r="I107" s="78"/>
      <c r="J107" s="167" t="s">
        <v>527</v>
      </c>
      <c r="K107" s="355"/>
      <c r="L107" s="355"/>
      <c r="M107" s="359"/>
      <c r="N107">
        <f t="shared" si="1"/>
        <v>0</v>
      </c>
    </row>
    <row r="108" spans="1:14" ht="30" customHeight="1" x14ac:dyDescent="0.3">
      <c r="A108" s="18">
        <v>21</v>
      </c>
      <c r="B108" s="346"/>
      <c r="C108" s="35" t="s">
        <v>361</v>
      </c>
      <c r="D108" s="12" t="s">
        <v>160</v>
      </c>
      <c r="E108" s="35"/>
      <c r="F108" s="43"/>
      <c r="G108" s="43"/>
      <c r="H108" s="43"/>
      <c r="I108" s="43"/>
      <c r="J108" s="167" t="s">
        <v>527</v>
      </c>
      <c r="K108" s="355"/>
      <c r="L108" s="355"/>
      <c r="M108" s="359"/>
      <c r="N108">
        <f t="shared" si="1"/>
        <v>1</v>
      </c>
    </row>
    <row r="109" spans="1:14" ht="30" customHeight="1" x14ac:dyDescent="0.3">
      <c r="A109" s="18">
        <v>22</v>
      </c>
      <c r="B109" s="346"/>
      <c r="C109" s="76"/>
      <c r="D109" s="77"/>
      <c r="E109" s="76"/>
      <c r="F109" s="78"/>
      <c r="G109" s="78"/>
      <c r="H109" s="78"/>
      <c r="I109" s="78"/>
      <c r="J109" s="167" t="s">
        <v>527</v>
      </c>
      <c r="K109" s="355"/>
      <c r="L109" s="355"/>
      <c r="M109" s="359"/>
      <c r="N109">
        <f t="shared" si="1"/>
        <v>0</v>
      </c>
    </row>
    <row r="110" spans="1:14" ht="30" customHeight="1" x14ac:dyDescent="0.3">
      <c r="A110" s="18">
        <v>23</v>
      </c>
      <c r="B110" s="346"/>
      <c r="C110" s="35" t="s">
        <v>361</v>
      </c>
      <c r="D110" s="12" t="s">
        <v>52</v>
      </c>
      <c r="E110" s="35"/>
      <c r="F110" s="43"/>
      <c r="G110" s="43"/>
      <c r="H110" s="43"/>
      <c r="I110" s="43"/>
      <c r="J110" s="167" t="s">
        <v>527</v>
      </c>
      <c r="K110" s="355"/>
      <c r="L110" s="355"/>
      <c r="M110" s="359"/>
      <c r="N110">
        <f t="shared" si="1"/>
        <v>1</v>
      </c>
    </row>
    <row r="111" spans="1:14" ht="30" customHeight="1" thickBot="1" x14ac:dyDescent="0.35">
      <c r="A111" s="21">
        <v>24</v>
      </c>
      <c r="B111" s="347"/>
      <c r="C111" s="40" t="s">
        <v>361</v>
      </c>
      <c r="D111" s="22" t="s">
        <v>53</v>
      </c>
      <c r="E111" s="40"/>
      <c r="F111" s="23"/>
      <c r="G111" s="23"/>
      <c r="H111" s="23"/>
      <c r="I111" s="23"/>
      <c r="J111" s="167" t="s">
        <v>527</v>
      </c>
      <c r="K111" s="356"/>
      <c r="L111" s="356"/>
      <c r="M111" s="360"/>
      <c r="N111">
        <f t="shared" si="1"/>
        <v>1</v>
      </c>
    </row>
    <row r="112" spans="1:14" ht="32.1" customHeight="1" x14ac:dyDescent="0.3"/>
    <row r="113" ht="32.1" customHeight="1" x14ac:dyDescent="0.3"/>
    <row r="114" ht="32.1" customHeight="1" x14ac:dyDescent="0.3"/>
    <row r="115" ht="32.1" customHeight="1" x14ac:dyDescent="0.3"/>
    <row r="116" ht="32.1" customHeight="1" x14ac:dyDescent="0.3"/>
    <row r="117" ht="32.1" customHeight="1" x14ac:dyDescent="0.3"/>
    <row r="118" ht="32.1" customHeight="1" x14ac:dyDescent="0.3"/>
    <row r="119" ht="32.1" customHeight="1" x14ac:dyDescent="0.3"/>
    <row r="120" ht="32.1" customHeight="1" x14ac:dyDescent="0.3"/>
    <row r="121" ht="32.1" customHeight="1" x14ac:dyDescent="0.3"/>
    <row r="122" ht="32.1" customHeight="1" x14ac:dyDescent="0.3"/>
    <row r="123" ht="32.1" customHeight="1" x14ac:dyDescent="0.3"/>
    <row r="124" ht="32.1" customHeight="1" x14ac:dyDescent="0.3"/>
    <row r="125" ht="32.1" customHeight="1" x14ac:dyDescent="0.3"/>
    <row r="126" ht="32.1" customHeight="1" x14ac:dyDescent="0.3"/>
    <row r="127" ht="32.1" customHeight="1" x14ac:dyDescent="0.3"/>
    <row r="128" ht="32.1" customHeight="1" x14ac:dyDescent="0.3"/>
    <row r="129" ht="32.1" customHeight="1" x14ac:dyDescent="0.3"/>
    <row r="130" ht="32.1" customHeight="1" x14ac:dyDescent="0.3"/>
    <row r="131" ht="32.1" customHeight="1" x14ac:dyDescent="0.3"/>
    <row r="132" ht="32.1" customHeight="1" x14ac:dyDescent="0.3"/>
    <row r="133" ht="32.1" customHeight="1" x14ac:dyDescent="0.3"/>
    <row r="134" ht="32.1" customHeight="1" x14ac:dyDescent="0.3"/>
    <row r="135" ht="32.1" customHeight="1" x14ac:dyDescent="0.3"/>
    <row r="136" ht="32.1" customHeight="1" x14ac:dyDescent="0.3"/>
    <row r="137" ht="32.1" customHeight="1" x14ac:dyDescent="0.3"/>
    <row r="138" ht="32.1" customHeight="1" x14ac:dyDescent="0.3"/>
    <row r="139" ht="32.1" customHeight="1" x14ac:dyDescent="0.3"/>
    <row r="140" ht="32.1" customHeight="1" x14ac:dyDescent="0.3"/>
    <row r="141" ht="32.1" customHeight="1" x14ac:dyDescent="0.3"/>
    <row r="142" ht="32.1" customHeight="1" x14ac:dyDescent="0.3"/>
    <row r="143" ht="32.1" customHeight="1" x14ac:dyDescent="0.3"/>
    <row r="144" ht="32.1" customHeight="1" x14ac:dyDescent="0.3"/>
    <row r="145" ht="32.1" customHeight="1" x14ac:dyDescent="0.3"/>
    <row r="146" ht="32.1" customHeight="1" x14ac:dyDescent="0.3"/>
  </sheetData>
  <mergeCells count="58">
    <mergeCell ref="K61:K84"/>
    <mergeCell ref="M61:M84"/>
    <mergeCell ref="K88:K111"/>
    <mergeCell ref="L88:L111"/>
    <mergeCell ref="M88:M111"/>
    <mergeCell ref="B88:B111"/>
    <mergeCell ref="M1:M4"/>
    <mergeCell ref="F2:G2"/>
    <mergeCell ref="H2:I2"/>
    <mergeCell ref="J2:J4"/>
    <mergeCell ref="B5:B28"/>
    <mergeCell ref="A1:C1"/>
    <mergeCell ref="F1:J1"/>
    <mergeCell ref="K1:K4"/>
    <mergeCell ref="L1:L4"/>
    <mergeCell ref="M5:M28"/>
    <mergeCell ref="L5:L28"/>
    <mergeCell ref="K5:K28"/>
    <mergeCell ref="M33:M56"/>
    <mergeCell ref="L33:L56"/>
    <mergeCell ref="M57:M60"/>
    <mergeCell ref="F58:G58"/>
    <mergeCell ref="H58:I58"/>
    <mergeCell ref="J58:J60"/>
    <mergeCell ref="A57:C57"/>
    <mergeCell ref="F57:J57"/>
    <mergeCell ref="K57:K60"/>
    <mergeCell ref="L57:L60"/>
    <mergeCell ref="M85:M87"/>
    <mergeCell ref="A86:C86"/>
    <mergeCell ref="F86:G86"/>
    <mergeCell ref="H86:I86"/>
    <mergeCell ref="J86:J87"/>
    <mergeCell ref="L61:L84"/>
    <mergeCell ref="A85:C85"/>
    <mergeCell ref="F85:J85"/>
    <mergeCell ref="K85:K87"/>
    <mergeCell ref="L85:L87"/>
    <mergeCell ref="B61:B84"/>
    <mergeCell ref="A58:C59"/>
    <mergeCell ref="D58:D59"/>
    <mergeCell ref="E58:E59"/>
    <mergeCell ref="A2:C3"/>
    <mergeCell ref="D2:D3"/>
    <mergeCell ref="E2:E3"/>
    <mergeCell ref="A29:C29"/>
    <mergeCell ref="F29:J29"/>
    <mergeCell ref="K33:K56"/>
    <mergeCell ref="B33:B56"/>
    <mergeCell ref="M29:M32"/>
    <mergeCell ref="A30:C31"/>
    <mergeCell ref="D30:D31"/>
    <mergeCell ref="E30:E31"/>
    <mergeCell ref="F30:G30"/>
    <mergeCell ref="H30:I30"/>
    <mergeCell ref="J30:J32"/>
    <mergeCell ref="K29:K32"/>
    <mergeCell ref="L29:L3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6" fitToHeight="0" orientation="landscape" r:id="rId1"/>
  <rowBreaks count="2" manualBreakCount="2">
    <brk id="28" max="12" man="1"/>
    <brk id="56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5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K35" sqref="K35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7" ht="32.1" customHeight="1" x14ac:dyDescent="0.3">
      <c r="A1" s="374" t="s">
        <v>8</v>
      </c>
      <c r="B1" s="325"/>
      <c r="C1" s="325"/>
      <c r="D1" s="239" t="s">
        <v>11</v>
      </c>
      <c r="E1" s="239" t="s">
        <v>12</v>
      </c>
      <c r="F1" s="325" t="s">
        <v>728</v>
      </c>
      <c r="G1" s="325"/>
      <c r="H1" s="325"/>
      <c r="I1" s="325"/>
      <c r="J1" s="325"/>
      <c r="K1" s="407" t="s">
        <v>10</v>
      </c>
      <c r="L1" s="408" t="s">
        <v>32</v>
      </c>
      <c r="M1" s="405" t="s">
        <v>33</v>
      </c>
      <c r="N1">
        <f>COUNTIF(N5:N505,0)/COUNT(A:A)</f>
        <v>0.5</v>
      </c>
    </row>
    <row r="2" spans="1:17" ht="32.1" customHeight="1" x14ac:dyDescent="0.3">
      <c r="A2" s="406" t="s">
        <v>9</v>
      </c>
      <c r="B2" s="337"/>
      <c r="C2" s="337"/>
      <c r="D2" s="368" t="s">
        <v>516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27"/>
    </row>
    <row r="3" spans="1:17" ht="32.1" customHeight="1" x14ac:dyDescent="0.3">
      <c r="A3" s="406"/>
      <c r="B3" s="337"/>
      <c r="C3" s="337"/>
      <c r="D3" s="368"/>
      <c r="E3" s="337"/>
      <c r="F3" s="238" t="s">
        <v>638</v>
      </c>
      <c r="G3" s="214" t="str">
        <f>전송손실!M7</f>
        <v>미측정</v>
      </c>
      <c r="H3" s="238" t="s">
        <v>638</v>
      </c>
      <c r="I3" s="214" t="str">
        <f>전송손실!M33</f>
        <v>미측정</v>
      </c>
      <c r="J3" s="369"/>
      <c r="K3" s="332"/>
      <c r="L3" s="332"/>
      <c r="M3" s="327"/>
    </row>
    <row r="4" spans="1:17" ht="32.1" customHeight="1" thickBot="1" x14ac:dyDescent="0.35">
      <c r="A4" s="215" t="s">
        <v>0</v>
      </c>
      <c r="B4" s="240" t="s">
        <v>1</v>
      </c>
      <c r="C4" s="240" t="s">
        <v>23</v>
      </c>
      <c r="D4" s="240" t="s">
        <v>2</v>
      </c>
      <c r="E4" s="240" t="s">
        <v>3</v>
      </c>
      <c r="F4" s="240" t="s">
        <v>4</v>
      </c>
      <c r="G4" s="240" t="s">
        <v>506</v>
      </c>
      <c r="H4" s="240" t="s">
        <v>4</v>
      </c>
      <c r="I4" s="240" t="s">
        <v>506</v>
      </c>
      <c r="J4" s="370"/>
      <c r="K4" s="367"/>
      <c r="L4" s="367"/>
      <c r="M4" s="328"/>
    </row>
    <row r="5" spans="1:17" ht="30.95" customHeight="1" x14ac:dyDescent="0.3">
      <c r="A5" s="25">
        <v>1</v>
      </c>
      <c r="B5" s="400" t="s">
        <v>149</v>
      </c>
      <c r="C5" s="44" t="s">
        <v>25</v>
      </c>
      <c r="D5" s="26" t="s">
        <v>720</v>
      </c>
      <c r="E5" s="44"/>
      <c r="F5" s="63"/>
      <c r="G5" s="63"/>
      <c r="H5" s="63"/>
      <c r="I5" s="63"/>
      <c r="J5" s="50"/>
      <c r="K5" s="404" t="s">
        <v>456</v>
      </c>
      <c r="L5" s="357"/>
      <c r="M5" s="358"/>
      <c r="N5">
        <f>IF(C5="",0,1)</f>
        <v>1</v>
      </c>
    </row>
    <row r="6" spans="1:17" ht="30.95" customHeight="1" x14ac:dyDescent="0.3">
      <c r="A6" s="18">
        <v>2</v>
      </c>
      <c r="B6" s="394"/>
      <c r="C6" s="130" t="s">
        <v>25</v>
      </c>
      <c r="D6" s="12" t="s">
        <v>721</v>
      </c>
      <c r="E6" s="130"/>
      <c r="F6" s="241"/>
      <c r="G6" s="241"/>
      <c r="H6" s="241"/>
      <c r="I6" s="241"/>
      <c r="J6" s="51"/>
      <c r="K6" s="378"/>
      <c r="L6" s="355"/>
      <c r="M6" s="359"/>
      <c r="N6">
        <f t="shared" ref="N6:N32" si="0">IF(C6="",0,1)</f>
        <v>1</v>
      </c>
    </row>
    <row r="7" spans="1:17" ht="30.95" customHeight="1" x14ac:dyDescent="0.3">
      <c r="A7" s="18">
        <v>3</v>
      </c>
      <c r="B7" s="394"/>
      <c r="C7" s="130" t="s">
        <v>26</v>
      </c>
      <c r="D7" s="12" t="s">
        <v>707</v>
      </c>
      <c r="E7" s="130"/>
      <c r="F7" s="241"/>
      <c r="G7" s="241"/>
      <c r="H7" s="241"/>
      <c r="I7" s="241"/>
      <c r="J7" s="51"/>
      <c r="K7" s="378"/>
      <c r="L7" s="355"/>
      <c r="M7" s="359"/>
      <c r="N7">
        <f t="shared" si="0"/>
        <v>1</v>
      </c>
    </row>
    <row r="8" spans="1:17" ht="30.95" customHeight="1" x14ac:dyDescent="0.3">
      <c r="A8" s="18">
        <v>4</v>
      </c>
      <c r="B8" s="394"/>
      <c r="C8" s="130" t="s">
        <v>358</v>
      </c>
      <c r="D8" s="12" t="s">
        <v>156</v>
      </c>
      <c r="E8" s="130"/>
      <c r="F8" s="241"/>
      <c r="G8" s="241"/>
      <c r="H8" s="241"/>
      <c r="I8" s="241"/>
      <c r="J8" s="51"/>
      <c r="K8" s="378"/>
      <c r="L8" s="355"/>
      <c r="M8" s="359"/>
      <c r="N8">
        <f t="shared" si="0"/>
        <v>1</v>
      </c>
    </row>
    <row r="9" spans="1:17" ht="30.95" customHeight="1" x14ac:dyDescent="0.3">
      <c r="A9" s="18">
        <v>5</v>
      </c>
      <c r="B9" s="394"/>
      <c r="C9" s="130" t="s">
        <v>26</v>
      </c>
      <c r="D9" s="12" t="s">
        <v>706</v>
      </c>
      <c r="E9" s="130"/>
      <c r="F9" s="241"/>
      <c r="G9" s="241"/>
      <c r="H9" s="241"/>
      <c r="I9" s="241"/>
      <c r="J9" s="51"/>
      <c r="K9" s="378"/>
      <c r="L9" s="355"/>
      <c r="M9" s="359"/>
      <c r="N9">
        <f t="shared" si="0"/>
        <v>1</v>
      </c>
    </row>
    <row r="10" spans="1:17" ht="30.95" customHeight="1" x14ac:dyDescent="0.3">
      <c r="A10" s="18">
        <v>6</v>
      </c>
      <c r="B10" s="394"/>
      <c r="C10" s="130" t="s">
        <v>358</v>
      </c>
      <c r="D10" s="12" t="s">
        <v>156</v>
      </c>
      <c r="E10" s="130"/>
      <c r="F10" s="241"/>
      <c r="G10" s="241"/>
      <c r="H10" s="241"/>
      <c r="I10" s="241"/>
      <c r="J10" s="51"/>
      <c r="K10" s="378"/>
      <c r="L10" s="355"/>
      <c r="M10" s="359"/>
      <c r="N10">
        <f t="shared" si="0"/>
        <v>1</v>
      </c>
    </row>
    <row r="11" spans="1:17" ht="30.95" customHeight="1" x14ac:dyDescent="0.3">
      <c r="A11" s="18">
        <v>7</v>
      </c>
      <c r="B11" s="394"/>
      <c r="C11" s="130" t="s">
        <v>357</v>
      </c>
      <c r="D11" s="12" t="s">
        <v>168</v>
      </c>
      <c r="E11" s="130"/>
      <c r="F11" s="241"/>
      <c r="G11" s="241"/>
      <c r="H11" s="241"/>
      <c r="I11" s="241"/>
      <c r="J11" s="51"/>
      <c r="K11" s="378"/>
      <c r="L11" s="355"/>
      <c r="M11" s="359"/>
      <c r="N11">
        <f t="shared" si="0"/>
        <v>1</v>
      </c>
    </row>
    <row r="12" spans="1:17" ht="30.95" customHeight="1" x14ac:dyDescent="0.3">
      <c r="A12" s="18">
        <v>8</v>
      </c>
      <c r="B12" s="394"/>
      <c r="C12" s="130" t="s">
        <v>357</v>
      </c>
      <c r="D12" s="12" t="s">
        <v>169</v>
      </c>
      <c r="E12" s="130"/>
      <c r="F12" s="241"/>
      <c r="G12" s="241"/>
      <c r="H12" s="241"/>
      <c r="I12" s="241"/>
      <c r="J12" s="51"/>
      <c r="K12" s="378"/>
      <c r="L12" s="355"/>
      <c r="M12" s="359"/>
      <c r="N12">
        <f t="shared" si="0"/>
        <v>1</v>
      </c>
    </row>
    <row r="13" spans="1:17" ht="30.95" customHeight="1" x14ac:dyDescent="0.3">
      <c r="A13" s="18">
        <v>9</v>
      </c>
      <c r="B13" s="394"/>
      <c r="C13" s="76"/>
      <c r="D13" s="77"/>
      <c r="E13" s="76"/>
      <c r="F13" s="78"/>
      <c r="G13" s="78"/>
      <c r="H13" s="78"/>
      <c r="I13" s="78"/>
      <c r="J13" s="277"/>
      <c r="K13" s="378"/>
      <c r="L13" s="355"/>
      <c r="M13" s="359"/>
      <c r="N13">
        <f t="shared" si="0"/>
        <v>0</v>
      </c>
      <c r="Q13" t="s">
        <v>167</v>
      </c>
    </row>
    <row r="14" spans="1:17" ht="30.95" customHeight="1" x14ac:dyDescent="0.3">
      <c r="A14" s="18">
        <v>10</v>
      </c>
      <c r="B14" s="394"/>
      <c r="C14" s="76"/>
      <c r="D14" s="77"/>
      <c r="E14" s="76"/>
      <c r="F14" s="78">
        <v>-12.842000000000001</v>
      </c>
      <c r="G14" s="78">
        <v>34.316000000000003</v>
      </c>
      <c r="H14" s="78">
        <v>-8.4860000000000007</v>
      </c>
      <c r="I14" s="78">
        <v>34.312899999999999</v>
      </c>
      <c r="J14" s="277"/>
      <c r="K14" s="378"/>
      <c r="L14" s="355"/>
      <c r="M14" s="359"/>
      <c r="N14">
        <f t="shared" si="0"/>
        <v>0</v>
      </c>
    </row>
    <row r="15" spans="1:17" ht="30.95" customHeight="1" x14ac:dyDescent="0.3">
      <c r="A15" s="18">
        <v>11</v>
      </c>
      <c r="B15" s="394"/>
      <c r="C15" s="130" t="s">
        <v>63</v>
      </c>
      <c r="D15" s="12" t="s">
        <v>514</v>
      </c>
      <c r="E15" s="130"/>
      <c r="F15" s="241"/>
      <c r="G15" s="241"/>
      <c r="H15" s="241"/>
      <c r="I15" s="241"/>
      <c r="J15" s="51"/>
      <c r="K15" s="378"/>
      <c r="L15" s="355"/>
      <c r="M15" s="359"/>
      <c r="N15">
        <f t="shared" si="0"/>
        <v>1</v>
      </c>
    </row>
    <row r="16" spans="1:17" ht="30.95" customHeight="1" thickBot="1" x14ac:dyDescent="0.35">
      <c r="A16" s="21">
        <v>12</v>
      </c>
      <c r="B16" s="395"/>
      <c r="C16" s="100" t="s">
        <v>63</v>
      </c>
      <c r="D16" s="22" t="s">
        <v>515</v>
      </c>
      <c r="E16" s="100"/>
      <c r="F16" s="176"/>
      <c r="G16" s="176"/>
      <c r="H16" s="176"/>
      <c r="I16" s="176"/>
      <c r="J16" s="52"/>
      <c r="K16" s="379"/>
      <c r="L16" s="356"/>
      <c r="M16" s="360"/>
      <c r="N16">
        <f t="shared" si="0"/>
        <v>1</v>
      </c>
    </row>
    <row r="17" spans="1:16" ht="30.95" customHeight="1" x14ac:dyDescent="0.3">
      <c r="A17" s="374" t="s">
        <v>8</v>
      </c>
      <c r="B17" s="325"/>
      <c r="C17" s="325"/>
      <c r="D17" s="239" t="s">
        <v>11</v>
      </c>
      <c r="E17" s="239" t="s">
        <v>12</v>
      </c>
      <c r="F17" s="325" t="s">
        <v>726</v>
      </c>
      <c r="G17" s="325"/>
      <c r="H17" s="325"/>
      <c r="I17" s="325"/>
      <c r="J17" s="325"/>
      <c r="K17" s="407" t="s">
        <v>10</v>
      </c>
      <c r="L17" s="408" t="s">
        <v>32</v>
      </c>
      <c r="M17" s="405" t="s">
        <v>33</v>
      </c>
    </row>
    <row r="18" spans="1:16" ht="30.95" customHeight="1" x14ac:dyDescent="0.3">
      <c r="A18" s="406" t="s">
        <v>9</v>
      </c>
      <c r="B18" s="337"/>
      <c r="C18" s="337"/>
      <c r="D18" s="368" t="s">
        <v>516</v>
      </c>
      <c r="E18" s="337" t="s">
        <v>687</v>
      </c>
      <c r="F18" s="349" t="s">
        <v>5</v>
      </c>
      <c r="G18" s="349"/>
      <c r="H18" s="349" t="s">
        <v>7</v>
      </c>
      <c r="I18" s="349"/>
      <c r="J18" s="369" t="s">
        <v>628</v>
      </c>
      <c r="K18" s="332"/>
      <c r="L18" s="332"/>
      <c r="M18" s="327"/>
    </row>
    <row r="19" spans="1:16" ht="30.95" customHeight="1" x14ac:dyDescent="0.3">
      <c r="A19" s="406"/>
      <c r="B19" s="337"/>
      <c r="C19" s="337"/>
      <c r="D19" s="368"/>
      <c r="E19" s="337"/>
      <c r="F19" s="238" t="s">
        <v>638</v>
      </c>
      <c r="G19" s="214">
        <f>전송손실!M8</f>
        <v>-2.15</v>
      </c>
      <c r="H19" s="238" t="s">
        <v>638</v>
      </c>
      <c r="I19" s="214">
        <f>전송손실!M34</f>
        <v>-1.8199999999999998</v>
      </c>
      <c r="J19" s="369"/>
      <c r="K19" s="332"/>
      <c r="L19" s="332"/>
      <c r="M19" s="327"/>
    </row>
    <row r="20" spans="1:16" ht="30.95" customHeight="1" thickBot="1" x14ac:dyDescent="0.35">
      <c r="A20" s="215" t="s">
        <v>0</v>
      </c>
      <c r="B20" s="240" t="s">
        <v>1</v>
      </c>
      <c r="C20" s="240" t="s">
        <v>23</v>
      </c>
      <c r="D20" s="240" t="s">
        <v>2</v>
      </c>
      <c r="E20" s="240" t="s">
        <v>3</v>
      </c>
      <c r="F20" s="240" t="s">
        <v>4</v>
      </c>
      <c r="G20" s="240" t="s">
        <v>506</v>
      </c>
      <c r="H20" s="240" t="s">
        <v>4</v>
      </c>
      <c r="I20" s="240" t="s">
        <v>506</v>
      </c>
      <c r="J20" s="370"/>
      <c r="K20" s="367"/>
      <c r="L20" s="367"/>
      <c r="M20" s="328"/>
    </row>
    <row r="21" spans="1:16" ht="30.95" customHeight="1" x14ac:dyDescent="0.3">
      <c r="A21" s="18">
        <v>13</v>
      </c>
      <c r="B21" s="385" t="s">
        <v>172</v>
      </c>
      <c r="C21" s="278"/>
      <c r="D21" s="279"/>
      <c r="E21" s="278"/>
      <c r="F21" s="278">
        <v>-7.4669999999999996</v>
      </c>
      <c r="G21" s="278">
        <v>18.184899999999999</v>
      </c>
      <c r="H21" s="278">
        <v>-5.0570000000000004</v>
      </c>
      <c r="I21" s="278">
        <v>18.180700000000002</v>
      </c>
      <c r="J21" s="280"/>
      <c r="K21" s="404" t="s">
        <v>456</v>
      </c>
      <c r="L21" s="354"/>
      <c r="M21" s="358"/>
      <c r="N21">
        <f t="shared" si="0"/>
        <v>0</v>
      </c>
    </row>
    <row r="22" spans="1:16" ht="30.95" customHeight="1" x14ac:dyDescent="0.3">
      <c r="A22" s="18">
        <v>14</v>
      </c>
      <c r="B22" s="376"/>
      <c r="C22" s="278"/>
      <c r="D22" s="279"/>
      <c r="E22" s="278"/>
      <c r="F22" s="278">
        <v>-8.5579999999999998</v>
      </c>
      <c r="G22" s="278">
        <v>18.1874</v>
      </c>
      <c r="H22" s="278">
        <v>-5.9409999999999998</v>
      </c>
      <c r="I22" s="278">
        <v>18.1829</v>
      </c>
      <c r="J22" s="280"/>
      <c r="K22" s="378"/>
      <c r="L22" s="355"/>
      <c r="M22" s="359"/>
      <c r="N22">
        <f t="shared" si="0"/>
        <v>0</v>
      </c>
    </row>
    <row r="23" spans="1:16" ht="30.95" customHeight="1" x14ac:dyDescent="0.3">
      <c r="A23" s="18">
        <v>15</v>
      </c>
      <c r="B23" s="376"/>
      <c r="C23" s="281"/>
      <c r="D23" s="282"/>
      <c r="E23" s="281"/>
      <c r="F23" s="281"/>
      <c r="G23" s="281"/>
      <c r="H23" s="281"/>
      <c r="I23" s="281"/>
      <c r="J23" s="283"/>
      <c r="K23" s="378"/>
      <c r="L23" s="355"/>
      <c r="M23" s="359"/>
      <c r="N23">
        <f t="shared" si="0"/>
        <v>0</v>
      </c>
    </row>
    <row r="24" spans="1:16" ht="30.95" customHeight="1" x14ac:dyDescent="0.3">
      <c r="A24" s="18">
        <v>16</v>
      </c>
      <c r="B24" s="376"/>
      <c r="C24" s="278"/>
      <c r="D24" s="279"/>
      <c r="E24" s="278"/>
      <c r="F24" s="278">
        <v>-6.859</v>
      </c>
      <c r="G24" s="278">
        <v>18.1858</v>
      </c>
      <c r="H24" s="278">
        <v>-5.1289999999999996</v>
      </c>
      <c r="I24" s="278">
        <v>18.1813</v>
      </c>
      <c r="J24" s="280"/>
      <c r="K24" s="378"/>
      <c r="L24" s="355"/>
      <c r="M24" s="359"/>
      <c r="N24">
        <f t="shared" si="0"/>
        <v>0</v>
      </c>
    </row>
    <row r="25" spans="1:16" ht="30.95" customHeight="1" x14ac:dyDescent="0.3">
      <c r="A25" s="18">
        <v>17</v>
      </c>
      <c r="B25" s="376"/>
      <c r="C25" s="76"/>
      <c r="D25" s="77"/>
      <c r="E25" s="76"/>
      <c r="F25" s="118">
        <v>-7.3239999999999998</v>
      </c>
      <c r="G25" s="118">
        <v>18.168600000000001</v>
      </c>
      <c r="H25" s="118">
        <v>-5.3739999999999997</v>
      </c>
      <c r="I25" s="118">
        <v>18.167300000000001</v>
      </c>
      <c r="J25" s="118"/>
      <c r="K25" s="378"/>
      <c r="L25" s="355"/>
      <c r="M25" s="359"/>
      <c r="N25">
        <f t="shared" si="0"/>
        <v>0</v>
      </c>
    </row>
    <row r="26" spans="1:16" ht="30.95" customHeight="1" x14ac:dyDescent="0.3">
      <c r="A26" s="18">
        <v>18</v>
      </c>
      <c r="B26" s="376"/>
      <c r="C26" s="130" t="s">
        <v>358</v>
      </c>
      <c r="D26" s="12" t="s">
        <v>394</v>
      </c>
      <c r="E26" s="130"/>
      <c r="F26" s="117"/>
      <c r="G26" s="116"/>
      <c r="H26" s="116"/>
      <c r="I26" s="116"/>
      <c r="J26" s="122"/>
      <c r="K26" s="378"/>
      <c r="L26" s="355"/>
      <c r="M26" s="359"/>
      <c r="N26">
        <f t="shared" si="0"/>
        <v>1</v>
      </c>
    </row>
    <row r="27" spans="1:16" ht="30.95" customHeight="1" x14ac:dyDescent="0.3">
      <c r="A27" s="18">
        <v>19</v>
      </c>
      <c r="B27" s="376"/>
      <c r="C27" s="130" t="s">
        <v>27</v>
      </c>
      <c r="D27" s="12" t="s">
        <v>393</v>
      </c>
      <c r="E27" s="130"/>
      <c r="F27" s="116"/>
      <c r="G27" s="116"/>
      <c r="H27" s="116"/>
      <c r="I27" s="116"/>
      <c r="J27" s="122"/>
      <c r="K27" s="378"/>
      <c r="L27" s="355"/>
      <c r="M27" s="359"/>
      <c r="N27">
        <f t="shared" si="0"/>
        <v>1</v>
      </c>
    </row>
    <row r="28" spans="1:16" ht="30.95" customHeight="1" x14ac:dyDescent="0.3">
      <c r="A28" s="18">
        <v>20</v>
      </c>
      <c r="B28" s="376"/>
      <c r="C28" s="85"/>
      <c r="D28" s="86"/>
      <c r="E28" s="85"/>
      <c r="F28" s="117"/>
      <c r="G28" s="117"/>
      <c r="H28" s="117"/>
      <c r="I28" s="117"/>
      <c r="J28" s="117"/>
      <c r="K28" s="378"/>
      <c r="L28" s="355"/>
      <c r="M28" s="359"/>
      <c r="N28">
        <f t="shared" si="0"/>
        <v>0</v>
      </c>
    </row>
    <row r="29" spans="1:16" ht="30.95" customHeight="1" x14ac:dyDescent="0.3">
      <c r="A29" s="18">
        <v>21</v>
      </c>
      <c r="B29" s="376"/>
      <c r="C29" s="76"/>
      <c r="D29" s="77" t="s">
        <v>718</v>
      </c>
      <c r="E29" s="76"/>
      <c r="F29" s="118"/>
      <c r="G29" s="118"/>
      <c r="H29" s="118"/>
      <c r="I29" s="118"/>
      <c r="J29" s="118"/>
      <c r="K29" s="378"/>
      <c r="L29" s="355"/>
      <c r="M29" s="359"/>
      <c r="N29">
        <f t="shared" si="0"/>
        <v>0</v>
      </c>
    </row>
    <row r="30" spans="1:16" ht="30.95" customHeight="1" x14ac:dyDescent="0.3">
      <c r="A30" s="18">
        <v>22</v>
      </c>
      <c r="B30" s="376"/>
      <c r="C30" s="76"/>
      <c r="D30" s="77" t="s">
        <v>719</v>
      </c>
      <c r="E30" s="76"/>
      <c r="F30" s="118"/>
      <c r="G30" s="118"/>
      <c r="H30" s="118"/>
      <c r="I30" s="118"/>
      <c r="J30" s="118"/>
      <c r="K30" s="378"/>
      <c r="L30" s="355"/>
      <c r="M30" s="359"/>
      <c r="N30">
        <f t="shared" si="0"/>
        <v>0</v>
      </c>
    </row>
    <row r="31" spans="1:16" ht="30.95" customHeight="1" x14ac:dyDescent="0.3">
      <c r="A31" s="18">
        <v>23</v>
      </c>
      <c r="B31" s="376"/>
      <c r="C31" s="76"/>
      <c r="D31" s="77"/>
      <c r="E31" s="76"/>
      <c r="F31" s="118">
        <v>-7.218</v>
      </c>
      <c r="G31" s="118">
        <v>18.168900000000001</v>
      </c>
      <c r="H31" s="118">
        <v>-4.8070000000000004</v>
      </c>
      <c r="I31" s="118">
        <v>18.167300000000001</v>
      </c>
      <c r="J31" s="118"/>
      <c r="K31" s="378"/>
      <c r="L31" s="355"/>
      <c r="M31" s="359"/>
      <c r="N31">
        <f t="shared" si="0"/>
        <v>0</v>
      </c>
    </row>
    <row r="32" spans="1:16" ht="30.95" customHeight="1" thickBot="1" x14ac:dyDescent="0.35">
      <c r="A32" s="21">
        <v>24</v>
      </c>
      <c r="B32" s="377"/>
      <c r="C32" s="82"/>
      <c r="D32" s="147"/>
      <c r="E32" s="82"/>
      <c r="F32" s="148">
        <v>-6.6820000000000004</v>
      </c>
      <c r="G32" s="148">
        <v>18.169599999999999</v>
      </c>
      <c r="H32" s="148">
        <v>-4.2789999999999999</v>
      </c>
      <c r="I32" s="148">
        <v>18.1676</v>
      </c>
      <c r="J32" s="148"/>
      <c r="K32" s="379"/>
      <c r="L32" s="356"/>
      <c r="M32" s="360"/>
      <c r="N32">
        <f t="shared" si="0"/>
        <v>0</v>
      </c>
      <c r="O32">
        <f>SUM(F25,F28,F29,F30,F31,F32)/6</f>
        <v>-3.5373333333333332</v>
      </c>
      <c r="P32">
        <f>SUM(H25,H28,H29,H30,H31,H32)/6</f>
        <v>-2.41</v>
      </c>
    </row>
    <row r="33" spans="4:13" ht="32.1" customHeight="1" x14ac:dyDescent="0.3"/>
    <row r="34" spans="4:13" ht="32.1" customHeight="1" x14ac:dyDescent="0.3"/>
    <row r="35" spans="4:13" ht="32.1" customHeight="1" x14ac:dyDescent="0.3"/>
    <row r="36" spans="4:13" ht="32.1" customHeight="1" x14ac:dyDescent="0.3"/>
    <row r="37" spans="4:13" ht="32.1" customHeight="1" x14ac:dyDescent="0.3"/>
    <row r="38" spans="4:13" ht="32.1" customHeight="1" x14ac:dyDescent="0.3"/>
    <row r="39" spans="4:13" ht="32.1" customHeight="1" x14ac:dyDescent="0.3"/>
    <row r="40" spans="4:13" ht="32.1" customHeight="1" x14ac:dyDescent="0.3"/>
    <row r="41" spans="4:13" ht="32.1" customHeight="1" x14ac:dyDescent="0.3"/>
    <row r="42" spans="4:13" ht="32.1" customHeight="1" x14ac:dyDescent="0.3"/>
    <row r="43" spans="4:13" ht="32.1" customHeight="1" x14ac:dyDescent="0.3"/>
    <row r="44" spans="4:13" ht="32.1" customHeight="1" x14ac:dyDescent="0.3"/>
    <row r="45" spans="4:13" ht="32.1" customHeight="1" x14ac:dyDescent="0.3"/>
    <row r="46" spans="4:13" s="11" customFormat="1" ht="32.1" customHeight="1" x14ac:dyDescent="0.3">
      <c r="D46" s="13"/>
      <c r="F46" s="1"/>
      <c r="G46" s="1"/>
      <c r="H46" s="1"/>
      <c r="I46" s="1"/>
      <c r="J46"/>
      <c r="K46" s="1"/>
      <c r="L46" s="1"/>
      <c r="M46" s="1"/>
    </row>
    <row r="47" spans="4:13" s="11" customFormat="1" ht="32.1" customHeight="1" x14ac:dyDescent="0.3">
      <c r="D47" s="13"/>
      <c r="F47" s="1"/>
      <c r="G47" s="1"/>
      <c r="H47" s="1"/>
      <c r="I47" s="1"/>
      <c r="J47"/>
      <c r="K47" s="1"/>
      <c r="L47" s="1"/>
      <c r="M47" s="1"/>
    </row>
    <row r="48" spans="4:13" s="11" customFormat="1" ht="32.1" customHeight="1" x14ac:dyDescent="0.3">
      <c r="D48" s="13"/>
      <c r="F48" s="1"/>
      <c r="G48" s="1"/>
      <c r="H48" s="1"/>
      <c r="I48" s="1"/>
      <c r="J48"/>
      <c r="K48" s="1"/>
      <c r="L48" s="1"/>
      <c r="M48" s="1"/>
    </row>
    <row r="49" spans="4:13" s="11" customFormat="1" ht="32.1" customHeight="1" x14ac:dyDescent="0.3">
      <c r="D49" s="13"/>
      <c r="F49" s="1"/>
      <c r="G49" s="1"/>
      <c r="H49" s="1"/>
      <c r="I49" s="1"/>
      <c r="J49"/>
      <c r="K49" s="1"/>
      <c r="L49" s="1"/>
      <c r="M49" s="1"/>
    </row>
    <row r="50" spans="4:13" s="11" customFormat="1" ht="32.1" customHeight="1" x14ac:dyDescent="0.3">
      <c r="D50" s="13"/>
      <c r="F50" s="1"/>
      <c r="G50" s="1"/>
      <c r="H50" s="1"/>
      <c r="I50" s="1"/>
      <c r="J50"/>
      <c r="K50" s="1"/>
      <c r="L50" s="1"/>
      <c r="M50" s="1"/>
    </row>
    <row r="51" spans="4:13" s="11" customFormat="1" ht="32.1" customHeight="1" x14ac:dyDescent="0.3">
      <c r="D51" s="13"/>
      <c r="F51" s="1"/>
      <c r="G51" s="1"/>
      <c r="H51" s="1"/>
      <c r="I51" s="1"/>
      <c r="J51"/>
      <c r="K51" s="1"/>
      <c r="L51" s="1"/>
      <c r="M51" s="1"/>
    </row>
    <row r="52" spans="4:13" s="11" customFormat="1" ht="32.1" customHeight="1" x14ac:dyDescent="0.3">
      <c r="D52" s="13"/>
      <c r="F52" s="1"/>
      <c r="G52" s="1"/>
      <c r="H52" s="1"/>
      <c r="I52" s="1"/>
      <c r="J52"/>
      <c r="K52" s="1"/>
      <c r="L52" s="1"/>
      <c r="M52" s="1"/>
    </row>
    <row r="53" spans="4:13" s="11" customFormat="1" ht="32.1" customHeight="1" x14ac:dyDescent="0.3">
      <c r="D53" s="13"/>
      <c r="F53" s="1"/>
      <c r="G53" s="1"/>
      <c r="H53" s="1"/>
      <c r="I53" s="1"/>
      <c r="J53"/>
      <c r="K53" s="1"/>
      <c r="L53" s="1"/>
      <c r="M53" s="1"/>
    </row>
    <row r="54" spans="4:13" s="11" customFormat="1" ht="32.1" customHeight="1" x14ac:dyDescent="0.3">
      <c r="D54" s="13"/>
      <c r="F54" s="1"/>
      <c r="G54" s="1"/>
      <c r="H54" s="1"/>
      <c r="I54" s="1"/>
      <c r="J54"/>
      <c r="K54" s="1"/>
      <c r="L54" s="1"/>
      <c r="M54" s="1"/>
    </row>
    <row r="55" spans="4:13" s="11" customFormat="1" ht="32.1" customHeight="1" x14ac:dyDescent="0.3">
      <c r="D55" s="13"/>
      <c r="F55" s="1"/>
      <c r="G55" s="1"/>
      <c r="H55" s="1"/>
      <c r="I55" s="1"/>
      <c r="J55"/>
      <c r="K55" s="1"/>
      <c r="L55" s="1"/>
      <c r="M55" s="1"/>
    </row>
    <row r="56" spans="4:13" s="11" customFormat="1" ht="32.1" customHeight="1" x14ac:dyDescent="0.3">
      <c r="D56" s="13"/>
      <c r="F56" s="1"/>
      <c r="G56" s="1"/>
      <c r="H56" s="1"/>
      <c r="I56" s="1"/>
      <c r="J56"/>
      <c r="K56" s="1"/>
      <c r="L56" s="1"/>
      <c r="M56" s="1"/>
    </row>
    <row r="57" spans="4:13" s="11" customFormat="1" ht="32.1" customHeight="1" x14ac:dyDescent="0.3">
      <c r="D57" s="13"/>
      <c r="F57" s="1"/>
      <c r="G57" s="1"/>
      <c r="H57" s="1"/>
      <c r="I57" s="1"/>
      <c r="J57"/>
      <c r="K57" s="1"/>
      <c r="L57" s="1"/>
      <c r="M57" s="1"/>
    </row>
    <row r="58" spans="4:13" s="11" customFormat="1" ht="32.1" customHeight="1" x14ac:dyDescent="0.3">
      <c r="D58" s="13"/>
      <c r="F58" s="1"/>
      <c r="G58" s="1"/>
      <c r="H58" s="1"/>
      <c r="I58" s="1"/>
      <c r="J58"/>
      <c r="K58" s="1"/>
      <c r="L58" s="1"/>
      <c r="M58" s="1"/>
    </row>
    <row r="59" spans="4:13" s="11" customFormat="1" ht="32.1" customHeight="1" x14ac:dyDescent="0.3">
      <c r="D59" s="13"/>
      <c r="F59" s="1"/>
      <c r="G59" s="1"/>
      <c r="H59" s="1"/>
      <c r="I59" s="1"/>
      <c r="J59"/>
      <c r="K59" s="1"/>
      <c r="L59" s="1"/>
      <c r="M59" s="1"/>
    </row>
    <row r="60" spans="4:13" s="11" customFormat="1" ht="32.1" customHeight="1" x14ac:dyDescent="0.3">
      <c r="D60" s="13"/>
      <c r="F60" s="1"/>
      <c r="G60" s="1"/>
      <c r="H60" s="1"/>
      <c r="I60" s="1"/>
      <c r="J60"/>
      <c r="K60" s="1"/>
      <c r="L60" s="1"/>
      <c r="M60" s="1"/>
    </row>
    <row r="61" spans="4:13" s="11" customFormat="1" ht="32.1" customHeight="1" x14ac:dyDescent="0.3">
      <c r="D61" s="13"/>
      <c r="F61" s="1"/>
      <c r="G61" s="1"/>
      <c r="H61" s="1"/>
      <c r="I61" s="1"/>
      <c r="J61"/>
      <c r="K61" s="1"/>
      <c r="L61" s="1"/>
      <c r="M61" s="1"/>
    </row>
    <row r="62" spans="4:13" s="11" customFormat="1" ht="32.1" customHeight="1" x14ac:dyDescent="0.3">
      <c r="D62" s="13"/>
      <c r="F62" s="1"/>
      <c r="G62" s="1"/>
      <c r="H62" s="1"/>
      <c r="I62" s="1"/>
      <c r="J62"/>
      <c r="K62" s="1"/>
      <c r="L62" s="1"/>
      <c r="M62" s="1"/>
    </row>
    <row r="63" spans="4:13" s="11" customFormat="1" ht="32.1" customHeight="1" x14ac:dyDescent="0.3">
      <c r="D63" s="13"/>
      <c r="F63" s="1"/>
      <c r="G63" s="1"/>
      <c r="H63" s="1"/>
      <c r="I63" s="1"/>
      <c r="J63"/>
      <c r="K63" s="1"/>
      <c r="L63" s="1"/>
      <c r="M63" s="1"/>
    </row>
    <row r="64" spans="4:13" s="11" customFormat="1" ht="32.1" customHeight="1" x14ac:dyDescent="0.3">
      <c r="D64" s="13"/>
      <c r="F64" s="1"/>
      <c r="G64" s="1"/>
      <c r="H64" s="1"/>
      <c r="I64" s="1"/>
      <c r="J64"/>
      <c r="K64" s="1"/>
      <c r="L64" s="1"/>
      <c r="M64" s="1"/>
    </row>
    <row r="65" spans="4:13" s="11" customFormat="1" ht="32.1" customHeight="1" x14ac:dyDescent="0.3">
      <c r="D65" s="13"/>
      <c r="F65" s="1"/>
      <c r="G65" s="1"/>
      <c r="H65" s="1"/>
      <c r="I65" s="1"/>
      <c r="J65"/>
      <c r="K65" s="1"/>
      <c r="L65" s="1"/>
      <c r="M65" s="1"/>
    </row>
    <row r="66" spans="4:13" s="11" customFormat="1" ht="32.1" customHeight="1" x14ac:dyDescent="0.3">
      <c r="D66" s="13"/>
      <c r="F66" s="1"/>
      <c r="G66" s="1"/>
      <c r="H66" s="1"/>
      <c r="I66" s="1"/>
      <c r="J66"/>
      <c r="K66" s="1"/>
      <c r="L66" s="1"/>
      <c r="M66" s="1"/>
    </row>
    <row r="67" spans="4:13" s="11" customFormat="1" ht="32.1" customHeight="1" x14ac:dyDescent="0.3">
      <c r="D67" s="13"/>
      <c r="F67" s="1"/>
      <c r="G67" s="1"/>
      <c r="H67" s="1"/>
      <c r="I67" s="1"/>
      <c r="J67"/>
      <c r="K67" s="1"/>
      <c r="L67" s="1"/>
      <c r="M67" s="1"/>
    </row>
    <row r="68" spans="4:13" s="11" customFormat="1" ht="32.1" customHeight="1" x14ac:dyDescent="0.3">
      <c r="D68" s="13"/>
      <c r="F68" s="1"/>
      <c r="G68" s="1"/>
      <c r="H68" s="1"/>
      <c r="I68" s="1"/>
      <c r="J68"/>
      <c r="K68" s="1"/>
      <c r="L68" s="1"/>
      <c r="M68" s="1"/>
    </row>
    <row r="69" spans="4:13" s="11" customFormat="1" ht="32.1" customHeight="1" x14ac:dyDescent="0.3">
      <c r="D69" s="13"/>
      <c r="F69" s="1"/>
      <c r="G69" s="1"/>
      <c r="H69" s="1"/>
      <c r="I69" s="1"/>
      <c r="J69"/>
      <c r="K69" s="1"/>
      <c r="L69" s="1"/>
      <c r="M69" s="1"/>
    </row>
    <row r="70" spans="4:13" s="11" customFormat="1" ht="32.1" customHeight="1" x14ac:dyDescent="0.3">
      <c r="D70" s="13"/>
      <c r="F70" s="1"/>
      <c r="G70" s="1"/>
      <c r="H70" s="1"/>
      <c r="I70" s="1"/>
      <c r="J70"/>
      <c r="K70" s="1"/>
      <c r="L70" s="1"/>
      <c r="M70" s="1"/>
    </row>
    <row r="71" spans="4:13" s="11" customFormat="1" ht="32.1" customHeight="1" x14ac:dyDescent="0.3">
      <c r="D71" s="13"/>
      <c r="F71" s="1"/>
      <c r="G71" s="1"/>
      <c r="H71" s="1"/>
      <c r="I71" s="1"/>
      <c r="J71"/>
      <c r="K71" s="1"/>
      <c r="L71" s="1"/>
      <c r="M71" s="1"/>
    </row>
    <row r="72" spans="4:13" s="11" customFormat="1" ht="32.1" customHeight="1" x14ac:dyDescent="0.3">
      <c r="D72" s="13"/>
      <c r="F72" s="1"/>
      <c r="G72" s="1"/>
      <c r="H72" s="1"/>
      <c r="I72" s="1"/>
      <c r="J72"/>
      <c r="K72" s="1"/>
      <c r="L72" s="1"/>
      <c r="M72" s="1"/>
    </row>
    <row r="73" spans="4:13" s="11" customFormat="1" ht="32.1" customHeight="1" x14ac:dyDescent="0.3">
      <c r="D73" s="13"/>
      <c r="F73" s="1"/>
      <c r="G73" s="1"/>
      <c r="H73" s="1"/>
      <c r="I73" s="1"/>
      <c r="J73"/>
      <c r="K73" s="1"/>
      <c r="L73" s="1"/>
      <c r="M73" s="1"/>
    </row>
    <row r="74" spans="4:13" s="11" customFormat="1" ht="32.1" customHeight="1" x14ac:dyDescent="0.3">
      <c r="D74" s="13"/>
      <c r="F74" s="1"/>
      <c r="G74" s="1"/>
      <c r="H74" s="1"/>
      <c r="I74" s="1"/>
      <c r="J74"/>
      <c r="K74" s="1"/>
      <c r="L74" s="1"/>
      <c r="M74" s="1"/>
    </row>
    <row r="75" spans="4:13" s="11" customFormat="1" ht="32.1" customHeight="1" x14ac:dyDescent="0.3">
      <c r="D75" s="13"/>
      <c r="F75" s="1"/>
      <c r="G75" s="1"/>
      <c r="H75" s="1"/>
      <c r="I75" s="1"/>
      <c r="J75"/>
      <c r="K75" s="1"/>
      <c r="L75" s="1"/>
      <c r="M75" s="1"/>
    </row>
    <row r="76" spans="4:13" s="11" customFormat="1" ht="32.1" customHeight="1" x14ac:dyDescent="0.3">
      <c r="D76" s="13"/>
      <c r="F76" s="1"/>
      <c r="G76" s="1"/>
      <c r="H76" s="1"/>
      <c r="I76" s="1"/>
      <c r="J76"/>
      <c r="K76" s="1"/>
      <c r="L76" s="1"/>
      <c r="M76" s="1"/>
    </row>
    <row r="77" spans="4:13" s="11" customFormat="1" ht="32.1" customHeight="1" x14ac:dyDescent="0.3">
      <c r="D77" s="13"/>
      <c r="F77" s="1"/>
      <c r="G77" s="1"/>
      <c r="H77" s="1"/>
      <c r="I77" s="1"/>
      <c r="J77"/>
      <c r="K77" s="1"/>
      <c r="L77" s="1"/>
      <c r="M77" s="1"/>
    </row>
    <row r="78" spans="4:13" s="11" customFormat="1" ht="32.1" customHeight="1" x14ac:dyDescent="0.3">
      <c r="D78" s="13"/>
      <c r="F78" s="1"/>
      <c r="G78" s="1"/>
      <c r="H78" s="1"/>
      <c r="I78" s="1"/>
      <c r="J78"/>
      <c r="K78" s="1"/>
      <c r="L78" s="1"/>
      <c r="M78" s="1"/>
    </row>
    <row r="79" spans="4:13" s="11" customFormat="1" ht="32.1" customHeight="1" x14ac:dyDescent="0.3">
      <c r="D79" s="13"/>
      <c r="F79" s="1"/>
      <c r="G79" s="1"/>
      <c r="H79" s="1"/>
      <c r="I79" s="1"/>
      <c r="J79"/>
      <c r="K79" s="1"/>
      <c r="L79" s="1"/>
      <c r="M79" s="1"/>
    </row>
    <row r="80" spans="4:13" s="11" customFormat="1" ht="32.1" customHeight="1" x14ac:dyDescent="0.3">
      <c r="D80" s="13"/>
      <c r="F80" s="1"/>
      <c r="G80" s="1"/>
      <c r="H80" s="1"/>
      <c r="I80" s="1"/>
      <c r="J80"/>
      <c r="K80" s="1"/>
      <c r="L80" s="1"/>
      <c r="M80" s="1"/>
    </row>
    <row r="81" spans="4:13" s="11" customFormat="1" ht="32.1" customHeight="1" x14ac:dyDescent="0.3">
      <c r="D81" s="13"/>
      <c r="F81" s="1"/>
      <c r="G81" s="1"/>
      <c r="H81" s="1"/>
      <c r="I81" s="1"/>
      <c r="J81"/>
      <c r="K81" s="1"/>
      <c r="L81" s="1"/>
      <c r="M81" s="1"/>
    </row>
    <row r="82" spans="4:13" s="11" customFormat="1" ht="32.1" customHeight="1" x14ac:dyDescent="0.3">
      <c r="D82" s="13"/>
      <c r="F82" s="1"/>
      <c r="G82" s="1"/>
      <c r="H82" s="1"/>
      <c r="I82" s="1"/>
      <c r="J82"/>
      <c r="K82" s="1"/>
      <c r="L82" s="1"/>
      <c r="M82" s="1"/>
    </row>
    <row r="83" spans="4:13" s="11" customFormat="1" ht="32.1" customHeight="1" x14ac:dyDescent="0.3">
      <c r="D83" s="13"/>
      <c r="F83" s="1"/>
      <c r="G83" s="1"/>
      <c r="H83" s="1"/>
      <c r="I83" s="1"/>
      <c r="J83"/>
      <c r="K83" s="1"/>
      <c r="L83" s="1"/>
      <c r="M83" s="1"/>
    </row>
    <row r="84" spans="4:13" s="11" customFormat="1" ht="32.1" customHeight="1" x14ac:dyDescent="0.3">
      <c r="D84" s="13"/>
      <c r="F84" s="1"/>
      <c r="G84" s="1"/>
      <c r="H84" s="1"/>
      <c r="I84" s="1"/>
      <c r="J84"/>
      <c r="K84" s="1"/>
      <c r="L84" s="1"/>
      <c r="M84" s="1"/>
    </row>
    <row r="85" spans="4:13" s="11" customFormat="1" ht="32.1" customHeight="1" x14ac:dyDescent="0.3">
      <c r="D85" s="13"/>
      <c r="F85" s="1"/>
      <c r="G85" s="1"/>
      <c r="H85" s="1"/>
      <c r="I85" s="1"/>
      <c r="J85"/>
      <c r="K85" s="1"/>
      <c r="L85" s="1"/>
      <c r="M85" s="1"/>
    </row>
    <row r="86" spans="4:13" s="11" customFormat="1" ht="32.1" customHeight="1" x14ac:dyDescent="0.3">
      <c r="D86" s="13"/>
      <c r="F86" s="1"/>
      <c r="G86" s="1"/>
      <c r="H86" s="1"/>
      <c r="I86" s="1"/>
      <c r="J86"/>
      <c r="K86" s="1"/>
      <c r="L86" s="1"/>
      <c r="M86" s="1"/>
    </row>
    <row r="87" spans="4:13" s="11" customFormat="1" ht="32.1" customHeight="1" x14ac:dyDescent="0.3">
      <c r="D87" s="13"/>
      <c r="F87" s="1"/>
      <c r="G87" s="1"/>
      <c r="H87" s="1"/>
      <c r="I87" s="1"/>
      <c r="J87"/>
      <c r="K87" s="1"/>
      <c r="L87" s="1"/>
      <c r="M87" s="1"/>
    </row>
    <row r="88" spans="4:13" s="11" customFormat="1" ht="32.1" customHeight="1" x14ac:dyDescent="0.3">
      <c r="D88" s="13"/>
      <c r="F88" s="1"/>
      <c r="G88" s="1"/>
      <c r="H88" s="1"/>
      <c r="I88" s="1"/>
      <c r="J88"/>
      <c r="K88" s="1"/>
      <c r="L88" s="1"/>
      <c r="M88" s="1"/>
    </row>
    <row r="89" spans="4:13" s="11" customFormat="1" ht="32.1" customHeight="1" x14ac:dyDescent="0.3">
      <c r="D89" s="13"/>
      <c r="F89" s="1"/>
      <c r="G89" s="1"/>
      <c r="H89" s="1"/>
      <c r="I89" s="1"/>
      <c r="J89"/>
      <c r="K89" s="1"/>
      <c r="L89" s="1"/>
      <c r="M89" s="1"/>
    </row>
    <row r="90" spans="4:13" s="11" customFormat="1" ht="32.1" customHeight="1" x14ac:dyDescent="0.3">
      <c r="D90" s="13"/>
      <c r="F90" s="1"/>
      <c r="G90" s="1"/>
      <c r="H90" s="1"/>
      <c r="I90" s="1"/>
      <c r="J90"/>
      <c r="K90" s="1"/>
      <c r="L90" s="1"/>
      <c r="M90" s="1"/>
    </row>
    <row r="91" spans="4:13" s="11" customFormat="1" ht="32.1" customHeight="1" x14ac:dyDescent="0.3">
      <c r="D91" s="13"/>
      <c r="F91" s="1"/>
      <c r="G91" s="1"/>
      <c r="H91" s="1"/>
      <c r="I91" s="1"/>
      <c r="J91"/>
      <c r="K91" s="1"/>
      <c r="L91" s="1"/>
      <c r="M91" s="1"/>
    </row>
    <row r="92" spans="4:13" s="11" customFormat="1" ht="32.1" customHeight="1" x14ac:dyDescent="0.3">
      <c r="D92" s="13"/>
      <c r="F92" s="1"/>
      <c r="G92" s="1"/>
      <c r="H92" s="1"/>
      <c r="I92" s="1"/>
      <c r="J92"/>
      <c r="K92" s="1"/>
      <c r="L92" s="1"/>
      <c r="M92" s="1"/>
    </row>
    <row r="93" spans="4:13" s="11" customFormat="1" ht="32.1" customHeight="1" x14ac:dyDescent="0.3">
      <c r="D93" s="13"/>
      <c r="F93" s="1"/>
      <c r="G93" s="1"/>
      <c r="H93" s="1"/>
      <c r="I93" s="1"/>
      <c r="J93"/>
      <c r="K93" s="1"/>
      <c r="L93" s="1"/>
      <c r="M93" s="1"/>
    </row>
    <row r="94" spans="4:13" s="11" customFormat="1" ht="32.1" customHeight="1" x14ac:dyDescent="0.3">
      <c r="D94" s="13"/>
      <c r="F94" s="1"/>
      <c r="G94" s="1"/>
      <c r="H94" s="1"/>
      <c r="I94" s="1"/>
      <c r="J94"/>
      <c r="K94" s="1"/>
      <c r="L94" s="1"/>
      <c r="M94" s="1"/>
    </row>
    <row r="95" spans="4:13" s="11" customFormat="1" ht="32.1" customHeight="1" x14ac:dyDescent="0.3">
      <c r="D95" s="13"/>
      <c r="F95" s="1"/>
      <c r="G95" s="1"/>
      <c r="H95" s="1"/>
      <c r="I95" s="1"/>
      <c r="J95"/>
      <c r="K95" s="1"/>
      <c r="L95" s="1"/>
      <c r="M95" s="1"/>
    </row>
    <row r="96" spans="4:13" s="11" customFormat="1" ht="32.1" customHeight="1" x14ac:dyDescent="0.3">
      <c r="D96" s="13"/>
      <c r="F96" s="1"/>
      <c r="G96" s="1"/>
      <c r="H96" s="1"/>
      <c r="I96" s="1"/>
      <c r="J96"/>
      <c r="K96" s="1"/>
      <c r="L96" s="1"/>
      <c r="M96" s="1"/>
    </row>
    <row r="97" spans="4:13" s="11" customFormat="1" ht="32.1" customHeight="1" x14ac:dyDescent="0.3">
      <c r="D97" s="13"/>
      <c r="F97" s="1"/>
      <c r="G97" s="1"/>
      <c r="H97" s="1"/>
      <c r="I97" s="1"/>
      <c r="J97"/>
      <c r="K97" s="1"/>
      <c r="L97" s="1"/>
      <c r="M97" s="1"/>
    </row>
    <row r="98" spans="4:13" s="11" customFormat="1" ht="32.1" customHeight="1" x14ac:dyDescent="0.3">
      <c r="D98" s="13"/>
      <c r="F98" s="1"/>
      <c r="G98" s="1"/>
      <c r="H98" s="1"/>
      <c r="I98" s="1"/>
      <c r="J98"/>
      <c r="K98" s="1"/>
      <c r="L98" s="1"/>
      <c r="M98" s="1"/>
    </row>
    <row r="99" spans="4:13" s="11" customFormat="1" ht="32.1" customHeight="1" x14ac:dyDescent="0.3">
      <c r="D99" s="13"/>
      <c r="F99" s="1"/>
      <c r="G99" s="1"/>
      <c r="H99" s="1"/>
      <c r="I99" s="1"/>
      <c r="J99"/>
      <c r="K99" s="1"/>
      <c r="L99" s="1"/>
      <c r="M99" s="1"/>
    </row>
    <row r="100" spans="4:13" s="11" customFormat="1" ht="32.1" customHeight="1" x14ac:dyDescent="0.3">
      <c r="D100" s="13"/>
      <c r="F100" s="1"/>
      <c r="G100" s="1"/>
      <c r="H100" s="1"/>
      <c r="I100" s="1"/>
      <c r="J100"/>
      <c r="K100" s="1"/>
      <c r="L100" s="1"/>
      <c r="M100" s="1"/>
    </row>
    <row r="101" spans="4:13" s="11" customFormat="1" ht="32.1" customHeight="1" x14ac:dyDescent="0.3">
      <c r="D101" s="13"/>
      <c r="F101" s="1"/>
      <c r="G101" s="1"/>
      <c r="H101" s="1"/>
      <c r="I101" s="1"/>
      <c r="J101"/>
      <c r="K101" s="1"/>
      <c r="L101" s="1"/>
      <c r="M101" s="1"/>
    </row>
    <row r="102" spans="4:13" s="11" customFormat="1" ht="32.1" customHeight="1" x14ac:dyDescent="0.3">
      <c r="D102" s="13"/>
      <c r="F102" s="1"/>
      <c r="G102" s="1"/>
      <c r="H102" s="1"/>
      <c r="I102" s="1"/>
      <c r="J102"/>
      <c r="K102" s="1"/>
      <c r="L102" s="1"/>
      <c r="M102" s="1"/>
    </row>
    <row r="103" spans="4:13" s="11" customFormat="1" ht="32.1" customHeight="1" x14ac:dyDescent="0.3">
      <c r="D103" s="13"/>
      <c r="F103" s="1"/>
      <c r="G103" s="1"/>
      <c r="H103" s="1"/>
      <c r="I103" s="1"/>
      <c r="J103"/>
      <c r="K103" s="1"/>
      <c r="L103" s="1"/>
      <c r="M103" s="1"/>
    </row>
    <row r="104" spans="4:13" s="11" customFormat="1" ht="32.1" customHeight="1" x14ac:dyDescent="0.3">
      <c r="D104" s="13"/>
      <c r="F104" s="1"/>
      <c r="G104" s="1"/>
      <c r="H104" s="1"/>
      <c r="I104" s="1"/>
      <c r="J104"/>
      <c r="K104" s="1"/>
      <c r="L104" s="1"/>
      <c r="M104" s="1"/>
    </row>
    <row r="105" spans="4:13" s="11" customFormat="1" ht="32.1" customHeight="1" x14ac:dyDescent="0.3">
      <c r="D105" s="13"/>
      <c r="F105" s="1"/>
      <c r="G105" s="1"/>
      <c r="H105" s="1"/>
      <c r="I105" s="1"/>
      <c r="J105"/>
      <c r="K105" s="1"/>
      <c r="L105" s="1"/>
      <c r="M105" s="1"/>
    </row>
    <row r="106" spans="4:13" s="11" customFormat="1" ht="32.1" customHeight="1" x14ac:dyDescent="0.3">
      <c r="D106" s="13"/>
      <c r="F106" s="1"/>
      <c r="G106" s="1"/>
      <c r="H106" s="1"/>
      <c r="I106" s="1"/>
      <c r="J106"/>
      <c r="K106" s="1"/>
      <c r="L106" s="1"/>
      <c r="M106" s="1"/>
    </row>
    <row r="107" spans="4:13" s="11" customFormat="1" ht="32.1" customHeight="1" x14ac:dyDescent="0.3">
      <c r="D107" s="13"/>
      <c r="F107" s="1"/>
      <c r="G107" s="1"/>
      <c r="H107" s="1"/>
      <c r="I107" s="1"/>
      <c r="J107"/>
      <c r="K107" s="1"/>
      <c r="L107" s="1"/>
      <c r="M107" s="1"/>
    </row>
    <row r="108" spans="4:13" s="11" customFormat="1" ht="32.1" customHeight="1" x14ac:dyDescent="0.3">
      <c r="D108" s="13"/>
      <c r="F108" s="1"/>
      <c r="G108" s="1"/>
      <c r="H108" s="1"/>
      <c r="I108" s="1"/>
      <c r="J108"/>
      <c r="K108" s="1"/>
      <c r="L108" s="1"/>
      <c r="M108" s="1"/>
    </row>
    <row r="109" spans="4:13" s="11" customFormat="1" ht="32.1" customHeight="1" x14ac:dyDescent="0.3">
      <c r="D109" s="13"/>
      <c r="F109" s="1"/>
      <c r="G109" s="1"/>
      <c r="H109" s="1"/>
      <c r="I109" s="1"/>
      <c r="J109"/>
      <c r="K109" s="1"/>
      <c r="L109" s="1"/>
      <c r="M109" s="1"/>
    </row>
    <row r="110" spans="4:13" s="11" customFormat="1" ht="32.1" customHeight="1" x14ac:dyDescent="0.3">
      <c r="D110" s="13"/>
      <c r="F110" s="1"/>
      <c r="G110" s="1"/>
      <c r="H110" s="1"/>
      <c r="I110" s="1"/>
      <c r="J110"/>
      <c r="K110" s="1"/>
      <c r="L110" s="1"/>
      <c r="M110" s="1"/>
    </row>
    <row r="111" spans="4:13" s="11" customFormat="1" ht="32.1" customHeight="1" x14ac:dyDescent="0.3">
      <c r="D111" s="13"/>
      <c r="F111" s="1"/>
      <c r="G111" s="1"/>
      <c r="H111" s="1"/>
      <c r="I111" s="1"/>
      <c r="J111"/>
      <c r="K111" s="1"/>
      <c r="L111" s="1"/>
      <c r="M111" s="1"/>
    </row>
    <row r="112" spans="4:13" s="11" customFormat="1" ht="32.1" customHeight="1" x14ac:dyDescent="0.3">
      <c r="D112" s="13"/>
      <c r="F112" s="1"/>
      <c r="G112" s="1"/>
      <c r="H112" s="1"/>
      <c r="I112" s="1"/>
      <c r="J112"/>
      <c r="K112" s="1"/>
      <c r="L112" s="1"/>
      <c r="M112" s="1"/>
    </row>
    <row r="113" spans="4:13" s="11" customFormat="1" ht="32.1" customHeight="1" x14ac:dyDescent="0.3">
      <c r="D113" s="13"/>
      <c r="F113" s="1"/>
      <c r="G113" s="1"/>
      <c r="H113" s="1"/>
      <c r="I113" s="1"/>
      <c r="J113"/>
      <c r="K113" s="1"/>
      <c r="L113" s="1"/>
      <c r="M113" s="1"/>
    </row>
    <row r="114" spans="4:13" s="11" customFormat="1" ht="32.1" customHeight="1" x14ac:dyDescent="0.3">
      <c r="D114" s="13"/>
      <c r="F114" s="1"/>
      <c r="G114" s="1"/>
      <c r="H114" s="1"/>
      <c r="I114" s="1"/>
      <c r="J114"/>
      <c r="K114" s="1"/>
      <c r="L114" s="1"/>
      <c r="M114" s="1"/>
    </row>
    <row r="115" spans="4:13" s="11" customFormat="1" ht="32.1" customHeight="1" x14ac:dyDescent="0.3">
      <c r="D115" s="13"/>
      <c r="F115" s="1"/>
      <c r="G115" s="1"/>
      <c r="H115" s="1"/>
      <c r="I115" s="1"/>
      <c r="J115"/>
      <c r="K115" s="1"/>
      <c r="L115" s="1"/>
      <c r="M115" s="1"/>
    </row>
  </sheetData>
  <mergeCells count="30">
    <mergeCell ref="A1:C1"/>
    <mergeCell ref="F1:J1"/>
    <mergeCell ref="K1:K4"/>
    <mergeCell ref="B5:B16"/>
    <mergeCell ref="L5:L16"/>
    <mergeCell ref="A2:C3"/>
    <mergeCell ref="D2:D3"/>
    <mergeCell ref="E2:E3"/>
    <mergeCell ref="K5:K16"/>
    <mergeCell ref="M1:M4"/>
    <mergeCell ref="F2:G2"/>
    <mergeCell ref="H2:I2"/>
    <mergeCell ref="J2:J4"/>
    <mergeCell ref="L1:L4"/>
    <mergeCell ref="M5:M16"/>
    <mergeCell ref="K21:K32"/>
    <mergeCell ref="M17:M20"/>
    <mergeCell ref="A18:C19"/>
    <mergeCell ref="D18:D19"/>
    <mergeCell ref="E18:E19"/>
    <mergeCell ref="F18:G18"/>
    <mergeCell ref="H18:I18"/>
    <mergeCell ref="J18:J20"/>
    <mergeCell ref="B21:B32"/>
    <mergeCell ref="L21:L32"/>
    <mergeCell ref="A17:C17"/>
    <mergeCell ref="F17:J17"/>
    <mergeCell ref="K17:K20"/>
    <mergeCell ref="L17:L20"/>
    <mergeCell ref="M21:M32"/>
  </mergeCells>
  <phoneticPr fontId="1" type="noConversion"/>
  <pageMargins left="0.25" right="0.25" top="0.75" bottom="0.75" header="0.3" footer="0.3"/>
  <pageSetup paperSize="9" scale="56" fitToHeight="0" orientation="landscape" r:id="rId1"/>
  <rowBreaks count="1" manualBreakCount="1">
    <brk id="16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3"/>
  <sheetViews>
    <sheetView view="pageBreakPreview" zoomScale="70" zoomScaleNormal="100" zoomScaleSheetLayoutView="70" workbookViewId="0">
      <pane ySplit="4" topLeftCell="A44" activePane="bottomLeft" state="frozen"/>
      <selection activeCell="E28" sqref="E28"/>
      <selection pane="bottomLeft" activeCell="I14" sqref="I14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9" width="13.625" style="1" customWidth="1"/>
    <col min="10" max="10" width="13.625" style="53" customWidth="1"/>
    <col min="11" max="11" width="20.625" style="1" customWidth="1"/>
    <col min="12" max="12" width="16.625" style="1" bestFit="1" customWidth="1"/>
    <col min="13" max="13" width="9" style="1"/>
  </cols>
  <sheetData>
    <row r="1" spans="1:17" ht="30" customHeight="1" x14ac:dyDescent="0.3">
      <c r="A1" s="374" t="s">
        <v>8</v>
      </c>
      <c r="B1" s="325"/>
      <c r="C1" s="325"/>
      <c r="D1" s="228" t="s">
        <v>11</v>
      </c>
      <c r="E1" s="228" t="s">
        <v>12</v>
      </c>
      <c r="F1" s="325" t="s">
        <v>725</v>
      </c>
      <c r="G1" s="325"/>
      <c r="H1" s="325"/>
      <c r="I1" s="325"/>
      <c r="J1" s="325"/>
      <c r="K1" s="407" t="s">
        <v>10</v>
      </c>
      <c r="L1" s="408" t="s">
        <v>32</v>
      </c>
      <c r="M1" s="405" t="s">
        <v>33</v>
      </c>
      <c r="N1">
        <f>COUNTIF(N5:N506,0)/COUNT(A:A)</f>
        <v>0.28125</v>
      </c>
    </row>
    <row r="2" spans="1:17" ht="30" customHeight="1" x14ac:dyDescent="0.3">
      <c r="A2" s="406" t="s">
        <v>9</v>
      </c>
      <c r="B2" s="337"/>
      <c r="C2" s="337"/>
      <c r="D2" s="368" t="s">
        <v>149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27"/>
    </row>
    <row r="3" spans="1:17" ht="30" customHeight="1" x14ac:dyDescent="0.3">
      <c r="A3" s="406"/>
      <c r="B3" s="337"/>
      <c r="C3" s="337"/>
      <c r="D3" s="368"/>
      <c r="E3" s="337"/>
      <c r="F3" s="226" t="s">
        <v>638</v>
      </c>
      <c r="G3" s="214">
        <f>전송손실!M23</f>
        <v>-7.2042799999999989</v>
      </c>
      <c r="H3" s="226" t="s">
        <v>638</v>
      </c>
      <c r="I3" s="214">
        <f>전송손실!M49</f>
        <v>-4.8520599999999998</v>
      </c>
      <c r="J3" s="369"/>
      <c r="K3" s="332"/>
      <c r="L3" s="332"/>
      <c r="M3" s="327"/>
    </row>
    <row r="4" spans="1:17" ht="30" customHeight="1" thickBot="1" x14ac:dyDescent="0.35">
      <c r="A4" s="215" t="s">
        <v>0</v>
      </c>
      <c r="B4" s="229" t="s">
        <v>1</v>
      </c>
      <c r="C4" s="229" t="s">
        <v>23</v>
      </c>
      <c r="D4" s="229" t="s">
        <v>2</v>
      </c>
      <c r="E4" s="229" t="s">
        <v>3</v>
      </c>
      <c r="F4" s="229" t="s">
        <v>4</v>
      </c>
      <c r="G4" s="229" t="s">
        <v>506</v>
      </c>
      <c r="H4" s="229" t="s">
        <v>4</v>
      </c>
      <c r="I4" s="229" t="s">
        <v>506</v>
      </c>
      <c r="J4" s="370"/>
      <c r="K4" s="367"/>
      <c r="L4" s="367"/>
      <c r="M4" s="328"/>
    </row>
    <row r="5" spans="1:17" ht="30" customHeight="1" x14ac:dyDescent="0.3">
      <c r="A5" s="64">
        <v>1</v>
      </c>
      <c r="B5" s="394" t="s">
        <v>171</v>
      </c>
      <c r="C5" s="62" t="s">
        <v>356</v>
      </c>
      <c r="D5" s="17" t="s">
        <v>177</v>
      </c>
      <c r="E5" s="62"/>
      <c r="F5" s="123"/>
      <c r="G5" s="123"/>
      <c r="H5" s="123"/>
      <c r="I5" s="123"/>
      <c r="J5" s="124"/>
      <c r="K5" s="378" t="s">
        <v>420</v>
      </c>
      <c r="L5" s="354"/>
      <c r="M5" s="358"/>
      <c r="N5">
        <f>IF(C5="",0,1)</f>
        <v>1</v>
      </c>
    </row>
    <row r="6" spans="1:17" ht="30" customHeight="1" x14ac:dyDescent="0.3">
      <c r="A6" s="18">
        <v>2</v>
      </c>
      <c r="B6" s="394"/>
      <c r="C6" s="35" t="s">
        <v>356</v>
      </c>
      <c r="D6" s="12" t="s">
        <v>178</v>
      </c>
      <c r="E6" s="35"/>
      <c r="F6" s="116"/>
      <c r="G6" s="116"/>
      <c r="H6" s="116"/>
      <c r="I6" s="116"/>
      <c r="J6" s="122"/>
      <c r="K6" s="355"/>
      <c r="L6" s="355"/>
      <c r="M6" s="359"/>
      <c r="N6">
        <f t="shared" ref="N6:N60" si="0">IF(C6="",0,1)</f>
        <v>1</v>
      </c>
    </row>
    <row r="7" spans="1:17" ht="30" customHeight="1" x14ac:dyDescent="0.3">
      <c r="A7" s="18">
        <v>3</v>
      </c>
      <c r="B7" s="394"/>
      <c r="C7" s="130" t="s">
        <v>63</v>
      </c>
      <c r="D7" s="12" t="s">
        <v>517</v>
      </c>
      <c r="E7" s="85"/>
      <c r="F7" s="117"/>
      <c r="G7" s="117"/>
      <c r="H7" s="117"/>
      <c r="I7" s="117"/>
      <c r="J7" s="122"/>
      <c r="K7" s="355"/>
      <c r="L7" s="355"/>
      <c r="M7" s="359"/>
      <c r="N7">
        <f t="shared" si="0"/>
        <v>1</v>
      </c>
    </row>
    <row r="8" spans="1:17" ht="30" customHeight="1" x14ac:dyDescent="0.3">
      <c r="A8" s="18">
        <v>4</v>
      </c>
      <c r="B8" s="394"/>
      <c r="C8" s="76"/>
      <c r="D8" s="77"/>
      <c r="E8" s="76"/>
      <c r="F8" s="118">
        <v>-6.1079999999999997</v>
      </c>
      <c r="G8" s="118">
        <v>14.782400000000001</v>
      </c>
      <c r="H8" s="118">
        <v>-4.4340000000000002</v>
      </c>
      <c r="I8" s="118">
        <v>14.779299999999999</v>
      </c>
      <c r="J8" s="118"/>
      <c r="K8" s="355"/>
      <c r="L8" s="355"/>
      <c r="M8" s="359"/>
      <c r="N8">
        <f t="shared" si="0"/>
        <v>0</v>
      </c>
    </row>
    <row r="9" spans="1:17" ht="30" customHeight="1" x14ac:dyDescent="0.3">
      <c r="A9" s="18">
        <v>5</v>
      </c>
      <c r="B9" s="394"/>
      <c r="C9" s="35" t="s">
        <v>356</v>
      </c>
      <c r="D9" s="12" t="s">
        <v>179</v>
      </c>
      <c r="E9" s="35"/>
      <c r="F9" s="116"/>
      <c r="G9" s="116"/>
      <c r="H9" s="116"/>
      <c r="I9" s="116"/>
      <c r="J9" s="122"/>
      <c r="K9" s="355"/>
      <c r="L9" s="355"/>
      <c r="M9" s="359"/>
      <c r="N9">
        <f t="shared" si="0"/>
        <v>1</v>
      </c>
    </row>
    <row r="10" spans="1:17" ht="30" customHeight="1" x14ac:dyDescent="0.3">
      <c r="A10" s="18">
        <v>6</v>
      </c>
      <c r="B10" s="394"/>
      <c r="C10" s="35" t="s">
        <v>356</v>
      </c>
      <c r="D10" s="12" t="s">
        <v>180</v>
      </c>
      <c r="E10" s="35"/>
      <c r="F10" s="116"/>
      <c r="G10" s="116"/>
      <c r="H10" s="116"/>
      <c r="I10" s="116"/>
      <c r="J10" s="122"/>
      <c r="K10" s="355"/>
      <c r="L10" s="355"/>
      <c r="M10" s="359"/>
      <c r="N10">
        <f t="shared" si="0"/>
        <v>1</v>
      </c>
    </row>
    <row r="11" spans="1:17" ht="30" customHeight="1" x14ac:dyDescent="0.3">
      <c r="A11" s="18">
        <v>7</v>
      </c>
      <c r="B11" s="394"/>
      <c r="C11" s="35" t="s">
        <v>357</v>
      </c>
      <c r="D11" s="12" t="s">
        <v>181</v>
      </c>
      <c r="E11" s="35"/>
      <c r="F11" s="116"/>
      <c r="G11" s="116"/>
      <c r="H11" s="116"/>
      <c r="I11" s="116"/>
      <c r="J11" s="122"/>
      <c r="K11" s="355"/>
      <c r="L11" s="355"/>
      <c r="M11" s="359"/>
      <c r="N11">
        <f t="shared" si="0"/>
        <v>1</v>
      </c>
    </row>
    <row r="12" spans="1:17" ht="30" customHeight="1" x14ac:dyDescent="0.3">
      <c r="A12" s="18">
        <v>8</v>
      </c>
      <c r="B12" s="394"/>
      <c r="C12" s="35" t="s">
        <v>357</v>
      </c>
      <c r="D12" s="12" t="s">
        <v>182</v>
      </c>
      <c r="E12" s="35"/>
      <c r="F12" s="116"/>
      <c r="G12" s="116"/>
      <c r="H12" s="116"/>
      <c r="I12" s="116"/>
      <c r="J12" s="122"/>
      <c r="K12" s="355"/>
      <c r="L12" s="355"/>
      <c r="M12" s="359"/>
      <c r="N12">
        <f t="shared" si="0"/>
        <v>1</v>
      </c>
    </row>
    <row r="13" spans="1:17" ht="30" customHeight="1" x14ac:dyDescent="0.3">
      <c r="A13" s="18">
        <v>9</v>
      </c>
      <c r="B13" s="394"/>
      <c r="C13" s="76"/>
      <c r="D13" s="77"/>
      <c r="E13" s="76"/>
      <c r="F13" s="118">
        <v>-5.694</v>
      </c>
      <c r="G13" s="118">
        <v>14.7852</v>
      </c>
      <c r="H13" s="118">
        <v>-3.66</v>
      </c>
      <c r="I13" s="118">
        <v>14.7834</v>
      </c>
      <c r="J13" s="118"/>
      <c r="K13" s="355"/>
      <c r="L13" s="355"/>
      <c r="M13" s="359"/>
      <c r="N13">
        <f t="shared" si="0"/>
        <v>0</v>
      </c>
      <c r="Q13" t="s">
        <v>167</v>
      </c>
    </row>
    <row r="14" spans="1:17" ht="30" customHeight="1" x14ac:dyDescent="0.3">
      <c r="A14" s="18">
        <v>10</v>
      </c>
      <c r="B14" s="394"/>
      <c r="C14" s="76"/>
      <c r="D14" s="77"/>
      <c r="E14" s="76"/>
      <c r="F14" s="118">
        <v>-5.7050000000000001</v>
      </c>
      <c r="G14" s="118">
        <v>14.7843</v>
      </c>
      <c r="H14" s="118">
        <v>-4.1109999999999998</v>
      </c>
      <c r="I14" s="118">
        <v>14.7828</v>
      </c>
      <c r="J14" s="118"/>
      <c r="K14" s="355"/>
      <c r="L14" s="355"/>
      <c r="M14" s="359"/>
      <c r="N14">
        <f t="shared" si="0"/>
        <v>0</v>
      </c>
    </row>
    <row r="15" spans="1:17" ht="30" customHeight="1" x14ac:dyDescent="0.3">
      <c r="A15" s="18">
        <v>11</v>
      </c>
      <c r="B15" s="394"/>
      <c r="C15" s="76"/>
      <c r="D15" s="77"/>
      <c r="E15" s="76"/>
      <c r="F15" s="118">
        <v>-5.6989999999999998</v>
      </c>
      <c r="G15" s="118">
        <v>14.7843</v>
      </c>
      <c r="H15" s="118">
        <v>-3.7570000000000001</v>
      </c>
      <c r="I15" s="118">
        <v>14.784000000000001</v>
      </c>
      <c r="J15" s="118"/>
      <c r="K15" s="355"/>
      <c r="L15" s="355"/>
      <c r="M15" s="359"/>
      <c r="N15">
        <f t="shared" si="0"/>
        <v>0</v>
      </c>
    </row>
    <row r="16" spans="1:17" ht="30" customHeight="1" x14ac:dyDescent="0.3">
      <c r="A16" s="18">
        <v>12</v>
      </c>
      <c r="B16" s="394"/>
      <c r="C16" s="76"/>
      <c r="D16" s="77"/>
      <c r="E16" s="76"/>
      <c r="F16" s="118">
        <v>-6.0620000000000003</v>
      </c>
      <c r="G16" s="118">
        <v>14.784599999999999</v>
      </c>
      <c r="H16" s="118">
        <v>-4.0910000000000002</v>
      </c>
      <c r="I16" s="118">
        <v>14.782500000000001</v>
      </c>
      <c r="J16" s="118"/>
      <c r="K16" s="355"/>
      <c r="L16" s="355"/>
      <c r="M16" s="359"/>
      <c r="N16">
        <f t="shared" si="0"/>
        <v>0</v>
      </c>
    </row>
    <row r="17" spans="1:16" ht="30" customHeight="1" x14ac:dyDescent="0.3">
      <c r="A17" s="18">
        <v>13</v>
      </c>
      <c r="B17" s="394"/>
      <c r="C17" s="35" t="s">
        <v>358</v>
      </c>
      <c r="D17" s="12" t="s">
        <v>156</v>
      </c>
      <c r="E17" s="35"/>
      <c r="F17" s="116"/>
      <c r="G17" s="116"/>
      <c r="H17" s="116"/>
      <c r="I17" s="116"/>
      <c r="J17" s="122"/>
      <c r="K17" s="355"/>
      <c r="L17" s="355"/>
      <c r="M17" s="359"/>
      <c r="N17">
        <f t="shared" si="0"/>
        <v>1</v>
      </c>
    </row>
    <row r="18" spans="1:16" ht="30" customHeight="1" x14ac:dyDescent="0.3">
      <c r="A18" s="18">
        <v>14</v>
      </c>
      <c r="B18" s="394"/>
      <c r="C18" s="35" t="s">
        <v>358</v>
      </c>
      <c r="D18" s="12" t="s">
        <v>156</v>
      </c>
      <c r="E18" s="35"/>
      <c r="F18" s="116"/>
      <c r="G18" s="116"/>
      <c r="H18" s="116"/>
      <c r="I18" s="116"/>
      <c r="J18" s="122"/>
      <c r="K18" s="355"/>
      <c r="L18" s="355"/>
      <c r="M18" s="359"/>
      <c r="N18">
        <f t="shared" si="0"/>
        <v>1</v>
      </c>
    </row>
    <row r="19" spans="1:16" ht="30" customHeight="1" x14ac:dyDescent="0.3">
      <c r="A19" s="18">
        <v>15</v>
      </c>
      <c r="B19" s="394"/>
      <c r="C19" s="76"/>
      <c r="D19" s="77"/>
      <c r="E19" s="76"/>
      <c r="F19" s="118">
        <v>-6.2389999999999999</v>
      </c>
      <c r="G19" s="118">
        <v>14.7814</v>
      </c>
      <c r="H19" s="118">
        <v>-4.7709999999999999</v>
      </c>
      <c r="I19" s="118">
        <v>14.780200000000001</v>
      </c>
      <c r="J19" s="118"/>
      <c r="K19" s="355"/>
      <c r="L19" s="355"/>
      <c r="M19" s="359"/>
      <c r="N19">
        <f t="shared" si="0"/>
        <v>0</v>
      </c>
    </row>
    <row r="20" spans="1:16" ht="30" customHeight="1" x14ac:dyDescent="0.3">
      <c r="A20" s="18">
        <v>16</v>
      </c>
      <c r="B20" s="394"/>
      <c r="C20" s="76"/>
      <c r="D20" s="77"/>
      <c r="E20" s="76"/>
      <c r="F20" s="118">
        <v>-5.7679999999999998</v>
      </c>
      <c r="G20" s="118">
        <v>14.7843</v>
      </c>
      <c r="H20" s="118">
        <v>-3.8530000000000002</v>
      </c>
      <c r="I20" s="118">
        <v>14.783099999999999</v>
      </c>
      <c r="J20" s="118"/>
      <c r="K20" s="355"/>
      <c r="L20" s="355"/>
      <c r="M20" s="359"/>
      <c r="N20">
        <f t="shared" si="0"/>
        <v>0</v>
      </c>
    </row>
    <row r="21" spans="1:16" ht="30" customHeight="1" x14ac:dyDescent="0.3">
      <c r="A21" s="18">
        <v>17</v>
      </c>
      <c r="B21" s="394"/>
      <c r="C21" s="76"/>
      <c r="D21" s="77"/>
      <c r="E21" s="76"/>
      <c r="F21" s="118">
        <v>-5.992</v>
      </c>
      <c r="G21" s="118">
        <v>14.779500000000001</v>
      </c>
      <c r="H21" s="118">
        <v>-4.7489999999999997</v>
      </c>
      <c r="I21" s="118">
        <v>14.776999999999999</v>
      </c>
      <c r="J21" s="118"/>
      <c r="K21" s="355"/>
      <c r="L21" s="355"/>
      <c r="M21" s="359"/>
      <c r="N21">
        <f t="shared" si="0"/>
        <v>0</v>
      </c>
    </row>
    <row r="22" spans="1:16" ht="30" customHeight="1" x14ac:dyDescent="0.3">
      <c r="A22" s="18">
        <v>18</v>
      </c>
      <c r="B22" s="394"/>
      <c r="C22" s="76"/>
      <c r="D22" s="77"/>
      <c r="E22" s="76"/>
      <c r="F22" s="118">
        <v>-5.9160000000000004</v>
      </c>
      <c r="G22" s="118">
        <v>14.783300000000001</v>
      </c>
      <c r="H22" s="118">
        <v>-3.9550000000000001</v>
      </c>
      <c r="I22" s="118">
        <v>14.780900000000001</v>
      </c>
      <c r="J22" s="118"/>
      <c r="K22" s="355"/>
      <c r="L22" s="355"/>
      <c r="M22" s="359"/>
      <c r="N22">
        <f t="shared" si="0"/>
        <v>0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-6.2969999999999997</v>
      </c>
      <c r="G23" s="118">
        <v>14.780099999999999</v>
      </c>
      <c r="H23" s="118">
        <v>-4.7430000000000003</v>
      </c>
      <c r="I23" s="118">
        <v>14.778600000000001</v>
      </c>
      <c r="J23" s="118"/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76"/>
      <c r="D24" s="77"/>
      <c r="E24" s="76"/>
      <c r="F24" s="118">
        <v>-5.5270000000000001</v>
      </c>
      <c r="G24" s="118">
        <v>14.7814</v>
      </c>
      <c r="H24" s="118">
        <v>-3.85</v>
      </c>
      <c r="I24" s="118">
        <v>14.7805</v>
      </c>
      <c r="J24" s="118"/>
      <c r="K24" s="355"/>
      <c r="L24" s="355"/>
      <c r="M24" s="359"/>
      <c r="N24">
        <f t="shared" si="0"/>
        <v>0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>
        <v>-5.7329999999999997</v>
      </c>
      <c r="G25" s="118">
        <v>14.802199999999999</v>
      </c>
      <c r="H25" s="118">
        <v>-4.2169999999999996</v>
      </c>
      <c r="I25" s="118">
        <v>14.7997</v>
      </c>
      <c r="J25" s="274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/>
      <c r="G26" s="118"/>
      <c r="H26" s="118"/>
      <c r="I26" s="118"/>
      <c r="J26" s="274"/>
      <c r="K26" s="355"/>
      <c r="L26" s="355"/>
      <c r="M26" s="359"/>
      <c r="N26">
        <f t="shared" si="0"/>
        <v>0</v>
      </c>
    </row>
    <row r="27" spans="1:16" ht="30" customHeight="1" x14ac:dyDescent="0.3">
      <c r="A27" s="20">
        <v>23</v>
      </c>
      <c r="B27" s="394"/>
      <c r="C27" s="76"/>
      <c r="D27" s="77"/>
      <c r="E27" s="152"/>
      <c r="F27" s="154">
        <v>-5.9109999999999996</v>
      </c>
      <c r="G27" s="154">
        <v>14.7827</v>
      </c>
      <c r="H27" s="154">
        <v>-4.0590000000000002</v>
      </c>
      <c r="I27" s="154">
        <v>14.782500000000001</v>
      </c>
      <c r="J27" s="276"/>
      <c r="K27" s="355"/>
      <c r="L27" s="355"/>
      <c r="M27" s="359"/>
      <c r="N27">
        <f t="shared" si="0"/>
        <v>0</v>
      </c>
    </row>
    <row r="28" spans="1:16" ht="30" customHeight="1" thickBot="1" x14ac:dyDescent="0.35">
      <c r="A28" s="20">
        <v>24</v>
      </c>
      <c r="B28" s="394"/>
      <c r="C28" s="82"/>
      <c r="D28" s="147"/>
      <c r="E28" s="152"/>
      <c r="F28" s="154">
        <v>-6.1680000000000001</v>
      </c>
      <c r="G28" s="154">
        <v>14.782400000000001</v>
      </c>
      <c r="H28" s="154">
        <v>-4.8650000000000002</v>
      </c>
      <c r="I28" s="154">
        <v>14.7799</v>
      </c>
      <c r="J28" s="276"/>
      <c r="K28" s="355"/>
      <c r="L28" s="356"/>
      <c r="M28" s="360"/>
      <c r="N28">
        <f t="shared" si="0"/>
        <v>0</v>
      </c>
      <c r="O28" s="220">
        <f>SUM(F8,F13,F14,F15,F16,F19,F20,F21,F22,F23,F24)/11</f>
        <v>-5.9097272727272721</v>
      </c>
      <c r="P28">
        <f>SUM(H8,H13,H14,H15,H16,H19,H19,H20,H21,H22,H23,H24)/11</f>
        <v>-4.6131818181818183</v>
      </c>
    </row>
    <row r="29" spans="1:16" ht="30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25" t="s">
        <v>725</v>
      </c>
      <c r="G29" s="325"/>
      <c r="H29" s="325"/>
      <c r="I29" s="325"/>
      <c r="J29" s="325"/>
      <c r="K29" s="407" t="s">
        <v>10</v>
      </c>
      <c r="L29" s="408" t="s">
        <v>32</v>
      </c>
      <c r="M29" s="405" t="s">
        <v>33</v>
      </c>
      <c r="N29">
        <f t="shared" si="0"/>
        <v>0</v>
      </c>
    </row>
    <row r="30" spans="1:16" ht="30.95" customHeight="1" x14ac:dyDescent="0.3">
      <c r="A30" s="406" t="s">
        <v>9</v>
      </c>
      <c r="B30" s="337"/>
      <c r="C30" s="337"/>
      <c r="D30" s="368" t="s">
        <v>149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27"/>
      <c r="N30">
        <f t="shared" si="0"/>
        <v>0</v>
      </c>
    </row>
    <row r="31" spans="1:16" ht="30.95" customHeight="1" x14ac:dyDescent="0.3">
      <c r="A31" s="406"/>
      <c r="B31" s="337"/>
      <c r="C31" s="337"/>
      <c r="D31" s="368"/>
      <c r="E31" s="337"/>
      <c r="F31" s="201" t="s">
        <v>638</v>
      </c>
      <c r="G31" s="214">
        <f>전송손실!M9</f>
        <v>-14.197987999999999</v>
      </c>
      <c r="H31" s="201" t="s">
        <v>638</v>
      </c>
      <c r="I31" s="214">
        <f>전송손실!M35</f>
        <v>-9.3243259999999992</v>
      </c>
      <c r="J31" s="369"/>
      <c r="K31" s="332"/>
      <c r="L31" s="332"/>
      <c r="M31" s="327"/>
    </row>
    <row r="32" spans="1:16" ht="30.95" customHeight="1" thickBot="1" x14ac:dyDescent="0.35">
      <c r="A32" s="215" t="s">
        <v>0</v>
      </c>
      <c r="B32" s="203" t="s">
        <v>1</v>
      </c>
      <c r="C32" s="203" t="s">
        <v>23</v>
      </c>
      <c r="D32" s="203" t="s">
        <v>2</v>
      </c>
      <c r="E32" s="203" t="s">
        <v>3</v>
      </c>
      <c r="F32" s="203" t="s">
        <v>4</v>
      </c>
      <c r="G32" s="203" t="s">
        <v>506</v>
      </c>
      <c r="H32" s="203" t="s">
        <v>4</v>
      </c>
      <c r="I32" s="203" t="s">
        <v>506</v>
      </c>
      <c r="J32" s="370"/>
      <c r="K32" s="367"/>
      <c r="L32" s="367"/>
      <c r="M32" s="328"/>
      <c r="N32">
        <f t="shared" si="0"/>
        <v>1</v>
      </c>
    </row>
    <row r="33" spans="1:16" ht="30.95" customHeight="1" x14ac:dyDescent="0.3">
      <c r="A33" s="64">
        <v>1</v>
      </c>
      <c r="B33" s="386" t="s">
        <v>170</v>
      </c>
      <c r="C33" s="62" t="s">
        <v>356</v>
      </c>
      <c r="D33" s="17" t="s">
        <v>173</v>
      </c>
      <c r="E33" s="62"/>
      <c r="F33" s="123"/>
      <c r="G33" s="123"/>
      <c r="H33" s="123"/>
      <c r="I33" s="123"/>
      <c r="J33" s="124"/>
      <c r="K33" s="410" t="s">
        <v>457</v>
      </c>
      <c r="L33" s="354"/>
      <c r="M33" s="358"/>
      <c r="N33">
        <f t="shared" si="0"/>
        <v>1</v>
      </c>
    </row>
    <row r="34" spans="1:16" ht="30.95" customHeight="1" x14ac:dyDescent="0.3">
      <c r="A34" s="18">
        <v>2</v>
      </c>
      <c r="B34" s="338"/>
      <c r="C34" s="46" t="s">
        <v>356</v>
      </c>
      <c r="D34" s="12" t="s">
        <v>174</v>
      </c>
      <c r="E34" s="46"/>
      <c r="F34" s="116"/>
      <c r="G34" s="116"/>
      <c r="H34" s="116"/>
      <c r="I34" s="116"/>
      <c r="J34" s="122"/>
      <c r="K34" s="378"/>
      <c r="L34" s="355"/>
      <c r="M34" s="359"/>
      <c r="N34">
        <f t="shared" si="0"/>
        <v>1</v>
      </c>
    </row>
    <row r="35" spans="1:16" ht="30.95" customHeight="1" x14ac:dyDescent="0.3">
      <c r="A35" s="18">
        <v>3</v>
      </c>
      <c r="B35" s="338"/>
      <c r="C35" s="76"/>
      <c r="D35" s="77"/>
      <c r="E35" s="76"/>
      <c r="F35" s="118">
        <v>-12.721</v>
      </c>
      <c r="G35" s="118">
        <v>31.383600000000001</v>
      </c>
      <c r="H35" s="118">
        <v>-9.33</v>
      </c>
      <c r="I35" s="118">
        <v>31.3856</v>
      </c>
      <c r="J35" s="118"/>
      <c r="K35" s="378"/>
      <c r="L35" s="355"/>
      <c r="M35" s="359"/>
      <c r="N35">
        <f t="shared" si="0"/>
        <v>0</v>
      </c>
    </row>
    <row r="36" spans="1:16" ht="30.95" customHeight="1" x14ac:dyDescent="0.3">
      <c r="A36" s="18">
        <v>4</v>
      </c>
      <c r="B36" s="338"/>
      <c r="C36" s="76"/>
      <c r="D36" s="77"/>
      <c r="E36" s="76"/>
      <c r="F36" s="118">
        <v>-12.294</v>
      </c>
      <c r="G36" s="118">
        <v>31.382999999999999</v>
      </c>
      <c r="H36" s="118">
        <v>-8.6020000000000003</v>
      </c>
      <c r="I36" s="118">
        <v>31.378900000000002</v>
      </c>
      <c r="J36" s="118"/>
      <c r="K36" s="378"/>
      <c r="L36" s="355"/>
      <c r="M36" s="359"/>
      <c r="N36">
        <f t="shared" si="0"/>
        <v>0</v>
      </c>
    </row>
    <row r="37" spans="1:16" ht="30.95" customHeight="1" x14ac:dyDescent="0.3">
      <c r="A37" s="18">
        <v>5</v>
      </c>
      <c r="B37" s="338"/>
      <c r="C37" s="46" t="s">
        <v>356</v>
      </c>
      <c r="D37" s="12" t="s">
        <v>175</v>
      </c>
      <c r="E37" s="46"/>
      <c r="F37" s="116"/>
      <c r="G37" s="116"/>
      <c r="H37" s="116"/>
      <c r="I37" s="116"/>
      <c r="J37" s="122"/>
      <c r="K37" s="378"/>
      <c r="L37" s="355"/>
      <c r="M37" s="359"/>
      <c r="N37">
        <f t="shared" si="0"/>
        <v>1</v>
      </c>
    </row>
    <row r="38" spans="1:16" ht="30.95" customHeight="1" x14ac:dyDescent="0.3">
      <c r="A38" s="18">
        <v>6</v>
      </c>
      <c r="B38" s="338"/>
      <c r="C38" s="46" t="s">
        <v>356</v>
      </c>
      <c r="D38" s="12" t="s">
        <v>176</v>
      </c>
      <c r="E38" s="46"/>
      <c r="F38" s="116"/>
      <c r="G38" s="116"/>
      <c r="H38" s="116"/>
      <c r="I38" s="116"/>
      <c r="J38" s="122"/>
      <c r="K38" s="378"/>
      <c r="L38" s="355"/>
      <c r="M38" s="359"/>
      <c r="N38">
        <f t="shared" si="0"/>
        <v>1</v>
      </c>
    </row>
    <row r="39" spans="1:16" ht="30.95" customHeight="1" x14ac:dyDescent="0.3">
      <c r="A39" s="18">
        <v>7</v>
      </c>
      <c r="B39" s="338"/>
      <c r="C39" s="76"/>
      <c r="D39" s="77"/>
      <c r="E39" s="76"/>
      <c r="F39" s="118">
        <v>-13.221</v>
      </c>
      <c r="G39" s="118">
        <v>31.379100000000001</v>
      </c>
      <c r="H39" s="118">
        <v>-9.6649999999999991</v>
      </c>
      <c r="I39" s="118">
        <v>31.376899999999999</v>
      </c>
      <c r="J39" s="118"/>
      <c r="K39" s="378"/>
      <c r="L39" s="355"/>
      <c r="M39" s="359"/>
      <c r="N39">
        <f t="shared" si="0"/>
        <v>0</v>
      </c>
    </row>
    <row r="40" spans="1:16" ht="30.95" customHeight="1" x14ac:dyDescent="0.3">
      <c r="A40" s="18">
        <v>8</v>
      </c>
      <c r="B40" s="338"/>
      <c r="C40" s="76"/>
      <c r="D40" s="77"/>
      <c r="E40" s="76"/>
      <c r="F40" s="118">
        <v>-12.395</v>
      </c>
      <c r="G40" s="118">
        <v>31.380400000000002</v>
      </c>
      <c r="H40" s="118">
        <v>-8.0139999999999993</v>
      </c>
      <c r="I40" s="118">
        <v>31.380400000000002</v>
      </c>
      <c r="J40" s="118"/>
      <c r="K40" s="378"/>
      <c r="L40" s="355"/>
      <c r="M40" s="359"/>
      <c r="N40">
        <f t="shared" si="0"/>
        <v>0</v>
      </c>
    </row>
    <row r="41" spans="1:16" ht="30.95" customHeight="1" x14ac:dyDescent="0.3">
      <c r="A41" s="18">
        <v>9</v>
      </c>
      <c r="B41" s="338"/>
      <c r="C41" s="76"/>
      <c r="D41" s="77"/>
      <c r="E41" s="76"/>
      <c r="F41" s="118">
        <v>-12.095000000000001</v>
      </c>
      <c r="G41" s="118">
        <v>31.379100000000001</v>
      </c>
      <c r="H41" s="118">
        <v>-8.4649999999999999</v>
      </c>
      <c r="I41" s="118">
        <v>31.378900000000002</v>
      </c>
      <c r="J41" s="118"/>
      <c r="K41" s="378"/>
      <c r="L41" s="355"/>
      <c r="M41" s="359"/>
      <c r="N41">
        <f t="shared" si="0"/>
        <v>0</v>
      </c>
    </row>
    <row r="42" spans="1:16" ht="30.95" customHeight="1" x14ac:dyDescent="0.3">
      <c r="A42" s="18">
        <v>10</v>
      </c>
      <c r="B42" s="338"/>
      <c r="C42" s="76"/>
      <c r="D42" s="77"/>
      <c r="E42" s="76"/>
      <c r="F42" s="118">
        <v>-12.260999999999999</v>
      </c>
      <c r="G42" s="118">
        <v>31.39</v>
      </c>
      <c r="H42" s="118">
        <v>-8.6</v>
      </c>
      <c r="I42" s="118">
        <v>31.383299999999998</v>
      </c>
      <c r="J42" s="118"/>
      <c r="K42" s="378"/>
      <c r="L42" s="355"/>
      <c r="M42" s="359"/>
      <c r="N42">
        <f t="shared" si="0"/>
        <v>0</v>
      </c>
    </row>
    <row r="43" spans="1:16" ht="30.95" customHeight="1" x14ac:dyDescent="0.3">
      <c r="A43" s="18">
        <v>11</v>
      </c>
      <c r="B43" s="338"/>
      <c r="C43" s="76"/>
      <c r="D43" s="77"/>
      <c r="E43" s="76"/>
      <c r="F43" s="118">
        <v>-12.262</v>
      </c>
      <c r="G43" s="118">
        <v>31.3826</v>
      </c>
      <c r="H43" s="118">
        <v>-8.2550000000000008</v>
      </c>
      <c r="I43" s="118">
        <v>31.381699999999999</v>
      </c>
      <c r="J43" s="118"/>
      <c r="K43" s="378"/>
      <c r="L43" s="355"/>
      <c r="M43" s="359"/>
      <c r="N43">
        <f t="shared" si="0"/>
        <v>0</v>
      </c>
    </row>
    <row r="44" spans="1:16" ht="30.95" customHeight="1" thickBot="1" x14ac:dyDescent="0.35">
      <c r="A44" s="20">
        <v>12</v>
      </c>
      <c r="B44" s="385"/>
      <c r="C44" s="152"/>
      <c r="D44" s="153"/>
      <c r="E44" s="152"/>
      <c r="F44" s="154">
        <v>-12.176</v>
      </c>
      <c r="G44" s="154">
        <v>31.385200000000001</v>
      </c>
      <c r="H44" s="154">
        <v>-8.8670000000000009</v>
      </c>
      <c r="I44" s="154">
        <v>31.382000000000001</v>
      </c>
      <c r="J44" s="118"/>
      <c r="K44" s="378"/>
      <c r="L44" s="355"/>
      <c r="M44" s="360"/>
      <c r="N44">
        <f t="shared" si="0"/>
        <v>0</v>
      </c>
      <c r="O44">
        <f>SUM(F35,F36,F39,F40,F41,F42,F43,F44)/8</f>
        <v>-12.428125</v>
      </c>
      <c r="P44" s="220">
        <f>SUM(H35,H36,H39,H40,H41,H42,H43,H44)/8</f>
        <v>-8.724750000000002</v>
      </c>
    </row>
    <row r="45" spans="1:16" ht="30.95" customHeight="1" x14ac:dyDescent="0.3">
      <c r="A45" s="374" t="s">
        <v>8</v>
      </c>
      <c r="B45" s="325"/>
      <c r="C45" s="325"/>
      <c r="D45" s="110" t="s">
        <v>11</v>
      </c>
      <c r="E45" s="110" t="s">
        <v>12</v>
      </c>
      <c r="F45" s="325" t="s">
        <v>725</v>
      </c>
      <c r="G45" s="325"/>
      <c r="H45" s="325"/>
      <c r="I45" s="325"/>
      <c r="J45" s="325"/>
      <c r="K45" s="407" t="s">
        <v>10</v>
      </c>
      <c r="L45" s="408" t="s">
        <v>32</v>
      </c>
      <c r="M45" s="405" t="s">
        <v>33</v>
      </c>
    </row>
    <row r="46" spans="1:16" ht="30.95" customHeight="1" x14ac:dyDescent="0.3">
      <c r="A46" s="406" t="s">
        <v>9</v>
      </c>
      <c r="B46" s="337"/>
      <c r="C46" s="337"/>
      <c r="D46" s="368" t="s">
        <v>149</v>
      </c>
      <c r="E46" s="337" t="s">
        <v>687</v>
      </c>
      <c r="F46" s="349" t="s">
        <v>5</v>
      </c>
      <c r="G46" s="349"/>
      <c r="H46" s="349" t="s">
        <v>7</v>
      </c>
      <c r="I46" s="349"/>
      <c r="J46" s="369" t="s">
        <v>628</v>
      </c>
      <c r="K46" s="332"/>
      <c r="L46" s="332"/>
      <c r="M46" s="327"/>
    </row>
    <row r="47" spans="1:16" ht="30.95" customHeight="1" x14ac:dyDescent="0.3">
      <c r="A47" s="406"/>
      <c r="B47" s="337"/>
      <c r="C47" s="337"/>
      <c r="D47" s="368"/>
      <c r="E47" s="337"/>
      <c r="F47" s="201" t="s">
        <v>638</v>
      </c>
      <c r="G47" s="214" t="str">
        <f>전송손실!M7</f>
        <v>미측정</v>
      </c>
      <c r="H47" s="201" t="s">
        <v>638</v>
      </c>
      <c r="I47" s="214" t="str">
        <f>전송손실!M33</f>
        <v>미측정</v>
      </c>
      <c r="J47" s="369"/>
      <c r="K47" s="332"/>
      <c r="L47" s="332"/>
      <c r="M47" s="327"/>
    </row>
    <row r="48" spans="1:16" ht="30.95" customHeight="1" thickBot="1" x14ac:dyDescent="0.35">
      <c r="A48" s="215" t="s">
        <v>0</v>
      </c>
      <c r="B48" s="203" t="s">
        <v>1</v>
      </c>
      <c r="C48" s="203" t="s">
        <v>23</v>
      </c>
      <c r="D48" s="203" t="s">
        <v>2</v>
      </c>
      <c r="E48" s="203" t="s">
        <v>3</v>
      </c>
      <c r="F48" s="203" t="s">
        <v>4</v>
      </c>
      <c r="G48" s="203" t="s">
        <v>506</v>
      </c>
      <c r="H48" s="203" t="s">
        <v>4</v>
      </c>
      <c r="I48" s="203" t="s">
        <v>506</v>
      </c>
      <c r="J48" s="370"/>
      <c r="K48" s="367"/>
      <c r="L48" s="367"/>
      <c r="M48" s="328"/>
    </row>
    <row r="49" spans="1:14" ht="30.95" customHeight="1" x14ac:dyDescent="0.3">
      <c r="A49" s="18">
        <v>13</v>
      </c>
      <c r="B49" s="338" t="s">
        <v>183</v>
      </c>
      <c r="C49" s="130" t="s">
        <v>25</v>
      </c>
      <c r="D49" s="12" t="s">
        <v>704</v>
      </c>
      <c r="E49" s="46"/>
      <c r="F49" s="116"/>
      <c r="G49" s="116"/>
      <c r="H49" s="116"/>
      <c r="I49" s="116"/>
      <c r="J49" s="122"/>
      <c r="K49" s="404" t="s">
        <v>457</v>
      </c>
      <c r="L49" s="354"/>
      <c r="M49" s="358"/>
      <c r="N49">
        <f t="shared" si="0"/>
        <v>1</v>
      </c>
    </row>
    <row r="50" spans="1:14" s="11" customFormat="1" ht="30.95" customHeight="1" x14ac:dyDescent="0.3">
      <c r="A50" s="18">
        <v>14</v>
      </c>
      <c r="B50" s="338"/>
      <c r="C50" s="46" t="s">
        <v>25</v>
      </c>
      <c r="D50" s="12" t="s">
        <v>705</v>
      </c>
      <c r="E50" s="46"/>
      <c r="F50" s="116"/>
      <c r="G50" s="116"/>
      <c r="H50" s="116"/>
      <c r="I50" s="116"/>
      <c r="J50" s="122"/>
      <c r="K50" s="378"/>
      <c r="L50" s="355"/>
      <c r="M50" s="359"/>
      <c r="N50">
        <f t="shared" si="0"/>
        <v>1</v>
      </c>
    </row>
    <row r="51" spans="1:14" s="11" customFormat="1" ht="30.95" customHeight="1" x14ac:dyDescent="0.3">
      <c r="A51" s="18">
        <v>15</v>
      </c>
      <c r="B51" s="338"/>
      <c r="C51" s="46" t="s">
        <v>26</v>
      </c>
      <c r="D51" s="12" t="s">
        <v>706</v>
      </c>
      <c r="E51" s="46"/>
      <c r="F51" s="116"/>
      <c r="G51" s="116"/>
      <c r="H51" s="116"/>
      <c r="I51" s="116"/>
      <c r="J51" s="122"/>
      <c r="K51" s="378"/>
      <c r="L51" s="355"/>
      <c r="M51" s="359"/>
      <c r="N51">
        <f t="shared" si="0"/>
        <v>1</v>
      </c>
    </row>
    <row r="52" spans="1:14" s="11" customFormat="1" ht="30.95" customHeight="1" x14ac:dyDescent="0.3">
      <c r="A52" s="18">
        <v>16</v>
      </c>
      <c r="B52" s="338"/>
      <c r="C52" s="46" t="s">
        <v>358</v>
      </c>
      <c r="D52" s="12" t="s">
        <v>156</v>
      </c>
      <c r="E52" s="46"/>
      <c r="F52" s="116"/>
      <c r="G52" s="116"/>
      <c r="H52" s="116"/>
      <c r="I52" s="116"/>
      <c r="J52" s="122"/>
      <c r="K52" s="378"/>
      <c r="L52" s="355"/>
      <c r="M52" s="359"/>
      <c r="N52">
        <f t="shared" si="0"/>
        <v>1</v>
      </c>
    </row>
    <row r="53" spans="1:14" s="11" customFormat="1" ht="30.95" customHeight="1" x14ac:dyDescent="0.3">
      <c r="A53" s="18">
        <v>17</v>
      </c>
      <c r="B53" s="338"/>
      <c r="C53" s="46" t="s">
        <v>26</v>
      </c>
      <c r="D53" s="12" t="s">
        <v>707</v>
      </c>
      <c r="E53" s="46"/>
      <c r="F53" s="116"/>
      <c r="G53" s="116"/>
      <c r="H53" s="116"/>
      <c r="I53" s="116"/>
      <c r="J53" s="122"/>
      <c r="K53" s="378"/>
      <c r="L53" s="355"/>
      <c r="M53" s="359"/>
      <c r="N53">
        <f t="shared" si="0"/>
        <v>1</v>
      </c>
    </row>
    <row r="54" spans="1:14" s="11" customFormat="1" ht="30.95" customHeight="1" x14ac:dyDescent="0.3">
      <c r="A54" s="18">
        <v>18</v>
      </c>
      <c r="B54" s="338"/>
      <c r="C54" s="46" t="s">
        <v>358</v>
      </c>
      <c r="D54" s="12" t="s">
        <v>156</v>
      </c>
      <c r="E54" s="46"/>
      <c r="F54" s="116"/>
      <c r="G54" s="116"/>
      <c r="H54" s="116"/>
      <c r="I54" s="116"/>
      <c r="J54" s="122"/>
      <c r="K54" s="378"/>
      <c r="L54" s="355"/>
      <c r="M54" s="359"/>
      <c r="N54">
        <f t="shared" si="0"/>
        <v>1</v>
      </c>
    </row>
    <row r="55" spans="1:14" s="11" customFormat="1" ht="30.95" customHeight="1" x14ac:dyDescent="0.3">
      <c r="A55" s="18">
        <v>19</v>
      </c>
      <c r="B55" s="338"/>
      <c r="C55" s="46" t="s">
        <v>357</v>
      </c>
      <c r="D55" s="12" t="s">
        <v>168</v>
      </c>
      <c r="E55" s="46"/>
      <c r="F55" s="116"/>
      <c r="G55" s="116"/>
      <c r="H55" s="116"/>
      <c r="I55" s="116"/>
      <c r="J55" s="122"/>
      <c r="K55" s="378"/>
      <c r="L55" s="355"/>
      <c r="M55" s="359"/>
      <c r="N55">
        <f t="shared" si="0"/>
        <v>1</v>
      </c>
    </row>
    <row r="56" spans="1:14" s="11" customFormat="1" ht="30.95" customHeight="1" x14ac:dyDescent="0.3">
      <c r="A56" s="18">
        <v>20</v>
      </c>
      <c r="B56" s="338"/>
      <c r="C56" s="46" t="s">
        <v>357</v>
      </c>
      <c r="D56" s="12" t="s">
        <v>169</v>
      </c>
      <c r="E56" s="46"/>
      <c r="F56" s="116"/>
      <c r="G56" s="116"/>
      <c r="H56" s="116"/>
      <c r="I56" s="116"/>
      <c r="J56" s="122"/>
      <c r="K56" s="378"/>
      <c r="L56" s="355"/>
      <c r="M56" s="359"/>
      <c r="N56">
        <f t="shared" si="0"/>
        <v>1</v>
      </c>
    </row>
    <row r="57" spans="1:14" s="11" customFormat="1" ht="30.95" customHeight="1" x14ac:dyDescent="0.3">
      <c r="A57" s="18">
        <v>21</v>
      </c>
      <c r="B57" s="338"/>
      <c r="C57" s="76"/>
      <c r="D57" s="77"/>
      <c r="E57" s="76"/>
      <c r="F57" s="118">
        <v>-12.855</v>
      </c>
      <c r="G57" s="118">
        <v>34.303899999999999</v>
      </c>
      <c r="H57" s="118">
        <v>-8.8680000000000003</v>
      </c>
      <c r="I57" s="118">
        <v>34.300800000000002</v>
      </c>
      <c r="J57" s="274"/>
      <c r="K57" s="378"/>
      <c r="L57" s="355"/>
      <c r="M57" s="359"/>
      <c r="N57">
        <f t="shared" si="0"/>
        <v>0</v>
      </c>
    </row>
    <row r="58" spans="1:14" s="11" customFormat="1" ht="30.95" customHeight="1" x14ac:dyDescent="0.3">
      <c r="A58" s="18">
        <v>22</v>
      </c>
      <c r="B58" s="338"/>
      <c r="C58" s="76"/>
      <c r="D58" s="77"/>
      <c r="E58" s="76"/>
      <c r="F58" s="118">
        <v>-12.577999999999999</v>
      </c>
      <c r="G58" s="118">
        <v>34.307099999999998</v>
      </c>
      <c r="H58" s="118">
        <v>-8.4209999999999994</v>
      </c>
      <c r="I58" s="118">
        <v>34.302999999999997</v>
      </c>
      <c r="J58" s="274"/>
      <c r="K58" s="378"/>
      <c r="L58" s="355"/>
      <c r="M58" s="359"/>
      <c r="N58">
        <f t="shared" si="0"/>
        <v>0</v>
      </c>
    </row>
    <row r="59" spans="1:14" s="11" customFormat="1" ht="30.95" customHeight="1" x14ac:dyDescent="0.3">
      <c r="A59" s="18">
        <v>23</v>
      </c>
      <c r="B59" s="338"/>
      <c r="C59" s="99" t="s">
        <v>63</v>
      </c>
      <c r="D59" s="12" t="s">
        <v>514</v>
      </c>
      <c r="E59" s="46"/>
      <c r="F59" s="116"/>
      <c r="G59" s="116"/>
      <c r="H59" s="116"/>
      <c r="I59" s="116"/>
      <c r="J59" s="122"/>
      <c r="K59" s="378"/>
      <c r="L59" s="355"/>
      <c r="M59" s="359"/>
      <c r="N59">
        <f t="shared" si="0"/>
        <v>1</v>
      </c>
    </row>
    <row r="60" spans="1:14" s="11" customFormat="1" ht="30.95" customHeight="1" thickBot="1" x14ac:dyDescent="0.35">
      <c r="A60" s="21">
        <v>24</v>
      </c>
      <c r="B60" s="339"/>
      <c r="C60" s="99" t="s">
        <v>63</v>
      </c>
      <c r="D60" s="12" t="s">
        <v>515</v>
      </c>
      <c r="E60" s="47"/>
      <c r="F60" s="128"/>
      <c r="G60" s="128"/>
      <c r="H60" s="128"/>
      <c r="I60" s="128"/>
      <c r="J60" s="129"/>
      <c r="K60" s="379"/>
      <c r="L60" s="356"/>
      <c r="M60" s="360"/>
      <c r="N60">
        <f t="shared" si="0"/>
        <v>1</v>
      </c>
    </row>
    <row r="61" spans="1:14" s="11" customFormat="1" ht="30.95" customHeight="1" x14ac:dyDescent="0.3">
      <c r="A61" s="64">
        <v>1</v>
      </c>
      <c r="B61" s="344" t="s">
        <v>184</v>
      </c>
      <c r="C61" s="48"/>
      <c r="D61" s="17" t="s">
        <v>395</v>
      </c>
      <c r="E61" s="48"/>
      <c r="F61" s="49"/>
      <c r="G61" s="49"/>
      <c r="H61" s="49"/>
      <c r="I61" s="49"/>
      <c r="J61" s="65"/>
      <c r="K61" s="357"/>
      <c r="L61" s="357"/>
      <c r="M61" s="358"/>
      <c r="N61"/>
    </row>
    <row r="62" spans="1:14" s="11" customFormat="1" ht="30.95" customHeight="1" x14ac:dyDescent="0.3">
      <c r="A62" s="18">
        <v>2</v>
      </c>
      <c r="B62" s="346"/>
      <c r="C62" s="35"/>
      <c r="D62" s="12" t="s">
        <v>395</v>
      </c>
      <c r="E62" s="35"/>
      <c r="F62" s="43"/>
      <c r="G62" s="43"/>
      <c r="H62" s="43"/>
      <c r="I62" s="43"/>
      <c r="J62" s="51"/>
      <c r="K62" s="355"/>
      <c r="L62" s="355"/>
      <c r="M62" s="359"/>
      <c r="N62"/>
    </row>
    <row r="63" spans="1:14" s="11" customFormat="1" ht="30.95" customHeight="1" x14ac:dyDescent="0.3">
      <c r="A63" s="18">
        <v>3</v>
      </c>
      <c r="B63" s="346"/>
      <c r="C63" s="35"/>
      <c r="D63" s="12" t="s">
        <v>395</v>
      </c>
      <c r="E63" s="35"/>
      <c r="F63" s="43"/>
      <c r="G63" s="43"/>
      <c r="H63" s="43"/>
      <c r="I63" s="43"/>
      <c r="J63" s="51"/>
      <c r="K63" s="355"/>
      <c r="L63" s="355"/>
      <c r="M63" s="359"/>
      <c r="N63"/>
    </row>
    <row r="64" spans="1:14" s="11" customFormat="1" ht="30.95" customHeight="1" x14ac:dyDescent="0.3">
      <c r="A64" s="18">
        <v>4</v>
      </c>
      <c r="B64" s="346"/>
      <c r="C64" s="35"/>
      <c r="D64" s="12" t="s">
        <v>395</v>
      </c>
      <c r="E64" s="35"/>
      <c r="F64" s="43"/>
      <c r="G64" s="43"/>
      <c r="H64" s="43"/>
      <c r="I64" s="43"/>
      <c r="J64" s="51"/>
      <c r="K64" s="355"/>
      <c r="L64" s="355"/>
      <c r="M64" s="359"/>
      <c r="N64"/>
    </row>
    <row r="65" spans="1:14" s="11" customFormat="1" ht="30.95" customHeight="1" x14ac:dyDescent="0.3">
      <c r="A65" s="18">
        <v>5</v>
      </c>
      <c r="B65" s="346"/>
      <c r="C65" s="35"/>
      <c r="D65" s="12" t="s">
        <v>395</v>
      </c>
      <c r="E65" s="35"/>
      <c r="F65" s="43"/>
      <c r="G65" s="43"/>
      <c r="H65" s="43"/>
      <c r="I65" s="43"/>
      <c r="J65" s="51"/>
      <c r="K65" s="355"/>
      <c r="L65" s="355"/>
      <c r="M65" s="359"/>
      <c r="N65"/>
    </row>
    <row r="66" spans="1:14" s="11" customFormat="1" ht="30.95" customHeight="1" x14ac:dyDescent="0.3">
      <c r="A66" s="18">
        <v>6</v>
      </c>
      <c r="B66" s="346"/>
      <c r="C66" s="35"/>
      <c r="D66" s="12" t="s">
        <v>395</v>
      </c>
      <c r="E66" s="35"/>
      <c r="F66" s="43"/>
      <c r="G66" s="43"/>
      <c r="H66" s="43"/>
      <c r="I66" s="43"/>
      <c r="J66" s="51"/>
      <c r="K66" s="355"/>
      <c r="L66" s="355"/>
      <c r="M66" s="359"/>
      <c r="N66"/>
    </row>
    <row r="67" spans="1:14" s="11" customFormat="1" ht="30.95" customHeight="1" x14ac:dyDescent="0.3">
      <c r="A67" s="18">
        <v>7</v>
      </c>
      <c r="B67" s="346"/>
      <c r="C67" s="35"/>
      <c r="D67" s="12" t="s">
        <v>395</v>
      </c>
      <c r="E67" s="35"/>
      <c r="F67" s="43"/>
      <c r="G67" s="43"/>
      <c r="H67" s="43"/>
      <c r="I67" s="43"/>
      <c r="J67" s="51"/>
      <c r="K67" s="355"/>
      <c r="L67" s="355"/>
      <c r="M67" s="359"/>
      <c r="N67"/>
    </row>
    <row r="68" spans="1:14" s="11" customFormat="1" ht="30.95" customHeight="1" x14ac:dyDescent="0.3">
      <c r="A68" s="18">
        <v>8</v>
      </c>
      <c r="B68" s="346"/>
      <c r="C68" s="35"/>
      <c r="D68" s="12" t="s">
        <v>395</v>
      </c>
      <c r="E68" s="35"/>
      <c r="F68" s="43"/>
      <c r="G68" s="43"/>
      <c r="H68" s="43"/>
      <c r="I68" s="43"/>
      <c r="J68" s="51"/>
      <c r="K68" s="355"/>
      <c r="L68" s="355"/>
      <c r="M68" s="359"/>
      <c r="N68"/>
    </row>
    <row r="69" spans="1:14" s="11" customFormat="1" ht="30.95" customHeight="1" x14ac:dyDescent="0.3">
      <c r="A69" s="18">
        <v>9</v>
      </c>
      <c r="B69" s="346"/>
      <c r="C69" s="35"/>
      <c r="D69" s="12" t="s">
        <v>395</v>
      </c>
      <c r="E69" s="35"/>
      <c r="F69" s="43"/>
      <c r="G69" s="43"/>
      <c r="H69" s="43"/>
      <c r="I69" s="43"/>
      <c r="J69" s="51"/>
      <c r="K69" s="355"/>
      <c r="L69" s="355"/>
      <c r="M69" s="359"/>
      <c r="N69"/>
    </row>
    <row r="70" spans="1:14" s="11" customFormat="1" ht="30.95" customHeight="1" x14ac:dyDescent="0.3">
      <c r="A70" s="18">
        <v>10</v>
      </c>
      <c r="B70" s="346"/>
      <c r="C70" s="35"/>
      <c r="D70" s="12" t="s">
        <v>395</v>
      </c>
      <c r="E70" s="35"/>
      <c r="F70" s="43"/>
      <c r="G70" s="43"/>
      <c r="H70" s="43"/>
      <c r="I70" s="43"/>
      <c r="J70" s="51"/>
      <c r="K70" s="355"/>
      <c r="L70" s="355"/>
      <c r="M70" s="359"/>
      <c r="N70"/>
    </row>
    <row r="71" spans="1:14" s="11" customFormat="1" ht="30.95" customHeight="1" x14ac:dyDescent="0.3">
      <c r="A71" s="18">
        <v>11</v>
      </c>
      <c r="B71" s="346"/>
      <c r="C71" s="35" t="s">
        <v>357</v>
      </c>
      <c r="D71" s="12" t="s">
        <v>397</v>
      </c>
      <c r="E71" s="35"/>
      <c r="F71" s="43"/>
      <c r="G71" s="43"/>
      <c r="H71" s="43"/>
      <c r="I71" s="43"/>
      <c r="J71" s="51"/>
      <c r="K71" s="355"/>
      <c r="L71" s="355"/>
      <c r="M71" s="359"/>
      <c r="N71"/>
    </row>
    <row r="72" spans="1:14" s="11" customFormat="1" ht="30.95" customHeight="1" x14ac:dyDescent="0.3">
      <c r="A72" s="18">
        <v>12</v>
      </c>
      <c r="B72" s="346"/>
      <c r="C72" s="35" t="s">
        <v>357</v>
      </c>
      <c r="D72" s="12" t="s">
        <v>397</v>
      </c>
      <c r="E72" s="35"/>
      <c r="F72" s="43"/>
      <c r="G72" s="43"/>
      <c r="H72" s="43"/>
      <c r="I72" s="43"/>
      <c r="J72" s="51"/>
      <c r="K72" s="355"/>
      <c r="L72" s="355"/>
      <c r="M72" s="359"/>
      <c r="N72"/>
    </row>
    <row r="73" spans="1:14" s="11" customFormat="1" ht="30.95" customHeight="1" x14ac:dyDescent="0.3">
      <c r="A73" s="18">
        <v>13</v>
      </c>
      <c r="B73" s="346"/>
      <c r="C73" s="35" t="s">
        <v>399</v>
      </c>
      <c r="D73" s="12" t="s">
        <v>398</v>
      </c>
      <c r="E73" s="35"/>
      <c r="F73" s="43"/>
      <c r="G73" s="43"/>
      <c r="H73" s="43"/>
      <c r="I73" s="43"/>
      <c r="J73" s="51"/>
      <c r="K73" s="355"/>
      <c r="L73" s="355"/>
      <c r="M73" s="359"/>
      <c r="N73"/>
    </row>
    <row r="74" spans="1:14" s="11" customFormat="1" ht="30.95" customHeight="1" x14ac:dyDescent="0.3">
      <c r="A74" s="18">
        <v>14</v>
      </c>
      <c r="B74" s="346"/>
      <c r="C74" s="42" t="s">
        <v>399</v>
      </c>
      <c r="D74" s="12" t="s">
        <v>398</v>
      </c>
      <c r="E74" s="35"/>
      <c r="F74" s="43"/>
      <c r="G74" s="43"/>
      <c r="H74" s="43"/>
      <c r="I74" s="43"/>
      <c r="J74" s="51"/>
      <c r="K74" s="355"/>
      <c r="L74" s="355"/>
      <c r="M74" s="359"/>
      <c r="N74"/>
    </row>
    <row r="75" spans="1:14" s="11" customFormat="1" ht="30.95" customHeight="1" x14ac:dyDescent="0.3">
      <c r="A75" s="18">
        <v>15</v>
      </c>
      <c r="B75" s="346"/>
      <c r="C75" s="35"/>
      <c r="D75" s="12" t="s">
        <v>395</v>
      </c>
      <c r="E75" s="35"/>
      <c r="F75" s="43"/>
      <c r="G75" s="43"/>
      <c r="H75" s="43"/>
      <c r="I75" s="43"/>
      <c r="J75" s="51"/>
      <c r="K75" s="355"/>
      <c r="L75" s="355"/>
      <c r="M75" s="359"/>
      <c r="N75"/>
    </row>
    <row r="76" spans="1:14" s="11" customFormat="1" ht="30.95" customHeight="1" x14ac:dyDescent="0.3">
      <c r="A76" s="18">
        <v>16</v>
      </c>
      <c r="B76" s="346"/>
      <c r="C76" s="35"/>
      <c r="D76" s="12" t="s">
        <v>395</v>
      </c>
      <c r="E76" s="35"/>
      <c r="F76" s="43"/>
      <c r="G76" s="43"/>
      <c r="H76" s="43"/>
      <c r="I76" s="43"/>
      <c r="J76" s="51"/>
      <c r="K76" s="355"/>
      <c r="L76" s="355"/>
      <c r="M76" s="359"/>
      <c r="N76"/>
    </row>
    <row r="77" spans="1:14" s="11" customFormat="1" ht="30.95" customHeight="1" x14ac:dyDescent="0.3">
      <c r="A77" s="18">
        <v>17</v>
      </c>
      <c r="B77" s="346"/>
      <c r="C77" s="35" t="s">
        <v>356</v>
      </c>
      <c r="D77" s="12" t="s">
        <v>502</v>
      </c>
      <c r="E77" s="35"/>
      <c r="F77" s="43"/>
      <c r="G77" s="43"/>
      <c r="H77" s="43"/>
      <c r="I77" s="43"/>
      <c r="J77" s="51"/>
      <c r="K77" s="355"/>
      <c r="L77" s="355"/>
      <c r="M77" s="359"/>
      <c r="N77"/>
    </row>
    <row r="78" spans="1:14" s="11" customFormat="1" ht="30.95" customHeight="1" x14ac:dyDescent="0.3">
      <c r="A78" s="18">
        <v>18</v>
      </c>
      <c r="B78" s="346"/>
      <c r="C78" s="85"/>
      <c r="D78" s="86" t="s">
        <v>395</v>
      </c>
      <c r="E78" s="85"/>
      <c r="F78" s="87"/>
      <c r="G78" s="87"/>
      <c r="H78" s="87"/>
      <c r="I78" s="87"/>
      <c r="J78" s="88"/>
      <c r="K78" s="355"/>
      <c r="L78" s="355"/>
      <c r="M78" s="359"/>
      <c r="N78"/>
    </row>
    <row r="79" spans="1:14" s="11" customFormat="1" ht="30.95" customHeight="1" x14ac:dyDescent="0.3">
      <c r="A79" s="18">
        <v>19</v>
      </c>
      <c r="B79" s="346"/>
      <c r="C79" s="35"/>
      <c r="D79" s="12" t="s">
        <v>395</v>
      </c>
      <c r="E79" s="35"/>
      <c r="F79" s="43"/>
      <c r="G79" s="43"/>
      <c r="H79" s="43"/>
      <c r="I79" s="43"/>
      <c r="J79" s="51"/>
      <c r="K79" s="355"/>
      <c r="L79" s="355"/>
      <c r="M79" s="359"/>
      <c r="N79"/>
    </row>
    <row r="80" spans="1:14" s="11" customFormat="1" ht="30.95" customHeight="1" x14ac:dyDescent="0.3">
      <c r="A80" s="18">
        <v>20</v>
      </c>
      <c r="B80" s="346"/>
      <c r="C80" s="35"/>
      <c r="D80" s="12" t="s">
        <v>395</v>
      </c>
      <c r="E80" s="35"/>
      <c r="F80" s="43"/>
      <c r="G80" s="43"/>
      <c r="H80" s="43"/>
      <c r="I80" s="43"/>
      <c r="J80" s="51"/>
      <c r="K80" s="355"/>
      <c r="L80" s="355"/>
      <c r="M80" s="359"/>
      <c r="N80"/>
    </row>
    <row r="81" spans="1:14" s="11" customFormat="1" ht="30.95" customHeight="1" x14ac:dyDescent="0.3">
      <c r="A81" s="18">
        <v>21</v>
      </c>
      <c r="B81" s="346"/>
      <c r="C81" s="35"/>
      <c r="D81" s="12" t="s">
        <v>395</v>
      </c>
      <c r="E81" s="35"/>
      <c r="F81" s="43"/>
      <c r="G81" s="43"/>
      <c r="H81" s="43"/>
      <c r="I81" s="43"/>
      <c r="J81" s="51"/>
      <c r="K81" s="355"/>
      <c r="L81" s="355"/>
      <c r="M81" s="359"/>
      <c r="N81"/>
    </row>
    <row r="82" spans="1:14" s="11" customFormat="1" ht="30.95" customHeight="1" x14ac:dyDescent="0.3">
      <c r="A82" s="18">
        <v>22</v>
      </c>
      <c r="B82" s="346"/>
      <c r="C82" s="35"/>
      <c r="D82" s="12" t="s">
        <v>395</v>
      </c>
      <c r="E82" s="35"/>
      <c r="F82" s="43"/>
      <c r="G82" s="43"/>
      <c r="H82" s="43"/>
      <c r="I82" s="43"/>
      <c r="J82" s="51"/>
      <c r="K82" s="355"/>
      <c r="L82" s="355"/>
      <c r="M82" s="359"/>
      <c r="N82"/>
    </row>
    <row r="83" spans="1:14" s="11" customFormat="1" ht="30.95" customHeight="1" x14ac:dyDescent="0.3">
      <c r="A83" s="18">
        <v>23</v>
      </c>
      <c r="B83" s="346"/>
      <c r="C83" s="35"/>
      <c r="D83" s="12" t="s">
        <v>395</v>
      </c>
      <c r="E83" s="35"/>
      <c r="F83" s="43"/>
      <c r="G83" s="43"/>
      <c r="H83" s="43"/>
      <c r="I83" s="43"/>
      <c r="J83" s="51"/>
      <c r="K83" s="355"/>
      <c r="L83" s="355"/>
      <c r="M83" s="359"/>
      <c r="N83"/>
    </row>
    <row r="84" spans="1:14" s="11" customFormat="1" ht="30.95" customHeight="1" thickBot="1" x14ac:dyDescent="0.35">
      <c r="A84" s="21">
        <v>24</v>
      </c>
      <c r="B84" s="347"/>
      <c r="C84" s="40"/>
      <c r="D84" s="22" t="s">
        <v>396</v>
      </c>
      <c r="E84" s="40"/>
      <c r="F84" s="23"/>
      <c r="G84" s="23"/>
      <c r="H84" s="23"/>
      <c r="I84" s="23"/>
      <c r="J84" s="52"/>
      <c r="K84" s="356"/>
      <c r="L84" s="356"/>
      <c r="M84" s="360"/>
      <c r="N84"/>
    </row>
    <row r="85" spans="1:14" s="11" customFormat="1" ht="30.95" customHeight="1" x14ac:dyDescent="0.3">
      <c r="A85" s="25">
        <v>1</v>
      </c>
      <c r="B85" s="409" t="s">
        <v>186</v>
      </c>
      <c r="C85" s="41"/>
      <c r="D85" s="26" t="s">
        <v>185</v>
      </c>
      <c r="E85" s="41"/>
      <c r="F85" s="27"/>
      <c r="G85" s="27"/>
      <c r="H85" s="27"/>
      <c r="I85" s="27"/>
      <c r="J85" s="50"/>
      <c r="K85" s="357"/>
      <c r="L85" s="357"/>
      <c r="M85" s="358"/>
      <c r="N85"/>
    </row>
    <row r="86" spans="1:14" s="11" customFormat="1" ht="30.95" customHeight="1" x14ac:dyDescent="0.3">
      <c r="A86" s="18">
        <v>2</v>
      </c>
      <c r="B86" s="346"/>
      <c r="C86" s="35"/>
      <c r="D86" s="12" t="s">
        <v>185</v>
      </c>
      <c r="E86" s="35"/>
      <c r="F86" s="43"/>
      <c r="G86" s="43"/>
      <c r="H86" s="43"/>
      <c r="I86" s="43"/>
      <c r="J86" s="51"/>
      <c r="K86" s="355"/>
      <c r="L86" s="355"/>
      <c r="M86" s="359"/>
      <c r="N86"/>
    </row>
    <row r="87" spans="1:14" s="11" customFormat="1" ht="30.95" customHeight="1" x14ac:dyDescent="0.3">
      <c r="A87" s="18">
        <v>3</v>
      </c>
      <c r="B87" s="346"/>
      <c r="C87" s="35"/>
      <c r="D87" s="12" t="s">
        <v>185</v>
      </c>
      <c r="E87" s="35"/>
      <c r="F87" s="43"/>
      <c r="G87" s="43"/>
      <c r="H87" s="43"/>
      <c r="I87" s="43"/>
      <c r="J87" s="51"/>
      <c r="K87" s="355"/>
      <c r="L87" s="355"/>
      <c r="M87" s="359"/>
      <c r="N87"/>
    </row>
    <row r="88" spans="1:14" s="11" customFormat="1" ht="30.95" customHeight="1" x14ac:dyDescent="0.3">
      <c r="A88" s="18">
        <v>4</v>
      </c>
      <c r="B88" s="346"/>
      <c r="C88" s="35"/>
      <c r="D88" s="12" t="s">
        <v>185</v>
      </c>
      <c r="E88" s="35"/>
      <c r="F88" s="43"/>
      <c r="G88" s="43"/>
      <c r="H88" s="43"/>
      <c r="I88" s="43"/>
      <c r="J88" s="51"/>
      <c r="K88" s="355"/>
      <c r="L88" s="355"/>
      <c r="M88" s="359"/>
      <c r="N88"/>
    </row>
    <row r="89" spans="1:14" s="11" customFormat="1" ht="30.95" customHeight="1" x14ac:dyDescent="0.3">
      <c r="A89" s="18">
        <v>5</v>
      </c>
      <c r="B89" s="346"/>
      <c r="C89" s="35"/>
      <c r="D89" s="12" t="s">
        <v>185</v>
      </c>
      <c r="E89" s="35"/>
      <c r="F89" s="43"/>
      <c r="G89" s="43"/>
      <c r="H89" s="43"/>
      <c r="I89" s="43"/>
      <c r="J89" s="51"/>
      <c r="K89" s="355"/>
      <c r="L89" s="355"/>
      <c r="M89" s="359"/>
      <c r="N89"/>
    </row>
    <row r="90" spans="1:14" s="11" customFormat="1" ht="30.95" customHeight="1" x14ac:dyDescent="0.3">
      <c r="A90" s="18">
        <v>6</v>
      </c>
      <c r="B90" s="346"/>
      <c r="C90" s="35"/>
      <c r="D90" s="12" t="s">
        <v>185</v>
      </c>
      <c r="E90" s="35"/>
      <c r="F90" s="43"/>
      <c r="G90" s="43"/>
      <c r="H90" s="43"/>
      <c r="I90" s="43"/>
      <c r="J90" s="51"/>
      <c r="K90" s="355"/>
      <c r="L90" s="355"/>
      <c r="M90" s="359"/>
      <c r="N90"/>
    </row>
    <row r="91" spans="1:14" s="11" customFormat="1" ht="30.95" customHeight="1" x14ac:dyDescent="0.3">
      <c r="A91" s="18">
        <v>7</v>
      </c>
      <c r="B91" s="346"/>
      <c r="C91" s="35"/>
      <c r="D91" s="12" t="s">
        <v>185</v>
      </c>
      <c r="E91" s="35"/>
      <c r="F91" s="43"/>
      <c r="G91" s="43"/>
      <c r="H91" s="43"/>
      <c r="I91" s="43"/>
      <c r="J91" s="51"/>
      <c r="K91" s="355"/>
      <c r="L91" s="355"/>
      <c r="M91" s="359"/>
      <c r="N91"/>
    </row>
    <row r="92" spans="1:14" s="11" customFormat="1" ht="30.95" customHeight="1" x14ac:dyDescent="0.3">
      <c r="A92" s="18">
        <v>8</v>
      </c>
      <c r="B92" s="346"/>
      <c r="C92" s="35"/>
      <c r="D92" s="12" t="s">
        <v>185</v>
      </c>
      <c r="E92" s="35"/>
      <c r="F92" s="43"/>
      <c r="G92" s="43"/>
      <c r="H92" s="43"/>
      <c r="I92" s="43"/>
      <c r="J92" s="51"/>
      <c r="K92" s="355"/>
      <c r="L92" s="355"/>
      <c r="M92" s="359"/>
      <c r="N92"/>
    </row>
    <row r="93" spans="1:14" s="11" customFormat="1" ht="30.95" customHeight="1" x14ac:dyDescent="0.3">
      <c r="A93" s="18">
        <v>9</v>
      </c>
      <c r="B93" s="346"/>
      <c r="C93" s="35"/>
      <c r="D93" s="12" t="s">
        <v>185</v>
      </c>
      <c r="E93" s="35"/>
      <c r="F93" s="43"/>
      <c r="G93" s="43"/>
      <c r="H93" s="43"/>
      <c r="I93" s="43"/>
      <c r="J93" s="51"/>
      <c r="K93" s="355"/>
      <c r="L93" s="355"/>
      <c r="M93" s="359"/>
      <c r="N93"/>
    </row>
    <row r="94" spans="1:14" s="11" customFormat="1" ht="30.95" customHeight="1" x14ac:dyDescent="0.3">
      <c r="A94" s="18">
        <v>10</v>
      </c>
      <c r="B94" s="346"/>
      <c r="C94" s="35"/>
      <c r="D94" s="12" t="s">
        <v>185</v>
      </c>
      <c r="E94" s="35"/>
      <c r="F94" s="43"/>
      <c r="G94" s="43"/>
      <c r="H94" s="43"/>
      <c r="I94" s="43"/>
      <c r="J94" s="51"/>
      <c r="K94" s="355"/>
      <c r="L94" s="355"/>
      <c r="M94" s="359"/>
      <c r="N94"/>
    </row>
    <row r="95" spans="1:14" s="11" customFormat="1" ht="30.95" customHeight="1" x14ac:dyDescent="0.3">
      <c r="A95" s="18">
        <v>11</v>
      </c>
      <c r="B95" s="346"/>
      <c r="C95" s="35"/>
      <c r="D95" s="12" t="s">
        <v>185</v>
      </c>
      <c r="E95" s="35"/>
      <c r="F95" s="43"/>
      <c r="G95" s="43"/>
      <c r="H95" s="43"/>
      <c r="I95" s="43"/>
      <c r="J95" s="51"/>
      <c r="K95" s="355"/>
      <c r="L95" s="355"/>
      <c r="M95" s="359"/>
      <c r="N95"/>
    </row>
    <row r="96" spans="1:14" s="11" customFormat="1" ht="30.95" customHeight="1" x14ac:dyDescent="0.3">
      <c r="A96" s="18">
        <v>12</v>
      </c>
      <c r="B96" s="346"/>
      <c r="C96" s="35"/>
      <c r="D96" s="12" t="s">
        <v>185</v>
      </c>
      <c r="E96" s="35"/>
      <c r="F96" s="43"/>
      <c r="G96" s="43"/>
      <c r="H96" s="43"/>
      <c r="I96" s="43"/>
      <c r="J96" s="51"/>
      <c r="K96" s="355"/>
      <c r="L96" s="355"/>
      <c r="M96" s="359"/>
      <c r="N96"/>
    </row>
    <row r="97" spans="1:14" s="11" customFormat="1" ht="30.95" customHeight="1" x14ac:dyDescent="0.3">
      <c r="A97" s="18">
        <v>13</v>
      </c>
      <c r="B97" s="346"/>
      <c r="C97" s="35"/>
      <c r="D97" s="12" t="s">
        <v>185</v>
      </c>
      <c r="E97" s="35"/>
      <c r="F97" s="43"/>
      <c r="G97" s="43"/>
      <c r="H97" s="43"/>
      <c r="I97" s="43"/>
      <c r="J97" s="51"/>
      <c r="K97" s="355"/>
      <c r="L97" s="355"/>
      <c r="M97" s="359"/>
      <c r="N97"/>
    </row>
    <row r="98" spans="1:14" s="11" customFormat="1" ht="30.95" customHeight="1" x14ac:dyDescent="0.3">
      <c r="A98" s="18">
        <v>14</v>
      </c>
      <c r="B98" s="346"/>
      <c r="C98" s="35"/>
      <c r="D98" s="12" t="s">
        <v>185</v>
      </c>
      <c r="E98" s="35"/>
      <c r="F98" s="43"/>
      <c r="G98" s="43"/>
      <c r="H98" s="43"/>
      <c r="I98" s="43"/>
      <c r="J98" s="51"/>
      <c r="K98" s="355"/>
      <c r="L98" s="355"/>
      <c r="M98" s="359"/>
      <c r="N98"/>
    </row>
    <row r="99" spans="1:14" s="11" customFormat="1" ht="30.95" customHeight="1" x14ac:dyDescent="0.3">
      <c r="A99" s="18">
        <v>15</v>
      </c>
      <c r="B99" s="346"/>
      <c r="C99" s="35"/>
      <c r="D99" s="12" t="s">
        <v>185</v>
      </c>
      <c r="E99" s="35"/>
      <c r="F99" s="43"/>
      <c r="G99" s="43"/>
      <c r="H99" s="43"/>
      <c r="I99" s="43"/>
      <c r="J99" s="51"/>
      <c r="K99" s="355"/>
      <c r="L99" s="355"/>
      <c r="M99" s="359"/>
      <c r="N99"/>
    </row>
    <row r="100" spans="1:14" s="11" customFormat="1" ht="30.95" customHeight="1" x14ac:dyDescent="0.3">
      <c r="A100" s="18">
        <v>16</v>
      </c>
      <c r="B100" s="346"/>
      <c r="C100" s="35"/>
      <c r="D100" s="12" t="s">
        <v>185</v>
      </c>
      <c r="E100" s="35"/>
      <c r="F100" s="43"/>
      <c r="G100" s="43"/>
      <c r="H100" s="43"/>
      <c r="I100" s="43"/>
      <c r="J100" s="51"/>
      <c r="K100" s="355"/>
      <c r="L100" s="355"/>
      <c r="M100" s="359"/>
      <c r="N100"/>
    </row>
    <row r="101" spans="1:14" s="11" customFormat="1" ht="30.95" customHeight="1" x14ac:dyDescent="0.3">
      <c r="A101" s="18">
        <v>17</v>
      </c>
      <c r="B101" s="346"/>
      <c r="C101" s="85" t="s">
        <v>26</v>
      </c>
      <c r="D101" s="86" t="s">
        <v>502</v>
      </c>
      <c r="E101" s="85"/>
      <c r="F101" s="87"/>
      <c r="G101" s="87"/>
      <c r="H101" s="87"/>
      <c r="I101" s="87"/>
      <c r="J101" s="88"/>
      <c r="K101" s="355"/>
      <c r="L101" s="355"/>
      <c r="M101" s="359"/>
      <c r="N101"/>
    </row>
    <row r="102" spans="1:14" s="11" customFormat="1" ht="30.95" customHeight="1" x14ac:dyDescent="0.3">
      <c r="A102" s="18">
        <v>18</v>
      </c>
      <c r="B102" s="346"/>
      <c r="C102" s="35"/>
      <c r="D102" s="12" t="s">
        <v>185</v>
      </c>
      <c r="E102" s="35"/>
      <c r="F102" s="43"/>
      <c r="G102" s="43"/>
      <c r="H102" s="43"/>
      <c r="I102" s="43"/>
      <c r="J102" s="51"/>
      <c r="K102" s="355"/>
      <c r="L102" s="355"/>
      <c r="M102" s="359"/>
      <c r="N102"/>
    </row>
    <row r="103" spans="1:14" s="11" customFormat="1" ht="30.95" customHeight="1" x14ac:dyDescent="0.3">
      <c r="A103" s="18">
        <v>19</v>
      </c>
      <c r="B103" s="346"/>
      <c r="C103" s="35"/>
      <c r="D103" s="12" t="s">
        <v>185</v>
      </c>
      <c r="E103" s="35"/>
      <c r="F103" s="43"/>
      <c r="G103" s="43"/>
      <c r="H103" s="43"/>
      <c r="I103" s="43"/>
      <c r="J103" s="51"/>
      <c r="K103" s="355"/>
      <c r="L103" s="355"/>
      <c r="M103" s="359"/>
      <c r="N103"/>
    </row>
    <row r="104" spans="1:14" s="11" customFormat="1" ht="30.95" customHeight="1" x14ac:dyDescent="0.3">
      <c r="A104" s="18">
        <v>20</v>
      </c>
      <c r="B104" s="346"/>
      <c r="C104" s="35"/>
      <c r="D104" s="12" t="s">
        <v>185</v>
      </c>
      <c r="E104" s="35"/>
      <c r="F104" s="43"/>
      <c r="G104" s="43"/>
      <c r="H104" s="43"/>
      <c r="I104" s="43"/>
      <c r="J104" s="51"/>
      <c r="K104" s="355"/>
      <c r="L104" s="355"/>
      <c r="M104" s="359"/>
      <c r="N104"/>
    </row>
    <row r="105" spans="1:14" s="11" customFormat="1" ht="30.95" customHeight="1" x14ac:dyDescent="0.3">
      <c r="A105" s="18">
        <v>21</v>
      </c>
      <c r="B105" s="346"/>
      <c r="C105" s="35"/>
      <c r="D105" s="12" t="s">
        <v>185</v>
      </c>
      <c r="E105" s="35"/>
      <c r="F105" s="43"/>
      <c r="G105" s="43"/>
      <c r="H105" s="43"/>
      <c r="I105" s="43"/>
      <c r="J105" s="51"/>
      <c r="K105" s="355"/>
      <c r="L105" s="355"/>
      <c r="M105" s="359"/>
      <c r="N105"/>
    </row>
    <row r="106" spans="1:14" s="11" customFormat="1" ht="30.95" customHeight="1" x14ac:dyDescent="0.3">
      <c r="A106" s="18">
        <v>22</v>
      </c>
      <c r="B106" s="346"/>
      <c r="C106" s="35"/>
      <c r="D106" s="12" t="s">
        <v>185</v>
      </c>
      <c r="E106" s="35"/>
      <c r="F106" s="43"/>
      <c r="G106" s="43"/>
      <c r="H106" s="43"/>
      <c r="I106" s="43"/>
      <c r="J106" s="51"/>
      <c r="K106" s="355"/>
      <c r="L106" s="355"/>
      <c r="M106" s="359"/>
      <c r="N106"/>
    </row>
    <row r="107" spans="1:14" s="11" customFormat="1" ht="30.95" customHeight="1" x14ac:dyDescent="0.3">
      <c r="A107" s="18">
        <v>23</v>
      </c>
      <c r="B107" s="346"/>
      <c r="C107" s="35"/>
      <c r="D107" s="12" t="s">
        <v>185</v>
      </c>
      <c r="E107" s="35"/>
      <c r="F107" s="43"/>
      <c r="G107" s="43"/>
      <c r="H107" s="43"/>
      <c r="I107" s="43"/>
      <c r="J107" s="51"/>
      <c r="K107" s="355"/>
      <c r="L107" s="355"/>
      <c r="M107" s="359"/>
      <c r="N107"/>
    </row>
    <row r="108" spans="1:14" s="11" customFormat="1" ht="30.95" customHeight="1" thickBot="1" x14ac:dyDescent="0.35">
      <c r="A108" s="21">
        <v>24</v>
      </c>
      <c r="B108" s="347"/>
      <c r="C108" s="40"/>
      <c r="D108" s="22" t="s">
        <v>185</v>
      </c>
      <c r="E108" s="40"/>
      <c r="F108" s="23"/>
      <c r="G108" s="23"/>
      <c r="H108" s="23"/>
      <c r="I108" s="23"/>
      <c r="J108" s="52"/>
      <c r="K108" s="356"/>
      <c r="L108" s="356"/>
      <c r="M108" s="360"/>
      <c r="N108"/>
    </row>
    <row r="109" spans="1:14" s="11" customFormat="1" ht="32.1" customHeight="1" x14ac:dyDescent="0.3">
      <c r="D109" s="13"/>
      <c r="F109" s="1"/>
      <c r="G109" s="1"/>
      <c r="H109" s="1"/>
      <c r="I109" s="1"/>
      <c r="J109" s="53"/>
      <c r="K109" s="1"/>
      <c r="L109" s="1"/>
      <c r="M109" s="1"/>
    </row>
    <row r="110" spans="1:14" s="11" customFormat="1" ht="32.1" customHeight="1" x14ac:dyDescent="0.3">
      <c r="D110" s="13"/>
      <c r="F110" s="1"/>
      <c r="G110" s="1"/>
      <c r="H110" s="1"/>
      <c r="I110" s="1"/>
      <c r="J110" s="53"/>
      <c r="K110" s="1"/>
      <c r="L110" s="1"/>
      <c r="M110" s="1"/>
    </row>
    <row r="111" spans="1:14" s="11" customFormat="1" ht="32.1" customHeight="1" x14ac:dyDescent="0.3">
      <c r="D111" s="13"/>
      <c r="F111" s="1"/>
      <c r="G111" s="1"/>
      <c r="H111" s="1"/>
      <c r="I111" s="1"/>
      <c r="J111" s="53"/>
      <c r="K111" s="1"/>
      <c r="L111" s="1"/>
      <c r="M111" s="1"/>
    </row>
    <row r="112" spans="1:14" s="11" customFormat="1" ht="32.1" customHeight="1" x14ac:dyDescent="0.3">
      <c r="D112" s="13"/>
      <c r="F112" s="1"/>
      <c r="G112" s="1"/>
      <c r="H112" s="1"/>
      <c r="I112" s="1"/>
      <c r="J112" s="53"/>
      <c r="K112" s="1"/>
      <c r="L112" s="1"/>
      <c r="M112" s="1"/>
    </row>
    <row r="113" spans="4:13" s="11" customFormat="1" ht="32.1" customHeight="1" x14ac:dyDescent="0.3">
      <c r="D113" s="13"/>
      <c r="F113" s="1"/>
      <c r="G113" s="1"/>
      <c r="H113" s="1"/>
      <c r="I113" s="1"/>
      <c r="J113" s="53"/>
      <c r="K113" s="1"/>
      <c r="L113" s="1"/>
      <c r="M113" s="1"/>
    </row>
  </sheetData>
  <mergeCells count="53">
    <mergeCell ref="K85:K108"/>
    <mergeCell ref="L85:L108"/>
    <mergeCell ref="M85:M108"/>
    <mergeCell ref="M33:M44"/>
    <mergeCell ref="M49:M60"/>
    <mergeCell ref="K61:K84"/>
    <mergeCell ref="L61:L84"/>
    <mergeCell ref="M61:M84"/>
    <mergeCell ref="L33:L44"/>
    <mergeCell ref="L49:L60"/>
    <mergeCell ref="K33:K44"/>
    <mergeCell ref="K49:K60"/>
    <mergeCell ref="A1:C1"/>
    <mergeCell ref="F1:J1"/>
    <mergeCell ref="K1:K4"/>
    <mergeCell ref="L1:L4"/>
    <mergeCell ref="F30:G30"/>
    <mergeCell ref="H30:I30"/>
    <mergeCell ref="J30:J32"/>
    <mergeCell ref="K5:K28"/>
    <mergeCell ref="F29:J29"/>
    <mergeCell ref="K29:K32"/>
    <mergeCell ref="A2:C3"/>
    <mergeCell ref="D2:D3"/>
    <mergeCell ref="E2:E3"/>
    <mergeCell ref="D30:D31"/>
    <mergeCell ref="E30:E31"/>
    <mergeCell ref="M1:M4"/>
    <mergeCell ref="F2:G2"/>
    <mergeCell ref="H2:I2"/>
    <mergeCell ref="J2:J4"/>
    <mergeCell ref="M29:M32"/>
    <mergeCell ref="M5:M28"/>
    <mergeCell ref="L5:L28"/>
    <mergeCell ref="L29:L32"/>
    <mergeCell ref="B85:B108"/>
    <mergeCell ref="B5:B28"/>
    <mergeCell ref="B33:B44"/>
    <mergeCell ref="B49:B60"/>
    <mergeCell ref="B61:B84"/>
    <mergeCell ref="A29:C29"/>
    <mergeCell ref="A45:C45"/>
    <mergeCell ref="A30:C31"/>
    <mergeCell ref="F45:J45"/>
    <mergeCell ref="K45:K48"/>
    <mergeCell ref="L45:L48"/>
    <mergeCell ref="M45:M48"/>
    <mergeCell ref="A46:C47"/>
    <mergeCell ref="D46:D47"/>
    <mergeCell ref="E46:E47"/>
    <mergeCell ref="F46:G46"/>
    <mergeCell ref="H46:I46"/>
    <mergeCell ref="J46:J48"/>
  </mergeCells>
  <phoneticPr fontId="1" type="noConversion"/>
  <pageMargins left="0.25" right="0.25" top="0.75" bottom="0.75" header="0.3" footer="0.3"/>
  <pageSetup paperSize="9" scale="56" fitToHeight="0" orientation="landscape" r:id="rId1"/>
  <rowBreaks count="4" manualBreakCount="4">
    <brk id="28" max="12" man="1"/>
    <brk id="44" max="12" man="1"/>
    <brk id="60" max="14" man="1"/>
    <brk id="84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2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F110" sqref="F110:G110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style="1" customWidth="1"/>
    <col min="11" max="11" width="20.625" style="1" customWidth="1"/>
    <col min="12" max="12" width="16.625" style="1" bestFit="1" customWidth="1"/>
    <col min="13" max="13" width="9" style="1"/>
    <col min="14" max="14" width="0" hidden="1" customWidth="1"/>
  </cols>
  <sheetData>
    <row r="1" spans="1:18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728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 s="71">
        <f>COUNTIF(N5:N507,0)/COUNT(A:A)</f>
        <v>0.47023809523809523</v>
      </c>
    </row>
    <row r="2" spans="1:18" ht="30" customHeight="1" x14ac:dyDescent="0.3">
      <c r="A2" s="336" t="s">
        <v>9</v>
      </c>
      <c r="B2" s="337"/>
      <c r="C2" s="337"/>
      <c r="D2" s="368" t="s">
        <v>639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8" ht="30" customHeight="1" x14ac:dyDescent="0.3">
      <c r="A3" s="336"/>
      <c r="B3" s="337"/>
      <c r="C3" s="337"/>
      <c r="D3" s="368"/>
      <c r="E3" s="337"/>
      <c r="F3" s="201" t="s">
        <v>638</v>
      </c>
      <c r="G3" s="214">
        <f>전송손실!M14</f>
        <v>-23.899976000000002</v>
      </c>
      <c r="H3" s="201" t="s">
        <v>638</v>
      </c>
      <c r="I3" s="214">
        <f>전송손실!M40</f>
        <v>-15.621652000000001</v>
      </c>
      <c r="J3" s="369"/>
      <c r="K3" s="332"/>
      <c r="L3" s="332"/>
      <c r="M3" s="332"/>
    </row>
    <row r="4" spans="1:18" ht="30" customHeight="1" thickBot="1" x14ac:dyDescent="0.35">
      <c r="A4" s="203" t="s">
        <v>0</v>
      </c>
      <c r="B4" s="203" t="s">
        <v>1</v>
      </c>
      <c r="C4" s="203" t="s">
        <v>23</v>
      </c>
      <c r="D4" s="203" t="s">
        <v>2</v>
      </c>
      <c r="E4" s="203" t="s">
        <v>3</v>
      </c>
      <c r="F4" s="203" t="s">
        <v>4</v>
      </c>
      <c r="G4" s="203" t="s">
        <v>506</v>
      </c>
      <c r="H4" s="203" t="s">
        <v>4</v>
      </c>
      <c r="I4" s="203" t="s">
        <v>506</v>
      </c>
      <c r="J4" s="370"/>
      <c r="K4" s="367"/>
      <c r="L4" s="367"/>
      <c r="M4" s="367"/>
    </row>
    <row r="5" spans="1:18" ht="30" customHeight="1" x14ac:dyDescent="0.3">
      <c r="A5" s="25">
        <v>1</v>
      </c>
      <c r="B5" s="400" t="s">
        <v>187</v>
      </c>
      <c r="C5" s="79"/>
      <c r="D5" s="126"/>
      <c r="E5" s="79"/>
      <c r="F5" s="127">
        <v>-20.094000000000001</v>
      </c>
      <c r="G5" s="127">
        <v>52.918700000000001</v>
      </c>
      <c r="H5" s="127">
        <v>-11.821999999999999</v>
      </c>
      <c r="I5" s="127">
        <v>52.916600000000003</v>
      </c>
      <c r="J5" s="118"/>
      <c r="K5" s="357" t="s">
        <v>423</v>
      </c>
      <c r="L5" s="357"/>
      <c r="M5" s="358"/>
      <c r="N5">
        <f>IF(C5="",0,1)</f>
        <v>0</v>
      </c>
    </row>
    <row r="6" spans="1:18" ht="30" customHeight="1" x14ac:dyDescent="0.3">
      <c r="A6" s="18">
        <v>2</v>
      </c>
      <c r="B6" s="394"/>
      <c r="C6" s="76"/>
      <c r="D6" s="77"/>
      <c r="E6" s="76"/>
      <c r="F6" s="118">
        <v>-20.163</v>
      </c>
      <c r="G6" s="118">
        <v>52.918700000000001</v>
      </c>
      <c r="H6" s="118">
        <v>-12.105</v>
      </c>
      <c r="I6" s="118">
        <v>52.906399999999998</v>
      </c>
      <c r="J6" s="118"/>
      <c r="K6" s="355"/>
      <c r="L6" s="355"/>
      <c r="M6" s="359"/>
      <c r="N6">
        <f t="shared" ref="N6:N70" si="0">IF(C6="",0,1)</f>
        <v>0</v>
      </c>
    </row>
    <row r="7" spans="1:18" ht="30" customHeight="1" x14ac:dyDescent="0.3">
      <c r="A7" s="18">
        <v>3</v>
      </c>
      <c r="B7" s="394"/>
      <c r="C7" s="76"/>
      <c r="D7" s="77"/>
      <c r="E7" s="76"/>
      <c r="F7" s="118">
        <v>-19.687000000000001</v>
      </c>
      <c r="G7" s="118">
        <v>52.801200000000001</v>
      </c>
      <c r="H7" s="118">
        <v>-11.676</v>
      </c>
      <c r="I7" s="118">
        <v>52.924199999999999</v>
      </c>
      <c r="J7" s="118"/>
      <c r="K7" s="355"/>
      <c r="L7" s="355"/>
      <c r="M7" s="359"/>
      <c r="N7">
        <f t="shared" si="0"/>
        <v>0</v>
      </c>
    </row>
    <row r="8" spans="1:18" ht="30" customHeight="1" x14ac:dyDescent="0.3">
      <c r="A8" s="18">
        <v>4</v>
      </c>
      <c r="B8" s="394"/>
      <c r="C8" s="76"/>
      <c r="D8" s="77"/>
      <c r="E8" s="76"/>
      <c r="F8" s="118">
        <v>-19.873999999999999</v>
      </c>
      <c r="G8" s="118">
        <v>52.9161</v>
      </c>
      <c r="H8" s="118">
        <v>-11.827999999999999</v>
      </c>
      <c r="I8" s="118">
        <v>52.911499999999997</v>
      </c>
      <c r="J8" s="118"/>
      <c r="K8" s="355"/>
      <c r="L8" s="355"/>
      <c r="M8" s="359"/>
      <c r="N8">
        <f t="shared" si="0"/>
        <v>0</v>
      </c>
    </row>
    <row r="9" spans="1:18" ht="30" customHeight="1" x14ac:dyDescent="0.3">
      <c r="A9" s="18">
        <v>5</v>
      </c>
      <c r="B9" s="394"/>
      <c r="C9" s="76"/>
      <c r="D9" s="77"/>
      <c r="E9" s="76"/>
      <c r="F9" s="118">
        <v>-19.983000000000001</v>
      </c>
      <c r="G9" s="118">
        <v>52.913600000000002</v>
      </c>
      <c r="H9" s="118">
        <v>-12.05</v>
      </c>
      <c r="I9" s="118">
        <v>52.914000000000001</v>
      </c>
      <c r="J9" s="118"/>
      <c r="K9" s="355"/>
      <c r="L9" s="355"/>
      <c r="M9" s="359"/>
      <c r="N9">
        <f t="shared" si="0"/>
        <v>0</v>
      </c>
    </row>
    <row r="10" spans="1:18" ht="30" customHeight="1" x14ac:dyDescent="0.3">
      <c r="A10" s="18">
        <v>6</v>
      </c>
      <c r="B10" s="394"/>
      <c r="C10" s="76"/>
      <c r="D10" s="77"/>
      <c r="E10" s="76"/>
      <c r="F10" s="118">
        <v>-20.123000000000001</v>
      </c>
      <c r="G10" s="118">
        <v>52.908499999999997</v>
      </c>
      <c r="H10" s="118">
        <v>-11.869</v>
      </c>
      <c r="I10" s="118">
        <v>52.916600000000003</v>
      </c>
      <c r="J10" s="118"/>
      <c r="K10" s="355"/>
      <c r="L10" s="355"/>
      <c r="M10" s="359"/>
      <c r="N10">
        <f t="shared" si="0"/>
        <v>0</v>
      </c>
    </row>
    <row r="11" spans="1:18" ht="30" customHeight="1" x14ac:dyDescent="0.3">
      <c r="A11" s="18">
        <v>7</v>
      </c>
      <c r="B11" s="394"/>
      <c r="C11" s="35" t="s">
        <v>360</v>
      </c>
      <c r="D11" s="12" t="s">
        <v>188</v>
      </c>
      <c r="E11" s="35" t="s">
        <v>717</v>
      </c>
      <c r="F11" s="116"/>
      <c r="G11" s="116"/>
      <c r="H11" s="116"/>
      <c r="I11" s="116"/>
      <c r="J11" s="116"/>
      <c r="K11" s="355"/>
      <c r="L11" s="355"/>
      <c r="M11" s="359"/>
      <c r="N11">
        <f t="shared" si="0"/>
        <v>1</v>
      </c>
    </row>
    <row r="12" spans="1:18" ht="30" customHeight="1" x14ac:dyDescent="0.3">
      <c r="A12" s="18">
        <v>8</v>
      </c>
      <c r="B12" s="394"/>
      <c r="C12" s="76"/>
      <c r="D12" s="77"/>
      <c r="E12" s="76"/>
      <c r="F12" s="118">
        <v>-20.244</v>
      </c>
      <c r="G12" s="118">
        <v>52.913600000000002</v>
      </c>
      <c r="H12" s="118">
        <v>-12.11</v>
      </c>
      <c r="I12" s="118">
        <v>52.916600000000003</v>
      </c>
      <c r="J12" s="118"/>
      <c r="K12" s="355"/>
      <c r="L12" s="355"/>
      <c r="M12" s="359"/>
      <c r="N12">
        <f t="shared" si="0"/>
        <v>0</v>
      </c>
    </row>
    <row r="13" spans="1:18" ht="30" customHeight="1" x14ac:dyDescent="0.3">
      <c r="A13" s="18">
        <v>9</v>
      </c>
      <c r="B13" s="394"/>
      <c r="C13" s="76"/>
      <c r="D13" s="77" t="s">
        <v>654</v>
      </c>
      <c r="E13" s="76"/>
      <c r="F13" s="118">
        <v>-27.625</v>
      </c>
      <c r="G13" s="118">
        <v>70.643299999999996</v>
      </c>
      <c r="H13" s="118">
        <v>-18.349</v>
      </c>
      <c r="I13" s="118">
        <v>79.979699999999994</v>
      </c>
      <c r="J13" s="118" t="s">
        <v>649</v>
      </c>
      <c r="K13" s="355"/>
      <c r="L13" s="355"/>
      <c r="M13" s="359"/>
      <c r="N13">
        <f t="shared" si="0"/>
        <v>0</v>
      </c>
      <c r="Q13" t="s">
        <v>167</v>
      </c>
      <c r="R13">
        <f>H13/I13</f>
        <v>-0.22942071550655982</v>
      </c>
    </row>
    <row r="14" spans="1:18" ht="30" customHeight="1" x14ac:dyDescent="0.3">
      <c r="A14" s="18">
        <v>10</v>
      </c>
      <c r="B14" s="394"/>
      <c r="C14" s="76"/>
      <c r="D14" s="77" t="s">
        <v>654</v>
      </c>
      <c r="E14" s="76"/>
      <c r="F14" s="118">
        <v>-27.265999999999998</v>
      </c>
      <c r="G14" s="118">
        <v>70.666300000000007</v>
      </c>
      <c r="H14" s="118">
        <v>-18.295000000000002</v>
      </c>
      <c r="I14" s="118">
        <v>79.979699999999994</v>
      </c>
      <c r="J14" s="118" t="s">
        <v>649</v>
      </c>
      <c r="K14" s="355"/>
      <c r="L14" s="355"/>
      <c r="M14" s="359"/>
      <c r="N14">
        <f t="shared" si="0"/>
        <v>0</v>
      </c>
    </row>
    <row r="15" spans="1:18" ht="30" customHeight="1" x14ac:dyDescent="0.3">
      <c r="A15" s="18">
        <v>11</v>
      </c>
      <c r="B15" s="394"/>
      <c r="C15" s="35" t="s">
        <v>357</v>
      </c>
      <c r="D15" s="12" t="s">
        <v>189</v>
      </c>
      <c r="E15" s="35"/>
      <c r="F15" s="116"/>
      <c r="G15" s="116"/>
      <c r="H15" s="116"/>
      <c r="I15" s="116"/>
      <c r="J15" s="116"/>
      <c r="K15" s="355"/>
      <c r="L15" s="355"/>
      <c r="M15" s="359"/>
      <c r="N15">
        <f t="shared" si="0"/>
        <v>1</v>
      </c>
    </row>
    <row r="16" spans="1:18" ht="30" customHeight="1" x14ac:dyDescent="0.3">
      <c r="A16" s="18">
        <v>12</v>
      </c>
      <c r="B16" s="394"/>
      <c r="C16" s="35" t="s">
        <v>357</v>
      </c>
      <c r="D16" s="12" t="s">
        <v>190</v>
      </c>
      <c r="E16" s="35"/>
      <c r="F16" s="116"/>
      <c r="G16" s="116"/>
      <c r="H16" s="116"/>
      <c r="I16" s="116"/>
      <c r="J16" s="116"/>
      <c r="K16" s="355"/>
      <c r="L16" s="355"/>
      <c r="M16" s="359"/>
      <c r="N16">
        <f t="shared" si="0"/>
        <v>1</v>
      </c>
    </row>
    <row r="17" spans="1:14" ht="30" customHeight="1" x14ac:dyDescent="0.3">
      <c r="A17" s="18">
        <v>13</v>
      </c>
      <c r="B17" s="394"/>
      <c r="C17" s="35" t="s">
        <v>356</v>
      </c>
      <c r="D17" s="12" t="s">
        <v>191</v>
      </c>
      <c r="E17" s="35"/>
      <c r="F17" s="116"/>
      <c r="G17" s="116"/>
      <c r="H17" s="116"/>
      <c r="I17" s="116"/>
      <c r="J17" s="116"/>
      <c r="K17" s="355"/>
      <c r="L17" s="355"/>
      <c r="M17" s="359"/>
      <c r="N17">
        <f t="shared" si="0"/>
        <v>1</v>
      </c>
    </row>
    <row r="18" spans="1:14" ht="30" customHeight="1" x14ac:dyDescent="0.3">
      <c r="A18" s="18">
        <v>14</v>
      </c>
      <c r="B18" s="394"/>
      <c r="C18" s="35" t="s">
        <v>356</v>
      </c>
      <c r="D18" s="12" t="s">
        <v>192</v>
      </c>
      <c r="E18" s="35"/>
      <c r="F18" s="116"/>
      <c r="G18" s="116"/>
      <c r="H18" s="116"/>
      <c r="I18" s="116"/>
      <c r="J18" s="116"/>
      <c r="K18" s="355"/>
      <c r="L18" s="355"/>
      <c r="M18" s="359"/>
      <c r="N18">
        <f t="shared" si="0"/>
        <v>1</v>
      </c>
    </row>
    <row r="19" spans="1:14" ht="30" customHeight="1" x14ac:dyDescent="0.3">
      <c r="A19" s="18">
        <v>15</v>
      </c>
      <c r="B19" s="394"/>
      <c r="C19" s="76"/>
      <c r="D19" s="77"/>
      <c r="E19" s="76"/>
      <c r="F19" s="118">
        <v>-19.945</v>
      </c>
      <c r="G19" s="118">
        <v>52.8855</v>
      </c>
      <c r="H19" s="118">
        <v>-11.728999999999999</v>
      </c>
      <c r="I19" s="118">
        <v>52.896099999999997</v>
      </c>
      <c r="J19" s="118"/>
      <c r="K19" s="355"/>
      <c r="L19" s="355"/>
      <c r="M19" s="359"/>
      <c r="N19">
        <f t="shared" si="0"/>
        <v>0</v>
      </c>
    </row>
    <row r="20" spans="1:14" ht="30" customHeight="1" x14ac:dyDescent="0.3">
      <c r="A20" s="18">
        <v>16</v>
      </c>
      <c r="B20" s="394"/>
      <c r="C20" s="76"/>
      <c r="D20" s="77" t="s">
        <v>655</v>
      </c>
      <c r="E20" s="76"/>
      <c r="F20" s="118">
        <v>-13.455</v>
      </c>
      <c r="G20" s="118">
        <v>35.804200000000002</v>
      </c>
      <c r="H20" s="118">
        <v>-11.942</v>
      </c>
      <c r="I20" s="118">
        <v>52.893599999999999</v>
      </c>
      <c r="J20" s="118"/>
      <c r="K20" s="355"/>
      <c r="L20" s="355"/>
      <c r="M20" s="359"/>
      <c r="N20">
        <f t="shared" si="0"/>
        <v>0</v>
      </c>
    </row>
    <row r="21" spans="1:14" ht="30" customHeight="1" x14ac:dyDescent="0.3">
      <c r="A21" s="18">
        <v>17</v>
      </c>
      <c r="B21" s="394"/>
      <c r="C21" s="76"/>
      <c r="D21" s="77"/>
      <c r="E21" s="76"/>
      <c r="F21" s="118">
        <v>-19.722999999999999</v>
      </c>
      <c r="G21" s="118">
        <v>52.882899999999999</v>
      </c>
      <c r="H21" s="118">
        <v>-11.817</v>
      </c>
      <c r="I21" s="118">
        <v>52.883400000000002</v>
      </c>
      <c r="J21" s="118"/>
      <c r="K21" s="355"/>
      <c r="L21" s="355"/>
      <c r="M21" s="359"/>
      <c r="N21">
        <f t="shared" si="0"/>
        <v>0</v>
      </c>
    </row>
    <row r="22" spans="1:14" ht="30" customHeight="1" x14ac:dyDescent="0.3">
      <c r="A22" s="18">
        <v>18</v>
      </c>
      <c r="B22" s="394"/>
      <c r="C22" s="76"/>
      <c r="D22" s="77"/>
      <c r="E22" s="76"/>
      <c r="F22" s="118">
        <v>-20.11</v>
      </c>
      <c r="G22" s="118">
        <v>52.887999999999998</v>
      </c>
      <c r="H22" s="118">
        <v>-11.884</v>
      </c>
      <c r="I22" s="118">
        <v>52.885899999999999</v>
      </c>
      <c r="J22" s="118"/>
      <c r="K22" s="355"/>
      <c r="L22" s="355"/>
      <c r="M22" s="359"/>
      <c r="N22">
        <f t="shared" si="0"/>
        <v>0</v>
      </c>
    </row>
    <row r="23" spans="1:14" ht="30" customHeight="1" x14ac:dyDescent="0.3">
      <c r="A23" s="18">
        <v>19</v>
      </c>
      <c r="B23" s="394"/>
      <c r="C23" s="76"/>
      <c r="D23" s="77" t="s">
        <v>654</v>
      </c>
      <c r="E23" s="76"/>
      <c r="F23" s="118">
        <v>-23.143999999999998</v>
      </c>
      <c r="G23" s="118">
        <v>57.877099999999999</v>
      </c>
      <c r="H23" s="118">
        <v>-14.236000000000001</v>
      </c>
      <c r="I23" s="118">
        <v>57.875399999999999</v>
      </c>
      <c r="J23" s="118"/>
      <c r="K23" s="355"/>
      <c r="L23" s="355"/>
      <c r="M23" s="359"/>
      <c r="N23">
        <f t="shared" si="0"/>
        <v>0</v>
      </c>
    </row>
    <row r="24" spans="1:14" ht="30" customHeight="1" x14ac:dyDescent="0.3">
      <c r="A24" s="18">
        <v>20</v>
      </c>
      <c r="B24" s="394"/>
      <c r="C24" s="76"/>
      <c r="D24" s="77" t="s">
        <v>654</v>
      </c>
      <c r="E24" s="76"/>
      <c r="F24" s="118">
        <v>-24.882999999999999</v>
      </c>
      <c r="G24" s="118">
        <v>57.877099999999999</v>
      </c>
      <c r="H24" s="118">
        <v>-15.675000000000001</v>
      </c>
      <c r="I24" s="118">
        <v>57.872900000000001</v>
      </c>
      <c r="J24" s="118"/>
      <c r="K24" s="355"/>
      <c r="L24" s="355"/>
      <c r="M24" s="359"/>
      <c r="N24">
        <f t="shared" si="0"/>
        <v>0</v>
      </c>
    </row>
    <row r="25" spans="1:14" ht="30" customHeight="1" x14ac:dyDescent="0.3">
      <c r="A25" s="18">
        <v>21</v>
      </c>
      <c r="B25" s="394"/>
      <c r="C25" s="35" t="s">
        <v>356</v>
      </c>
      <c r="D25" s="12" t="s">
        <v>196</v>
      </c>
      <c r="E25" s="35"/>
      <c r="F25" s="116"/>
      <c r="G25" s="116"/>
      <c r="H25" s="116"/>
      <c r="I25" s="116"/>
      <c r="J25" s="116"/>
      <c r="K25" s="355"/>
      <c r="L25" s="355"/>
      <c r="M25" s="359"/>
      <c r="N25">
        <f t="shared" si="0"/>
        <v>1</v>
      </c>
    </row>
    <row r="26" spans="1:14" ht="30" customHeight="1" x14ac:dyDescent="0.3">
      <c r="A26" s="18">
        <v>22</v>
      </c>
      <c r="B26" s="394"/>
      <c r="C26" s="35" t="s">
        <v>356</v>
      </c>
      <c r="D26" s="12" t="s">
        <v>195</v>
      </c>
      <c r="E26" s="35"/>
      <c r="F26" s="116"/>
      <c r="G26" s="116"/>
      <c r="H26" s="116"/>
      <c r="I26" s="116"/>
      <c r="J26" s="116"/>
      <c r="K26" s="355"/>
      <c r="L26" s="355"/>
      <c r="M26" s="359"/>
      <c r="N26">
        <f t="shared" si="0"/>
        <v>1</v>
      </c>
    </row>
    <row r="27" spans="1:14" ht="30" customHeight="1" x14ac:dyDescent="0.3">
      <c r="A27" s="18">
        <v>23</v>
      </c>
      <c r="B27" s="394"/>
      <c r="C27" s="35" t="s">
        <v>358</v>
      </c>
      <c r="D27" s="12" t="s">
        <v>197</v>
      </c>
      <c r="E27" s="35"/>
      <c r="F27" s="116"/>
      <c r="G27" s="116"/>
      <c r="H27" s="116"/>
      <c r="I27" s="116"/>
      <c r="J27" s="116"/>
      <c r="K27" s="355"/>
      <c r="L27" s="355"/>
      <c r="M27" s="359"/>
      <c r="N27">
        <f t="shared" si="0"/>
        <v>1</v>
      </c>
    </row>
    <row r="28" spans="1:14" ht="30" customHeight="1" x14ac:dyDescent="0.3">
      <c r="A28" s="18">
        <v>24</v>
      </c>
      <c r="B28" s="393"/>
      <c r="C28" s="35" t="s">
        <v>358</v>
      </c>
      <c r="D28" s="12" t="s">
        <v>197</v>
      </c>
      <c r="E28" s="35"/>
      <c r="F28" s="116"/>
      <c r="G28" s="116"/>
      <c r="H28" s="116"/>
      <c r="I28" s="116"/>
      <c r="J28" s="116"/>
      <c r="K28" s="355"/>
      <c r="L28" s="355"/>
      <c r="M28" s="359"/>
      <c r="N28">
        <f t="shared" si="0"/>
        <v>1</v>
      </c>
    </row>
    <row r="29" spans="1:14" ht="30.95" customHeight="1" x14ac:dyDescent="0.3">
      <c r="A29" s="18">
        <v>25</v>
      </c>
      <c r="B29" s="411" t="s">
        <v>431</v>
      </c>
      <c r="C29" s="35" t="s">
        <v>362</v>
      </c>
      <c r="D29" s="12" t="s">
        <v>198</v>
      </c>
      <c r="E29" s="35"/>
      <c r="F29" s="116"/>
      <c r="G29" s="116"/>
      <c r="H29" s="116"/>
      <c r="I29" s="116"/>
      <c r="J29" s="116"/>
      <c r="K29" s="355" t="s">
        <v>432</v>
      </c>
      <c r="L29" s="355"/>
      <c r="M29" s="359"/>
      <c r="N29">
        <f t="shared" si="0"/>
        <v>1</v>
      </c>
    </row>
    <row r="30" spans="1:14" ht="30.95" customHeight="1" x14ac:dyDescent="0.3">
      <c r="A30" s="18">
        <v>26</v>
      </c>
      <c r="B30" s="394"/>
      <c r="C30" s="35" t="s">
        <v>362</v>
      </c>
      <c r="D30" s="12" t="s">
        <v>198</v>
      </c>
      <c r="E30" s="35"/>
      <c r="F30" s="116"/>
      <c r="G30" s="116"/>
      <c r="H30" s="116"/>
      <c r="I30" s="116"/>
      <c r="J30" s="116"/>
      <c r="K30" s="355"/>
      <c r="L30" s="355"/>
      <c r="M30" s="359"/>
      <c r="N30">
        <f t="shared" si="0"/>
        <v>1</v>
      </c>
    </row>
    <row r="31" spans="1:14" ht="30.95" customHeight="1" x14ac:dyDescent="0.3">
      <c r="A31" s="18">
        <v>27</v>
      </c>
      <c r="B31" s="394"/>
      <c r="C31" s="76"/>
      <c r="D31" s="77"/>
      <c r="E31" s="76"/>
      <c r="F31" s="118">
        <v>-19.879000000000001</v>
      </c>
      <c r="G31" s="118">
        <v>52.900799999999997</v>
      </c>
      <c r="H31" s="118">
        <v>-11.849</v>
      </c>
      <c r="I31" s="118">
        <v>52.901200000000003</v>
      </c>
      <c r="J31" s="118"/>
      <c r="K31" s="355"/>
      <c r="L31" s="355"/>
      <c r="M31" s="359"/>
      <c r="N31">
        <f t="shared" si="0"/>
        <v>0</v>
      </c>
    </row>
    <row r="32" spans="1:14" ht="30.95" customHeight="1" x14ac:dyDescent="0.3">
      <c r="A32" s="18">
        <v>28</v>
      </c>
      <c r="B32" s="394"/>
      <c r="C32" s="76"/>
      <c r="D32" s="77"/>
      <c r="E32" s="76"/>
      <c r="F32" s="118">
        <v>-19.994</v>
      </c>
      <c r="G32" s="118">
        <v>52.895699999999998</v>
      </c>
      <c r="H32" s="118">
        <v>-11.84</v>
      </c>
      <c r="I32" s="118">
        <v>52.898699999999998</v>
      </c>
      <c r="J32" s="118"/>
      <c r="K32" s="355"/>
      <c r="L32" s="355"/>
      <c r="M32" s="359"/>
      <c r="N32">
        <f t="shared" si="0"/>
        <v>0</v>
      </c>
    </row>
    <row r="33" spans="1:14" ht="30.95" customHeight="1" x14ac:dyDescent="0.3">
      <c r="A33" s="18">
        <v>29</v>
      </c>
      <c r="B33" s="394"/>
      <c r="C33" s="76"/>
      <c r="D33" s="77"/>
      <c r="E33" s="76"/>
      <c r="F33" s="118">
        <v>-19.981999999999999</v>
      </c>
      <c r="G33" s="118">
        <v>52.760399999999997</v>
      </c>
      <c r="H33" s="118">
        <v>-12.346</v>
      </c>
      <c r="I33" s="118">
        <v>52.896099999999997</v>
      </c>
      <c r="J33" s="118"/>
      <c r="K33" s="355"/>
      <c r="L33" s="355"/>
      <c r="M33" s="359"/>
      <c r="N33">
        <f t="shared" si="0"/>
        <v>0</v>
      </c>
    </row>
    <row r="34" spans="1:14" ht="30.95" customHeight="1" x14ac:dyDescent="0.3">
      <c r="A34" s="18">
        <v>30</v>
      </c>
      <c r="B34" s="394"/>
      <c r="C34" s="76"/>
      <c r="D34" s="77"/>
      <c r="E34" s="76"/>
      <c r="F34" s="118">
        <v>-19.431999999999999</v>
      </c>
      <c r="G34" s="118">
        <v>52.893099999999997</v>
      </c>
      <c r="H34" s="118">
        <v>-11.641999999999999</v>
      </c>
      <c r="I34" s="118">
        <v>52.896099999999997</v>
      </c>
      <c r="J34" s="118"/>
      <c r="K34" s="355"/>
      <c r="L34" s="355"/>
      <c r="M34" s="359"/>
      <c r="N34">
        <f t="shared" si="0"/>
        <v>0</v>
      </c>
    </row>
    <row r="35" spans="1:14" ht="30.95" customHeight="1" x14ac:dyDescent="0.3">
      <c r="A35" s="18">
        <v>31</v>
      </c>
      <c r="B35" s="394"/>
      <c r="C35" s="35" t="s">
        <v>362</v>
      </c>
      <c r="D35" s="12" t="s">
        <v>199</v>
      </c>
      <c r="E35" s="35"/>
      <c r="F35" s="116"/>
      <c r="G35" s="116"/>
      <c r="H35" s="116"/>
      <c r="I35" s="116"/>
      <c r="J35" s="116"/>
      <c r="K35" s="355"/>
      <c r="L35" s="355"/>
      <c r="M35" s="359"/>
      <c r="N35">
        <f t="shared" si="0"/>
        <v>1</v>
      </c>
    </row>
    <row r="36" spans="1:14" ht="30.95" customHeight="1" x14ac:dyDescent="0.3">
      <c r="A36" s="18">
        <v>32</v>
      </c>
      <c r="B36" s="394"/>
      <c r="C36" s="35" t="s">
        <v>362</v>
      </c>
      <c r="D36" s="12" t="s">
        <v>199</v>
      </c>
      <c r="E36" s="35"/>
      <c r="F36" s="116"/>
      <c r="G36" s="116"/>
      <c r="H36" s="116"/>
      <c r="I36" s="116"/>
      <c r="J36" s="116"/>
      <c r="K36" s="355"/>
      <c r="L36" s="355"/>
      <c r="M36" s="359"/>
      <c r="N36">
        <f t="shared" si="0"/>
        <v>1</v>
      </c>
    </row>
    <row r="37" spans="1:14" ht="30.95" customHeight="1" x14ac:dyDescent="0.3">
      <c r="A37" s="18">
        <v>33</v>
      </c>
      <c r="B37" s="394"/>
      <c r="C37" s="76"/>
      <c r="D37" s="77"/>
      <c r="E37" s="76"/>
      <c r="F37" s="118">
        <v>-19.843</v>
      </c>
      <c r="G37" s="118">
        <v>52.893099999999997</v>
      </c>
      <c r="H37" s="118">
        <v>-11.819000000000001</v>
      </c>
      <c r="I37" s="118">
        <v>52.890999999999998</v>
      </c>
      <c r="J37" s="118"/>
      <c r="K37" s="355"/>
      <c r="L37" s="355"/>
      <c r="M37" s="359"/>
      <c r="N37">
        <f t="shared" si="0"/>
        <v>0</v>
      </c>
    </row>
    <row r="38" spans="1:14" ht="30.95" customHeight="1" x14ac:dyDescent="0.3">
      <c r="A38" s="18">
        <v>34</v>
      </c>
      <c r="B38" s="394"/>
      <c r="C38" s="76"/>
      <c r="D38" s="77"/>
      <c r="E38" s="76"/>
      <c r="F38" s="118">
        <v>-19.783000000000001</v>
      </c>
      <c r="G38" s="118">
        <v>52.890599999999999</v>
      </c>
      <c r="H38" s="118">
        <v>-11.856999999999999</v>
      </c>
      <c r="I38" s="118">
        <v>52.893599999999999</v>
      </c>
      <c r="J38" s="118"/>
      <c r="K38" s="355"/>
      <c r="L38" s="355"/>
      <c r="M38" s="359"/>
      <c r="N38">
        <f t="shared" si="0"/>
        <v>0</v>
      </c>
    </row>
    <row r="39" spans="1:14" ht="30.95" customHeight="1" x14ac:dyDescent="0.3">
      <c r="A39" s="18">
        <v>35</v>
      </c>
      <c r="B39" s="394"/>
      <c r="C39" s="76"/>
      <c r="D39" s="77"/>
      <c r="E39" s="76"/>
      <c r="F39" s="118">
        <v>-19.494</v>
      </c>
      <c r="G39" s="118">
        <v>52.890599999999999</v>
      </c>
      <c r="H39" s="118">
        <v>-11.615</v>
      </c>
      <c r="I39" s="118">
        <v>52.888500000000001</v>
      </c>
      <c r="J39" s="118"/>
      <c r="K39" s="355"/>
      <c r="L39" s="355"/>
      <c r="M39" s="359"/>
      <c r="N39">
        <f t="shared" si="0"/>
        <v>0</v>
      </c>
    </row>
    <row r="40" spans="1:14" ht="30.95" customHeight="1" x14ac:dyDescent="0.3">
      <c r="A40" s="18">
        <v>36</v>
      </c>
      <c r="B40" s="394"/>
      <c r="C40" s="76"/>
      <c r="D40" s="77"/>
      <c r="E40" s="76"/>
      <c r="F40" s="118">
        <v>-19.867999999999999</v>
      </c>
      <c r="G40" s="118">
        <v>52.8855</v>
      </c>
      <c r="H40" s="118">
        <v>-12.013999999999999</v>
      </c>
      <c r="I40" s="118">
        <v>52.880800000000001</v>
      </c>
      <c r="J40" s="118"/>
      <c r="K40" s="355"/>
      <c r="L40" s="355"/>
      <c r="M40" s="359"/>
      <c r="N40">
        <f t="shared" si="0"/>
        <v>0</v>
      </c>
    </row>
    <row r="41" spans="1:14" ht="30.95" customHeight="1" x14ac:dyDescent="0.3">
      <c r="A41" s="18">
        <v>37</v>
      </c>
      <c r="B41" s="394"/>
      <c r="C41" s="76"/>
      <c r="D41" s="77"/>
      <c r="E41" s="76"/>
      <c r="F41" s="118">
        <v>-19.844000000000001</v>
      </c>
      <c r="G41" s="118">
        <v>52.900799999999997</v>
      </c>
      <c r="H41" s="118">
        <v>-11.763999999999999</v>
      </c>
      <c r="I41" s="118">
        <v>52.898699999999998</v>
      </c>
      <c r="J41" s="118"/>
      <c r="K41" s="355"/>
      <c r="L41" s="355"/>
      <c r="M41" s="359"/>
      <c r="N41">
        <f t="shared" si="0"/>
        <v>0</v>
      </c>
    </row>
    <row r="42" spans="1:14" s="11" customFormat="1" ht="30.95" customHeight="1" x14ac:dyDescent="0.3">
      <c r="A42" s="18">
        <v>38</v>
      </c>
      <c r="B42" s="394"/>
      <c r="C42" s="76"/>
      <c r="D42" s="77"/>
      <c r="E42" s="76"/>
      <c r="F42" s="118">
        <v>-19.728999999999999</v>
      </c>
      <c r="G42" s="118">
        <v>52.900799999999997</v>
      </c>
      <c r="H42" s="118">
        <v>-11.68</v>
      </c>
      <c r="I42" s="118">
        <v>52.901200000000003</v>
      </c>
      <c r="J42" s="118"/>
      <c r="K42" s="355"/>
      <c r="L42" s="355"/>
      <c r="M42" s="359"/>
      <c r="N42">
        <f t="shared" si="0"/>
        <v>0</v>
      </c>
    </row>
    <row r="43" spans="1:14" s="11" customFormat="1" ht="30.95" customHeight="1" x14ac:dyDescent="0.3">
      <c r="A43" s="18">
        <v>39</v>
      </c>
      <c r="B43" s="394"/>
      <c r="C43" s="76"/>
      <c r="D43" s="77"/>
      <c r="E43" s="76"/>
      <c r="F43" s="118">
        <v>-19.55</v>
      </c>
      <c r="G43" s="118">
        <v>52.900799999999997</v>
      </c>
      <c r="H43" s="118">
        <v>-11.574</v>
      </c>
      <c r="I43" s="118">
        <v>52.901200000000003</v>
      </c>
      <c r="J43" s="118"/>
      <c r="K43" s="355"/>
      <c r="L43" s="355"/>
      <c r="M43" s="359"/>
      <c r="N43">
        <f t="shared" si="0"/>
        <v>0</v>
      </c>
    </row>
    <row r="44" spans="1:14" s="11" customFormat="1" ht="30.95" customHeight="1" x14ac:dyDescent="0.3">
      <c r="A44" s="18">
        <v>40</v>
      </c>
      <c r="B44" s="394"/>
      <c r="C44" s="76"/>
      <c r="D44" s="77"/>
      <c r="E44" s="76"/>
      <c r="F44" s="118">
        <v>-19.640999999999998</v>
      </c>
      <c r="G44" s="118">
        <v>52.900799999999997</v>
      </c>
      <c r="H44" s="118">
        <v>-11.755000000000001</v>
      </c>
      <c r="I44" s="118">
        <v>52.893599999999999</v>
      </c>
      <c r="J44" s="118"/>
      <c r="K44" s="355"/>
      <c r="L44" s="355"/>
      <c r="M44" s="359"/>
      <c r="N44">
        <f t="shared" si="0"/>
        <v>0</v>
      </c>
    </row>
    <row r="45" spans="1:14" s="11" customFormat="1" ht="30.95" customHeight="1" x14ac:dyDescent="0.3">
      <c r="A45" s="18">
        <v>41</v>
      </c>
      <c r="B45" s="394"/>
      <c r="C45" s="35" t="s">
        <v>362</v>
      </c>
      <c r="D45" s="12" t="s">
        <v>200</v>
      </c>
      <c r="E45" s="35"/>
      <c r="F45" s="116"/>
      <c r="G45" s="116"/>
      <c r="H45" s="116"/>
      <c r="I45" s="116"/>
      <c r="J45" s="116"/>
      <c r="K45" s="355"/>
      <c r="L45" s="355"/>
      <c r="M45" s="359"/>
      <c r="N45">
        <f t="shared" si="0"/>
        <v>1</v>
      </c>
    </row>
    <row r="46" spans="1:14" s="11" customFormat="1" ht="30.95" customHeight="1" x14ac:dyDescent="0.3">
      <c r="A46" s="18">
        <v>42</v>
      </c>
      <c r="B46" s="394"/>
      <c r="C46" s="35" t="s">
        <v>362</v>
      </c>
      <c r="D46" s="12" t="s">
        <v>200</v>
      </c>
      <c r="E46" s="35"/>
      <c r="F46" s="116"/>
      <c r="G46" s="116"/>
      <c r="H46" s="116"/>
      <c r="I46" s="116"/>
      <c r="J46" s="116"/>
      <c r="K46" s="355"/>
      <c r="L46" s="355"/>
      <c r="M46" s="359"/>
      <c r="N46">
        <f t="shared" si="0"/>
        <v>1</v>
      </c>
    </row>
    <row r="47" spans="1:14" s="11" customFormat="1" ht="30.95" customHeight="1" x14ac:dyDescent="0.3">
      <c r="A47" s="18">
        <v>43</v>
      </c>
      <c r="B47" s="394"/>
      <c r="C47" s="76"/>
      <c r="D47" s="77"/>
      <c r="E47" s="76"/>
      <c r="F47" s="118">
        <v>-19.754000000000001</v>
      </c>
      <c r="G47" s="118">
        <v>52.895699999999998</v>
      </c>
      <c r="H47" s="118">
        <v>-12.064</v>
      </c>
      <c r="I47" s="118">
        <v>52.890999999999998</v>
      </c>
      <c r="J47" s="118"/>
      <c r="K47" s="355"/>
      <c r="L47" s="355"/>
      <c r="M47" s="359"/>
      <c r="N47">
        <f t="shared" si="0"/>
        <v>0</v>
      </c>
    </row>
    <row r="48" spans="1:14" s="11" customFormat="1" ht="30.95" customHeight="1" x14ac:dyDescent="0.3">
      <c r="A48" s="18">
        <v>44</v>
      </c>
      <c r="B48" s="394"/>
      <c r="C48" s="76"/>
      <c r="D48" s="77"/>
      <c r="E48" s="76"/>
      <c r="F48" s="118">
        <v>-19.724</v>
      </c>
      <c r="G48" s="118">
        <v>52.895699999999998</v>
      </c>
      <c r="H48" s="118">
        <v>-12.052</v>
      </c>
      <c r="I48" s="118">
        <v>52.896099999999997</v>
      </c>
      <c r="J48" s="118"/>
      <c r="K48" s="355"/>
      <c r="L48" s="355"/>
      <c r="M48" s="359"/>
      <c r="N48">
        <f t="shared" si="0"/>
        <v>0</v>
      </c>
    </row>
    <row r="49" spans="1:17" s="11" customFormat="1" ht="30.95" customHeight="1" x14ac:dyDescent="0.3">
      <c r="A49" s="18">
        <v>45</v>
      </c>
      <c r="B49" s="394"/>
      <c r="C49" s="35" t="s">
        <v>433</v>
      </c>
      <c r="D49" s="12" t="s">
        <v>434</v>
      </c>
      <c r="E49" s="35" t="s">
        <v>435</v>
      </c>
      <c r="F49" s="116"/>
      <c r="G49" s="116"/>
      <c r="H49" s="116"/>
      <c r="I49" s="116"/>
      <c r="J49" s="116"/>
      <c r="K49" s="355"/>
      <c r="L49" s="355"/>
      <c r="M49" s="359"/>
      <c r="N49">
        <f t="shared" si="0"/>
        <v>1</v>
      </c>
    </row>
    <row r="50" spans="1:17" s="11" customFormat="1" ht="30.95" customHeight="1" x14ac:dyDescent="0.3">
      <c r="A50" s="18">
        <v>46</v>
      </c>
      <c r="B50" s="394"/>
      <c r="C50" s="35" t="s">
        <v>35</v>
      </c>
      <c r="D50" s="12" t="s">
        <v>434</v>
      </c>
      <c r="E50" s="35" t="s">
        <v>435</v>
      </c>
      <c r="F50" s="116"/>
      <c r="G50" s="116"/>
      <c r="H50" s="116"/>
      <c r="I50" s="116"/>
      <c r="J50" s="116"/>
      <c r="K50" s="355"/>
      <c r="L50" s="355"/>
      <c r="M50" s="359"/>
      <c r="N50">
        <f t="shared" si="0"/>
        <v>1</v>
      </c>
    </row>
    <row r="51" spans="1:17" s="11" customFormat="1" ht="30.95" customHeight="1" x14ac:dyDescent="0.3">
      <c r="A51" s="18">
        <v>47</v>
      </c>
      <c r="B51" s="394"/>
      <c r="C51" s="76"/>
      <c r="D51" s="77"/>
      <c r="E51" s="76"/>
      <c r="F51" s="118">
        <v>-19.533999999999999</v>
      </c>
      <c r="G51" s="118">
        <v>52.895699999999998</v>
      </c>
      <c r="H51" s="118">
        <v>-11.821999999999999</v>
      </c>
      <c r="I51" s="118">
        <v>52.896099999999997</v>
      </c>
      <c r="J51" s="118"/>
      <c r="K51" s="355"/>
      <c r="L51" s="355"/>
      <c r="M51" s="359"/>
      <c r="N51">
        <f t="shared" si="0"/>
        <v>0</v>
      </c>
    </row>
    <row r="52" spans="1:17" s="11" customFormat="1" ht="30.95" customHeight="1" thickBot="1" x14ac:dyDescent="0.35">
      <c r="A52" s="21">
        <v>48</v>
      </c>
      <c r="B52" s="395"/>
      <c r="C52" s="82"/>
      <c r="D52" s="147"/>
      <c r="E52" s="82"/>
      <c r="F52" s="148">
        <v>-19.609000000000002</v>
      </c>
      <c r="G52" s="148">
        <v>52.893099999999997</v>
      </c>
      <c r="H52" s="148">
        <v>-11.805</v>
      </c>
      <c r="I52" s="148">
        <v>52.890999999999998</v>
      </c>
      <c r="J52" s="118"/>
      <c r="K52" s="356"/>
      <c r="L52" s="356"/>
      <c r="M52" s="360"/>
      <c r="N52">
        <f t="shared" si="0"/>
        <v>0</v>
      </c>
      <c r="P52" s="11">
        <f>SUM(F5:F10,F12,F19,F21:F22,F31:F34,F37:F44,F47:F48,F51:F52)/25</f>
        <v>-20.624240000000004</v>
      </c>
      <c r="Q52" s="11">
        <f>SUM(H5:H9,H10,H12,H19,H21:H22,H31:H34,H37:H44,H47:H48,H51:H52)/25</f>
        <v>-12.335520000000004</v>
      </c>
    </row>
    <row r="53" spans="1:17" s="11" customFormat="1" ht="30.95" customHeight="1" x14ac:dyDescent="0.3">
      <c r="A53" s="374" t="s">
        <v>8</v>
      </c>
      <c r="B53" s="325"/>
      <c r="C53" s="325"/>
      <c r="D53" s="110" t="s">
        <v>11</v>
      </c>
      <c r="E53" s="110" t="s">
        <v>12</v>
      </c>
      <c r="F53" s="338" t="s">
        <v>728</v>
      </c>
      <c r="G53" s="338"/>
      <c r="H53" s="338"/>
      <c r="I53" s="338"/>
      <c r="J53" s="338"/>
      <c r="K53" s="332" t="s">
        <v>10</v>
      </c>
      <c r="L53" s="331" t="s">
        <v>32</v>
      </c>
      <c r="M53" s="331" t="s">
        <v>33</v>
      </c>
      <c r="N53">
        <f t="shared" si="0"/>
        <v>0</v>
      </c>
    </row>
    <row r="54" spans="1:17" s="11" customFormat="1" ht="30.95" customHeight="1" x14ac:dyDescent="0.3">
      <c r="A54" s="336" t="s">
        <v>9</v>
      </c>
      <c r="B54" s="337"/>
      <c r="C54" s="337"/>
      <c r="D54" s="368" t="s">
        <v>639</v>
      </c>
      <c r="E54" s="337" t="s">
        <v>687</v>
      </c>
      <c r="F54" s="349" t="s">
        <v>5</v>
      </c>
      <c r="G54" s="349"/>
      <c r="H54" s="349" t="s">
        <v>7</v>
      </c>
      <c r="I54" s="349"/>
      <c r="J54" s="369" t="s">
        <v>628</v>
      </c>
      <c r="K54" s="332"/>
      <c r="L54" s="332"/>
      <c r="M54" s="332"/>
      <c r="N54">
        <f t="shared" si="0"/>
        <v>0</v>
      </c>
    </row>
    <row r="55" spans="1:17" s="11" customFormat="1" ht="30.95" customHeight="1" x14ac:dyDescent="0.3">
      <c r="A55" s="336"/>
      <c r="B55" s="337"/>
      <c r="C55" s="337"/>
      <c r="D55" s="368"/>
      <c r="E55" s="337"/>
      <c r="F55" s="201" t="s">
        <v>638</v>
      </c>
      <c r="G55" s="214">
        <f>전송손실!M6</f>
        <v>-18.969608000000001</v>
      </c>
      <c r="H55" s="201" t="s">
        <v>638</v>
      </c>
      <c r="I55" s="214">
        <f>전송손실!M32</f>
        <v>-12.495315999999999</v>
      </c>
      <c r="J55" s="369"/>
      <c r="K55" s="332"/>
      <c r="L55" s="332"/>
      <c r="M55" s="332"/>
      <c r="N55"/>
    </row>
    <row r="56" spans="1:17" s="11" customFormat="1" ht="30.95" customHeight="1" thickBot="1" x14ac:dyDescent="0.35">
      <c r="A56" s="203" t="s">
        <v>0</v>
      </c>
      <c r="B56" s="203" t="s">
        <v>1</v>
      </c>
      <c r="C56" s="203" t="s">
        <v>23</v>
      </c>
      <c r="D56" s="203" t="s">
        <v>2</v>
      </c>
      <c r="E56" s="203" t="s">
        <v>3</v>
      </c>
      <c r="F56" s="203" t="s">
        <v>4</v>
      </c>
      <c r="G56" s="203" t="s">
        <v>506</v>
      </c>
      <c r="H56" s="203" t="s">
        <v>4</v>
      </c>
      <c r="I56" s="203" t="s">
        <v>506</v>
      </c>
      <c r="J56" s="370"/>
      <c r="K56" s="367"/>
      <c r="L56" s="367"/>
      <c r="M56" s="367"/>
      <c r="N56">
        <f t="shared" si="0"/>
        <v>1</v>
      </c>
    </row>
    <row r="57" spans="1:17" s="11" customFormat="1" ht="30.95" customHeight="1" x14ac:dyDescent="0.3">
      <c r="A57" s="69">
        <v>1</v>
      </c>
      <c r="B57" s="393" t="s">
        <v>201</v>
      </c>
      <c r="C57" s="73"/>
      <c r="D57" s="74" t="s">
        <v>632</v>
      </c>
      <c r="E57" s="73"/>
      <c r="F57" s="151">
        <v>-23.352</v>
      </c>
      <c r="G57" s="151">
        <v>61.267800000000001</v>
      </c>
      <c r="H57" s="151">
        <v>-22.513000000000002</v>
      </c>
      <c r="I57" s="151">
        <v>86.870500000000007</v>
      </c>
      <c r="J57" s="151"/>
      <c r="K57" s="355" t="s">
        <v>424</v>
      </c>
      <c r="L57" s="355"/>
      <c r="M57" s="359"/>
      <c r="N57">
        <f t="shared" si="0"/>
        <v>0</v>
      </c>
    </row>
    <row r="58" spans="1:17" s="11" customFormat="1" ht="30.95" customHeight="1" x14ac:dyDescent="0.3">
      <c r="A58" s="29">
        <v>2</v>
      </c>
      <c r="B58" s="338"/>
      <c r="C58" s="76"/>
      <c r="D58" s="74" t="s">
        <v>632</v>
      </c>
      <c r="E58" s="76"/>
      <c r="F58" s="118">
        <v>-25.335000000000001</v>
      </c>
      <c r="G58" s="118">
        <v>64.753</v>
      </c>
      <c r="H58" s="118">
        <v>-24.933</v>
      </c>
      <c r="I58" s="118">
        <v>82.830500000000001</v>
      </c>
      <c r="J58" s="118"/>
      <c r="K58" s="355"/>
      <c r="L58" s="355"/>
      <c r="M58" s="359"/>
      <c r="N58">
        <f t="shared" si="0"/>
        <v>0</v>
      </c>
    </row>
    <row r="59" spans="1:17" s="11" customFormat="1" ht="30.95" customHeight="1" x14ac:dyDescent="0.3">
      <c r="A59" s="29">
        <v>3</v>
      </c>
      <c r="B59" s="338"/>
      <c r="C59" s="35" t="s">
        <v>356</v>
      </c>
      <c r="D59" s="12" t="s">
        <v>202</v>
      </c>
      <c r="E59" s="35"/>
      <c r="F59" s="116"/>
      <c r="G59" s="116"/>
      <c r="H59" s="116"/>
      <c r="I59" s="116"/>
      <c r="J59" s="116"/>
      <c r="K59" s="355"/>
      <c r="L59" s="355"/>
      <c r="M59" s="359"/>
      <c r="N59">
        <f t="shared" si="0"/>
        <v>1</v>
      </c>
    </row>
    <row r="60" spans="1:17" s="11" customFormat="1" ht="30.95" customHeight="1" x14ac:dyDescent="0.3">
      <c r="A60" s="29">
        <v>4</v>
      </c>
      <c r="B60" s="338"/>
      <c r="C60" s="35" t="s">
        <v>356</v>
      </c>
      <c r="D60" s="12" t="s">
        <v>204</v>
      </c>
      <c r="E60" s="35"/>
      <c r="F60" s="116"/>
      <c r="G60" s="116"/>
      <c r="H60" s="116"/>
      <c r="I60" s="116"/>
      <c r="J60" s="116"/>
      <c r="K60" s="355"/>
      <c r="L60" s="355"/>
      <c r="M60" s="359"/>
      <c r="N60">
        <f t="shared" si="0"/>
        <v>1</v>
      </c>
    </row>
    <row r="61" spans="1:17" s="11" customFormat="1" ht="30.95" customHeight="1" x14ac:dyDescent="0.3">
      <c r="A61" s="29">
        <v>5</v>
      </c>
      <c r="B61" s="338"/>
      <c r="C61" s="35" t="s">
        <v>356</v>
      </c>
      <c r="D61" s="12" t="s">
        <v>205</v>
      </c>
      <c r="E61" s="35"/>
      <c r="F61" s="116"/>
      <c r="G61" s="116"/>
      <c r="H61" s="116"/>
      <c r="I61" s="116"/>
      <c r="J61" s="116"/>
      <c r="K61" s="355"/>
      <c r="L61" s="355"/>
      <c r="M61" s="359"/>
      <c r="N61">
        <f t="shared" si="0"/>
        <v>1</v>
      </c>
    </row>
    <row r="62" spans="1:17" s="11" customFormat="1" ht="30.95" customHeight="1" x14ac:dyDescent="0.3">
      <c r="A62" s="29">
        <v>6</v>
      </c>
      <c r="B62" s="338"/>
      <c r="C62" s="35" t="s">
        <v>356</v>
      </c>
      <c r="D62" s="12" t="s">
        <v>203</v>
      </c>
      <c r="E62" s="35"/>
      <c r="F62" s="116"/>
      <c r="G62" s="116"/>
      <c r="H62" s="116"/>
      <c r="I62" s="116"/>
      <c r="J62" s="116"/>
      <c r="K62" s="355"/>
      <c r="L62" s="355"/>
      <c r="M62" s="359"/>
      <c r="N62">
        <f t="shared" si="0"/>
        <v>1</v>
      </c>
    </row>
    <row r="63" spans="1:17" s="11" customFormat="1" ht="30.95" customHeight="1" x14ac:dyDescent="0.3">
      <c r="A63" s="29">
        <v>7</v>
      </c>
      <c r="B63" s="338"/>
      <c r="C63" s="76"/>
      <c r="D63" s="77"/>
      <c r="E63" s="76"/>
      <c r="F63" s="118">
        <v>-15.536</v>
      </c>
      <c r="G63" s="118">
        <v>40.892899999999997</v>
      </c>
      <c r="H63" s="118">
        <v>-10.066000000000001</v>
      </c>
      <c r="I63" s="118">
        <v>40.898400000000002</v>
      </c>
      <c r="J63" s="118"/>
      <c r="K63" s="355"/>
      <c r="L63" s="355"/>
      <c r="M63" s="359"/>
      <c r="N63">
        <f t="shared" si="0"/>
        <v>0</v>
      </c>
    </row>
    <row r="64" spans="1:17" s="11" customFormat="1" ht="30.95" customHeight="1" x14ac:dyDescent="0.3">
      <c r="A64" s="29">
        <v>8</v>
      </c>
      <c r="B64" s="338"/>
      <c r="C64" s="76"/>
      <c r="D64" s="77"/>
      <c r="E64" s="76"/>
      <c r="F64" s="118">
        <v>-15.474</v>
      </c>
      <c r="G64" s="118">
        <v>40.900500000000001</v>
      </c>
      <c r="H64" s="118">
        <v>-9.8940000000000001</v>
      </c>
      <c r="I64" s="118">
        <v>40.893300000000004</v>
      </c>
      <c r="J64" s="118"/>
      <c r="K64" s="355"/>
      <c r="L64" s="355"/>
      <c r="M64" s="359"/>
      <c r="N64">
        <f t="shared" si="0"/>
        <v>0</v>
      </c>
    </row>
    <row r="65" spans="1:17" s="11" customFormat="1" ht="30.95" customHeight="1" x14ac:dyDescent="0.3">
      <c r="A65" s="29">
        <v>9</v>
      </c>
      <c r="B65" s="338"/>
      <c r="C65" s="35" t="s">
        <v>356</v>
      </c>
      <c r="D65" s="12" t="s">
        <v>206</v>
      </c>
      <c r="E65" s="35"/>
      <c r="F65" s="116"/>
      <c r="G65" s="116"/>
      <c r="H65" s="116"/>
      <c r="I65" s="116"/>
      <c r="J65" s="116"/>
      <c r="K65" s="355"/>
      <c r="L65" s="355"/>
      <c r="M65" s="359"/>
      <c r="N65">
        <f t="shared" si="0"/>
        <v>1</v>
      </c>
    </row>
    <row r="66" spans="1:17" s="11" customFormat="1" ht="30.95" customHeight="1" x14ac:dyDescent="0.3">
      <c r="A66" s="29">
        <v>10</v>
      </c>
      <c r="B66" s="338"/>
      <c r="C66" s="35" t="s">
        <v>356</v>
      </c>
      <c r="D66" s="12" t="s">
        <v>207</v>
      </c>
      <c r="E66" s="35"/>
      <c r="F66" s="116"/>
      <c r="G66" s="116"/>
      <c r="H66" s="116"/>
      <c r="I66" s="116"/>
      <c r="J66" s="116"/>
      <c r="K66" s="355"/>
      <c r="L66" s="355"/>
      <c r="M66" s="359"/>
      <c r="N66">
        <f t="shared" si="0"/>
        <v>1</v>
      </c>
    </row>
    <row r="67" spans="1:17" s="11" customFormat="1" ht="30.95" customHeight="1" x14ac:dyDescent="0.3">
      <c r="A67" s="29">
        <v>11</v>
      </c>
      <c r="B67" s="338"/>
      <c r="C67" s="35" t="s">
        <v>356</v>
      </c>
      <c r="D67" s="12" t="s">
        <v>209</v>
      </c>
      <c r="E67" s="35"/>
      <c r="F67" s="116"/>
      <c r="G67" s="116"/>
      <c r="H67" s="116"/>
      <c r="I67" s="116"/>
      <c r="J67" s="116"/>
      <c r="K67" s="355"/>
      <c r="L67" s="355"/>
      <c r="M67" s="359"/>
      <c r="N67">
        <f t="shared" si="0"/>
        <v>1</v>
      </c>
    </row>
    <row r="68" spans="1:17" s="11" customFormat="1" ht="30.95" customHeight="1" x14ac:dyDescent="0.3">
      <c r="A68" s="29">
        <v>12</v>
      </c>
      <c r="B68" s="338"/>
      <c r="C68" s="35" t="s">
        <v>356</v>
      </c>
      <c r="D68" s="12" t="s">
        <v>208</v>
      </c>
      <c r="E68" s="35"/>
      <c r="F68" s="116"/>
      <c r="G68" s="116"/>
      <c r="H68" s="116"/>
      <c r="I68" s="116"/>
      <c r="J68" s="116"/>
      <c r="K68" s="355"/>
      <c r="L68" s="355"/>
      <c r="M68" s="359"/>
      <c r="N68">
        <f t="shared" si="0"/>
        <v>1</v>
      </c>
    </row>
    <row r="69" spans="1:17" s="11" customFormat="1" ht="30.95" customHeight="1" x14ac:dyDescent="0.3">
      <c r="A69" s="29">
        <v>13</v>
      </c>
      <c r="B69" s="338"/>
      <c r="C69" s="35" t="s">
        <v>360</v>
      </c>
      <c r="D69" s="12" t="s">
        <v>210</v>
      </c>
      <c r="E69" s="35"/>
      <c r="F69" s="116"/>
      <c r="G69" s="116"/>
      <c r="H69" s="116"/>
      <c r="I69" s="116"/>
      <c r="J69" s="116"/>
      <c r="K69" s="355"/>
      <c r="L69" s="355"/>
      <c r="M69" s="359"/>
      <c r="N69">
        <f t="shared" si="0"/>
        <v>1</v>
      </c>
    </row>
    <row r="70" spans="1:17" s="11" customFormat="1" ht="30.95" customHeight="1" x14ac:dyDescent="0.3">
      <c r="A70" s="29">
        <v>14</v>
      </c>
      <c r="B70" s="338"/>
      <c r="C70" s="85" t="s">
        <v>503</v>
      </c>
      <c r="D70" s="86" t="s">
        <v>505</v>
      </c>
      <c r="E70" s="85"/>
      <c r="F70" s="117"/>
      <c r="G70" s="117"/>
      <c r="H70" s="117"/>
      <c r="I70" s="117"/>
      <c r="J70" s="117"/>
      <c r="K70" s="355"/>
      <c r="L70" s="355"/>
      <c r="M70" s="359"/>
      <c r="N70">
        <f t="shared" si="0"/>
        <v>1</v>
      </c>
    </row>
    <row r="71" spans="1:17" s="11" customFormat="1" ht="30.95" customHeight="1" x14ac:dyDescent="0.3">
      <c r="A71" s="29">
        <v>15</v>
      </c>
      <c r="B71" s="338"/>
      <c r="C71" s="76"/>
      <c r="D71" s="77"/>
      <c r="E71" s="76"/>
      <c r="F71" s="118">
        <v>-15.237</v>
      </c>
      <c r="G71" s="118">
        <v>40.885199999999998</v>
      </c>
      <c r="H71" s="118">
        <v>-10.260999999999999</v>
      </c>
      <c r="I71" s="118">
        <v>40.883099999999999</v>
      </c>
      <c r="J71" s="118"/>
      <c r="K71" s="355"/>
      <c r="L71" s="355"/>
      <c r="M71" s="359"/>
      <c r="N71">
        <f t="shared" ref="N71:N136" si="1">IF(C71="",0,1)</f>
        <v>0</v>
      </c>
    </row>
    <row r="72" spans="1:17" s="11" customFormat="1" ht="30.95" customHeight="1" x14ac:dyDescent="0.3">
      <c r="A72" s="29">
        <v>16</v>
      </c>
      <c r="B72" s="338"/>
      <c r="C72" s="76"/>
      <c r="D72" s="77"/>
      <c r="E72" s="76"/>
      <c r="F72" s="118">
        <v>-15.016999999999999</v>
      </c>
      <c r="G72" s="118">
        <v>40.882599999999996</v>
      </c>
      <c r="H72" s="118">
        <v>-9.9670000000000005</v>
      </c>
      <c r="I72" s="118">
        <v>40.878</v>
      </c>
      <c r="J72" s="118"/>
      <c r="K72" s="355"/>
      <c r="L72" s="355"/>
      <c r="M72" s="359"/>
      <c r="N72">
        <f t="shared" si="1"/>
        <v>0</v>
      </c>
    </row>
    <row r="73" spans="1:17" s="11" customFormat="1" ht="30.95" customHeight="1" x14ac:dyDescent="0.3">
      <c r="A73" s="29">
        <v>17</v>
      </c>
      <c r="B73" s="338"/>
      <c r="C73" s="76"/>
      <c r="D73" s="77"/>
      <c r="E73" s="76"/>
      <c r="F73" s="118">
        <v>-15.497999999999999</v>
      </c>
      <c r="G73" s="118">
        <v>40.887799999999999</v>
      </c>
      <c r="H73" s="118">
        <v>-10.151999999999999</v>
      </c>
      <c r="I73" s="118">
        <v>40.8142</v>
      </c>
      <c r="J73" s="118"/>
      <c r="K73" s="355"/>
      <c r="L73" s="355"/>
      <c r="M73" s="359"/>
      <c r="N73">
        <f t="shared" si="1"/>
        <v>0</v>
      </c>
    </row>
    <row r="74" spans="1:17" s="11" customFormat="1" ht="30.95" customHeight="1" x14ac:dyDescent="0.3">
      <c r="A74" s="29">
        <v>18</v>
      </c>
      <c r="B74" s="338"/>
      <c r="C74" s="76"/>
      <c r="D74" s="77"/>
      <c r="E74" s="76"/>
      <c r="F74" s="118">
        <v>-15.510999999999999</v>
      </c>
      <c r="G74" s="118">
        <v>40.890300000000003</v>
      </c>
      <c r="H74" s="118">
        <v>-10.459</v>
      </c>
      <c r="I74" s="118">
        <v>40.890799999999999</v>
      </c>
      <c r="J74" s="118"/>
      <c r="K74" s="355"/>
      <c r="L74" s="355"/>
      <c r="M74" s="359"/>
      <c r="N74">
        <f t="shared" si="1"/>
        <v>0</v>
      </c>
    </row>
    <row r="75" spans="1:17" s="11" customFormat="1" ht="30.95" customHeight="1" x14ac:dyDescent="0.3">
      <c r="A75" s="29">
        <v>19</v>
      </c>
      <c r="B75" s="338"/>
      <c r="C75" s="76"/>
      <c r="D75" s="77"/>
      <c r="E75" s="76"/>
      <c r="F75" s="118">
        <v>-15.37</v>
      </c>
      <c r="G75" s="118">
        <v>40.882599999999996</v>
      </c>
      <c r="H75" s="118">
        <v>-10.025</v>
      </c>
      <c r="I75" s="118">
        <v>40.8857</v>
      </c>
      <c r="J75" s="118"/>
      <c r="K75" s="355"/>
      <c r="L75" s="355"/>
      <c r="M75" s="359"/>
      <c r="N75">
        <f t="shared" si="1"/>
        <v>0</v>
      </c>
    </row>
    <row r="76" spans="1:17" s="11" customFormat="1" ht="30.95" customHeight="1" x14ac:dyDescent="0.3">
      <c r="A76" s="29">
        <v>20</v>
      </c>
      <c r="B76" s="338"/>
      <c r="C76" s="76"/>
      <c r="D76" s="77"/>
      <c r="E76" s="76"/>
      <c r="F76" s="118">
        <v>-15.329000000000001</v>
      </c>
      <c r="G76" s="118">
        <v>40.892899999999997</v>
      </c>
      <c r="H76" s="118">
        <v>-9.6620000000000008</v>
      </c>
      <c r="I76" s="118">
        <v>40.8857</v>
      </c>
      <c r="J76" s="118"/>
      <c r="K76" s="355"/>
      <c r="L76" s="355"/>
      <c r="M76" s="359"/>
      <c r="N76">
        <f t="shared" si="1"/>
        <v>0</v>
      </c>
    </row>
    <row r="77" spans="1:17" s="11" customFormat="1" ht="30.95" customHeight="1" x14ac:dyDescent="0.3">
      <c r="A77" s="29">
        <v>21</v>
      </c>
      <c r="B77" s="338"/>
      <c r="C77" s="76"/>
      <c r="D77" s="77"/>
      <c r="E77" s="76"/>
      <c r="F77" s="118">
        <v>-15.994999999999999</v>
      </c>
      <c r="G77" s="118">
        <v>40.880099999999999</v>
      </c>
      <c r="H77" s="118">
        <v>-9.8940000000000001</v>
      </c>
      <c r="I77" s="118">
        <v>40.883099999999999</v>
      </c>
      <c r="J77" s="118"/>
      <c r="K77" s="355"/>
      <c r="L77" s="355"/>
      <c r="M77" s="359"/>
      <c r="N77">
        <f t="shared" si="1"/>
        <v>0</v>
      </c>
    </row>
    <row r="78" spans="1:17" s="11" customFormat="1" ht="30.95" customHeight="1" x14ac:dyDescent="0.3">
      <c r="A78" s="29">
        <v>22</v>
      </c>
      <c r="B78" s="338"/>
      <c r="C78" s="76"/>
      <c r="D78" s="77"/>
      <c r="E78" s="76"/>
      <c r="F78" s="118">
        <v>-15.374000000000001</v>
      </c>
      <c r="G78" s="118">
        <v>40.887799999999999</v>
      </c>
      <c r="H78" s="118">
        <v>-9.9369999999999994</v>
      </c>
      <c r="I78" s="118">
        <v>40.880600000000001</v>
      </c>
      <c r="J78" s="118"/>
      <c r="K78" s="355"/>
      <c r="L78" s="355"/>
      <c r="M78" s="359"/>
      <c r="N78">
        <f t="shared" si="1"/>
        <v>0</v>
      </c>
    </row>
    <row r="79" spans="1:17" s="11" customFormat="1" ht="30.95" customHeight="1" x14ac:dyDescent="0.3">
      <c r="A79" s="29">
        <v>23</v>
      </c>
      <c r="B79" s="338"/>
      <c r="C79" s="35" t="s">
        <v>357</v>
      </c>
      <c r="D79" s="12" t="s">
        <v>211</v>
      </c>
      <c r="E79" s="35"/>
      <c r="F79" s="116"/>
      <c r="G79" s="116"/>
      <c r="H79" s="116"/>
      <c r="I79" s="116"/>
      <c r="J79" s="116"/>
      <c r="K79" s="355"/>
      <c r="L79" s="355"/>
      <c r="M79" s="359"/>
      <c r="N79">
        <f t="shared" si="1"/>
        <v>1</v>
      </c>
    </row>
    <row r="80" spans="1:17" s="11" customFormat="1" ht="30.95" customHeight="1" thickBot="1" x14ac:dyDescent="0.35">
      <c r="A80" s="37">
        <v>24</v>
      </c>
      <c r="B80" s="339"/>
      <c r="C80" s="40" t="s">
        <v>357</v>
      </c>
      <c r="D80" s="22" t="s">
        <v>212</v>
      </c>
      <c r="E80" s="40"/>
      <c r="F80" s="128"/>
      <c r="G80" s="128"/>
      <c r="H80" s="128"/>
      <c r="I80" s="128"/>
      <c r="J80" s="128"/>
      <c r="K80" s="356"/>
      <c r="L80" s="356"/>
      <c r="M80" s="360"/>
      <c r="N80">
        <f t="shared" si="1"/>
        <v>1</v>
      </c>
      <c r="P80" s="11">
        <f>SUM(F63,F64,F71,F72,F73,F74,F75,F76,F77,F78)/10</f>
        <v>-15.434100000000001</v>
      </c>
      <c r="Q80" s="11">
        <f>SUM(H63,H64,H71,H72,H73,H74,H75,H76,H77,H78)/10</f>
        <v>-10.031700000000003</v>
      </c>
    </row>
    <row r="81" spans="1:14" s="11" customFormat="1" ht="30.95" customHeight="1" x14ac:dyDescent="0.3">
      <c r="A81" s="374" t="s">
        <v>8</v>
      </c>
      <c r="B81" s="325"/>
      <c r="C81" s="325"/>
      <c r="D81" s="110" t="s">
        <v>11</v>
      </c>
      <c r="E81" s="110" t="s">
        <v>12</v>
      </c>
      <c r="F81" s="338" t="s">
        <v>728</v>
      </c>
      <c r="G81" s="338"/>
      <c r="H81" s="338"/>
      <c r="I81" s="338"/>
      <c r="J81" s="338"/>
      <c r="K81" s="332" t="s">
        <v>10</v>
      </c>
      <c r="L81" s="331" t="s">
        <v>32</v>
      </c>
      <c r="M81" s="331" t="s">
        <v>33</v>
      </c>
      <c r="N81"/>
    </row>
    <row r="82" spans="1:14" s="11" customFormat="1" ht="30.95" customHeight="1" x14ac:dyDescent="0.3">
      <c r="A82" s="336" t="s">
        <v>9</v>
      </c>
      <c r="B82" s="337"/>
      <c r="C82" s="337"/>
      <c r="D82" s="368" t="s">
        <v>639</v>
      </c>
      <c r="E82" s="337" t="s">
        <v>687</v>
      </c>
      <c r="F82" s="349" t="s">
        <v>5</v>
      </c>
      <c r="G82" s="349"/>
      <c r="H82" s="349" t="s">
        <v>7</v>
      </c>
      <c r="I82" s="349"/>
      <c r="J82" s="369" t="s">
        <v>628</v>
      </c>
      <c r="K82" s="332"/>
      <c r="L82" s="332"/>
      <c r="M82" s="332"/>
      <c r="N82"/>
    </row>
    <row r="83" spans="1:14" s="11" customFormat="1" ht="30.95" customHeight="1" x14ac:dyDescent="0.3">
      <c r="A83" s="336"/>
      <c r="B83" s="337"/>
      <c r="C83" s="337"/>
      <c r="D83" s="368"/>
      <c r="E83" s="337"/>
      <c r="F83" s="201" t="s">
        <v>638</v>
      </c>
      <c r="G83" s="214">
        <f>전송손실!M12</f>
        <v>-9.498272</v>
      </c>
      <c r="H83" s="201" t="s">
        <v>638</v>
      </c>
      <c r="I83" s="214">
        <f>전송손실!M38</f>
        <v>-6.3389439999999997</v>
      </c>
      <c r="J83" s="369"/>
      <c r="K83" s="332"/>
      <c r="L83" s="332"/>
      <c r="M83" s="332"/>
      <c r="N83"/>
    </row>
    <row r="84" spans="1:14" s="11" customFormat="1" ht="30.95" customHeight="1" thickBot="1" x14ac:dyDescent="0.35">
      <c r="A84" s="203" t="s">
        <v>0</v>
      </c>
      <c r="B84" s="203" t="s">
        <v>1</v>
      </c>
      <c r="C84" s="203" t="s">
        <v>23</v>
      </c>
      <c r="D84" s="203" t="s">
        <v>2</v>
      </c>
      <c r="E84" s="203" t="s">
        <v>3</v>
      </c>
      <c r="F84" s="203" t="s">
        <v>4</v>
      </c>
      <c r="G84" s="203" t="s">
        <v>506</v>
      </c>
      <c r="H84" s="203" t="s">
        <v>4</v>
      </c>
      <c r="I84" s="203" t="s">
        <v>506</v>
      </c>
      <c r="J84" s="370"/>
      <c r="K84" s="367"/>
      <c r="L84" s="367"/>
      <c r="M84" s="367"/>
      <c r="N84"/>
    </row>
    <row r="85" spans="1:14" s="11" customFormat="1" ht="30.95" customHeight="1" x14ac:dyDescent="0.3">
      <c r="A85" s="64">
        <v>25</v>
      </c>
      <c r="B85" s="393" t="s">
        <v>213</v>
      </c>
      <c r="C85" s="62" t="s">
        <v>357</v>
      </c>
      <c r="D85" s="17" t="s">
        <v>214</v>
      </c>
      <c r="E85" s="62"/>
      <c r="F85" s="123"/>
      <c r="G85" s="123"/>
      <c r="H85" s="123"/>
      <c r="I85" s="123"/>
      <c r="J85" s="123"/>
      <c r="K85" s="355" t="s">
        <v>425</v>
      </c>
      <c r="L85" s="355"/>
      <c r="M85" s="359"/>
      <c r="N85">
        <f t="shared" si="1"/>
        <v>1</v>
      </c>
    </row>
    <row r="86" spans="1:14" s="11" customFormat="1" ht="30.95" customHeight="1" x14ac:dyDescent="0.3">
      <c r="A86" s="18">
        <v>26</v>
      </c>
      <c r="B86" s="338"/>
      <c r="C86" s="35" t="s">
        <v>357</v>
      </c>
      <c r="D86" s="12" t="s">
        <v>215</v>
      </c>
      <c r="E86" s="35"/>
      <c r="F86" s="116"/>
      <c r="G86" s="116"/>
      <c r="H86" s="116"/>
      <c r="I86" s="116"/>
      <c r="J86" s="116"/>
      <c r="K86" s="355"/>
      <c r="L86" s="355"/>
      <c r="M86" s="359"/>
      <c r="N86">
        <f t="shared" si="1"/>
        <v>1</v>
      </c>
    </row>
    <row r="87" spans="1:14" s="11" customFormat="1" ht="30.95" customHeight="1" x14ac:dyDescent="0.3">
      <c r="A87" s="18">
        <v>27</v>
      </c>
      <c r="B87" s="338"/>
      <c r="C87" s="85" t="s">
        <v>503</v>
      </c>
      <c r="D87" s="86" t="s">
        <v>504</v>
      </c>
      <c r="E87" s="85"/>
      <c r="F87" s="117"/>
      <c r="G87" s="117"/>
      <c r="H87" s="117"/>
      <c r="I87" s="117"/>
      <c r="J87" s="117"/>
      <c r="K87" s="355"/>
      <c r="L87" s="355"/>
      <c r="M87" s="359"/>
      <c r="N87">
        <f t="shared" si="1"/>
        <v>1</v>
      </c>
    </row>
    <row r="88" spans="1:14" s="11" customFormat="1" ht="30.95" customHeight="1" x14ac:dyDescent="0.3">
      <c r="A88" s="18">
        <v>28</v>
      </c>
      <c r="B88" s="338"/>
      <c r="C88" s="76"/>
      <c r="D88" s="77"/>
      <c r="E88" s="76"/>
      <c r="F88" s="118">
        <v>-7.7709999999999999</v>
      </c>
      <c r="G88" s="118">
        <v>21.4345</v>
      </c>
      <c r="H88" s="118">
        <v>-4.8550000000000004</v>
      </c>
      <c r="I88" s="118">
        <v>21.5122</v>
      </c>
      <c r="J88" s="118"/>
      <c r="K88" s="355"/>
      <c r="L88" s="355"/>
      <c r="M88" s="359"/>
      <c r="N88">
        <f t="shared" si="1"/>
        <v>0</v>
      </c>
    </row>
    <row r="89" spans="1:14" s="11" customFormat="1" ht="30.95" customHeight="1" x14ac:dyDescent="0.3">
      <c r="A89" s="18">
        <v>29</v>
      </c>
      <c r="B89" s="338"/>
      <c r="C89" s="76"/>
      <c r="D89" s="77"/>
      <c r="E89" s="76"/>
      <c r="F89" s="118">
        <v>-4.3319999999999999</v>
      </c>
      <c r="G89" s="118">
        <v>11.630699999999999</v>
      </c>
      <c r="H89" s="118">
        <v>-2.6920000000000002</v>
      </c>
      <c r="I89" s="118">
        <v>11.6289</v>
      </c>
      <c r="J89" s="118" t="s">
        <v>513</v>
      </c>
      <c r="K89" s="355"/>
      <c r="L89" s="355"/>
      <c r="M89" s="359"/>
      <c r="N89">
        <f t="shared" si="1"/>
        <v>0</v>
      </c>
    </row>
    <row r="90" spans="1:14" s="11" customFormat="1" ht="30.95" customHeight="1" x14ac:dyDescent="0.3">
      <c r="A90" s="18">
        <v>30</v>
      </c>
      <c r="B90" s="338"/>
      <c r="C90" s="76"/>
      <c r="D90" s="77"/>
      <c r="E90" s="76"/>
      <c r="F90" s="118">
        <v>-7.3109999999999999</v>
      </c>
      <c r="G90" s="118">
        <v>20.003799999999998</v>
      </c>
      <c r="H90" s="118">
        <v>-4.6269999999999998</v>
      </c>
      <c r="I90" s="118">
        <v>19.995200000000001</v>
      </c>
      <c r="J90" s="118"/>
      <c r="K90" s="355"/>
      <c r="L90" s="355"/>
      <c r="M90" s="359"/>
      <c r="N90">
        <f t="shared" si="1"/>
        <v>0</v>
      </c>
    </row>
    <row r="91" spans="1:14" s="11" customFormat="1" ht="30.95" customHeight="1" x14ac:dyDescent="0.3">
      <c r="A91" s="18">
        <v>31</v>
      </c>
      <c r="B91" s="338"/>
      <c r="C91" s="76"/>
      <c r="D91" s="77"/>
      <c r="E91" s="76"/>
      <c r="F91" s="118">
        <v>-7.5529999999999999</v>
      </c>
      <c r="G91" s="118">
        <v>20.003799999999998</v>
      </c>
      <c r="H91" s="118">
        <v>-4.9480000000000004</v>
      </c>
      <c r="I91" s="118">
        <v>19.995200000000001</v>
      </c>
      <c r="J91" s="118"/>
      <c r="K91" s="355"/>
      <c r="L91" s="355"/>
      <c r="M91" s="359"/>
      <c r="N91">
        <f t="shared" si="1"/>
        <v>0</v>
      </c>
    </row>
    <row r="92" spans="1:14" s="11" customFormat="1" ht="30.95" customHeight="1" x14ac:dyDescent="0.3">
      <c r="A92" s="18">
        <v>32</v>
      </c>
      <c r="B92" s="338"/>
      <c r="C92" s="76"/>
      <c r="D92" s="77"/>
      <c r="E92" s="76"/>
      <c r="F92" s="118">
        <v>-2.9009999999999998</v>
      </c>
      <c r="G92" s="118">
        <v>6.1208</v>
      </c>
      <c r="H92" s="118">
        <v>-4.9619999999999997</v>
      </c>
      <c r="I92" s="118">
        <v>18.912199999999999</v>
      </c>
      <c r="J92" s="118"/>
      <c r="K92" s="355"/>
      <c r="L92" s="355"/>
      <c r="M92" s="359"/>
      <c r="N92">
        <f t="shared" si="1"/>
        <v>0</v>
      </c>
    </row>
    <row r="93" spans="1:14" s="11" customFormat="1" ht="30.95" customHeight="1" x14ac:dyDescent="0.3">
      <c r="A93" s="18">
        <v>33</v>
      </c>
      <c r="B93" s="338"/>
      <c r="C93" s="76"/>
      <c r="D93" s="77"/>
      <c r="E93" s="76"/>
      <c r="F93" s="118">
        <v>-7.1459999999999999</v>
      </c>
      <c r="G93" s="118">
        <v>20.003799999999998</v>
      </c>
      <c r="H93" s="118">
        <v>-4.4290000000000003</v>
      </c>
      <c r="I93" s="118">
        <v>19.995200000000001</v>
      </c>
      <c r="J93" s="118"/>
      <c r="K93" s="355"/>
      <c r="L93" s="355"/>
      <c r="M93" s="359"/>
      <c r="N93">
        <f t="shared" si="1"/>
        <v>0</v>
      </c>
    </row>
    <row r="94" spans="1:14" s="11" customFormat="1" ht="30.95" customHeight="1" x14ac:dyDescent="0.3">
      <c r="A94" s="18">
        <v>34</v>
      </c>
      <c r="B94" s="338"/>
      <c r="C94" s="76"/>
      <c r="D94" s="77"/>
      <c r="E94" s="76"/>
      <c r="F94" s="118">
        <v>-7.3920000000000003</v>
      </c>
      <c r="G94" s="118">
        <v>20.003799999999998</v>
      </c>
      <c r="H94" s="118">
        <v>-4.7060000000000004</v>
      </c>
      <c r="I94" s="118">
        <v>19.995200000000001</v>
      </c>
      <c r="J94" s="118"/>
      <c r="K94" s="355"/>
      <c r="L94" s="355"/>
      <c r="M94" s="359"/>
      <c r="N94">
        <f t="shared" si="1"/>
        <v>0</v>
      </c>
    </row>
    <row r="95" spans="1:14" s="11" customFormat="1" ht="30.95" customHeight="1" x14ac:dyDescent="0.3">
      <c r="A95" s="18">
        <v>35</v>
      </c>
      <c r="B95" s="338"/>
      <c r="C95" s="35" t="s">
        <v>358</v>
      </c>
      <c r="D95" s="12" t="s">
        <v>216</v>
      </c>
      <c r="E95" s="35"/>
      <c r="F95" s="116"/>
      <c r="G95" s="116"/>
      <c r="H95" s="116"/>
      <c r="I95" s="116"/>
      <c r="J95" s="116"/>
      <c r="K95" s="355"/>
      <c r="L95" s="355"/>
      <c r="M95" s="359"/>
      <c r="N95">
        <f t="shared" si="1"/>
        <v>1</v>
      </c>
    </row>
    <row r="96" spans="1:14" s="11" customFormat="1" ht="30.95" customHeight="1" x14ac:dyDescent="0.3">
      <c r="A96" s="18">
        <v>36</v>
      </c>
      <c r="B96" s="338"/>
      <c r="C96" s="35" t="s">
        <v>358</v>
      </c>
      <c r="D96" s="12" t="s">
        <v>216</v>
      </c>
      <c r="E96" s="35"/>
      <c r="F96" s="116"/>
      <c r="G96" s="116"/>
      <c r="H96" s="116"/>
      <c r="I96" s="116"/>
      <c r="J96" s="116"/>
      <c r="K96" s="355"/>
      <c r="L96" s="355"/>
      <c r="M96" s="359"/>
      <c r="N96">
        <f t="shared" si="1"/>
        <v>1</v>
      </c>
    </row>
    <row r="97" spans="1:17" s="11" customFormat="1" ht="30.95" customHeight="1" x14ac:dyDescent="0.3">
      <c r="A97" s="18">
        <v>37</v>
      </c>
      <c r="B97" s="338"/>
      <c r="C97" s="76"/>
      <c r="D97" s="77"/>
      <c r="E97" s="76"/>
      <c r="F97" s="118">
        <v>-7.3230000000000004</v>
      </c>
      <c r="G97" s="118">
        <v>20.003799999999998</v>
      </c>
      <c r="H97" s="118">
        <v>-4.6399999999999997</v>
      </c>
      <c r="I97" s="118">
        <v>19.995200000000001</v>
      </c>
      <c r="J97" s="118"/>
      <c r="K97" s="355"/>
      <c r="L97" s="355"/>
      <c r="M97" s="359"/>
      <c r="N97">
        <f t="shared" si="1"/>
        <v>0</v>
      </c>
    </row>
    <row r="98" spans="1:17" s="11" customFormat="1" ht="30.95" customHeight="1" x14ac:dyDescent="0.3">
      <c r="A98" s="18">
        <v>38</v>
      </c>
      <c r="B98" s="338"/>
      <c r="C98" s="76"/>
      <c r="D98" s="77"/>
      <c r="E98" s="76"/>
      <c r="F98" s="118">
        <v>-7.2160000000000002</v>
      </c>
      <c r="G98" s="118">
        <v>20.003799999999998</v>
      </c>
      <c r="H98" s="118">
        <v>-4.5289999999999999</v>
      </c>
      <c r="I98" s="118">
        <v>19.995200000000001</v>
      </c>
      <c r="J98" s="118"/>
      <c r="K98" s="355"/>
      <c r="L98" s="355"/>
      <c r="M98" s="359"/>
      <c r="N98">
        <f t="shared" si="1"/>
        <v>0</v>
      </c>
    </row>
    <row r="99" spans="1:17" s="11" customFormat="1" ht="30.95" customHeight="1" x14ac:dyDescent="0.3">
      <c r="A99" s="18">
        <v>39</v>
      </c>
      <c r="B99" s="338"/>
      <c r="C99" s="76"/>
      <c r="D99" s="77"/>
      <c r="E99" s="76"/>
      <c r="F99" s="118">
        <v>-7.19</v>
      </c>
      <c r="G99" s="118">
        <v>20.003799999999998</v>
      </c>
      <c r="H99" s="118">
        <v>-4.5869999999999997</v>
      </c>
      <c r="I99" s="118">
        <v>19.995200000000001</v>
      </c>
      <c r="J99" s="118"/>
      <c r="K99" s="355"/>
      <c r="L99" s="355"/>
      <c r="M99" s="359"/>
      <c r="N99">
        <f t="shared" si="1"/>
        <v>0</v>
      </c>
    </row>
    <row r="100" spans="1:17" s="11" customFormat="1" ht="30.95" customHeight="1" x14ac:dyDescent="0.3">
      <c r="A100" s="18">
        <v>40</v>
      </c>
      <c r="B100" s="338"/>
      <c r="C100" s="76"/>
      <c r="D100" s="77"/>
      <c r="E100" s="76"/>
      <c r="F100" s="118">
        <v>-7.274</v>
      </c>
      <c r="G100" s="118">
        <v>20.003799999999998</v>
      </c>
      <c r="H100" s="118">
        <v>-4.5250000000000004</v>
      </c>
      <c r="I100" s="118">
        <v>19.995200000000001</v>
      </c>
      <c r="J100" s="118"/>
      <c r="K100" s="355"/>
      <c r="L100" s="355"/>
      <c r="M100" s="359"/>
      <c r="N100">
        <f t="shared" si="1"/>
        <v>0</v>
      </c>
    </row>
    <row r="101" spans="1:17" s="11" customFormat="1" ht="30.95" customHeight="1" x14ac:dyDescent="0.3">
      <c r="A101" s="18">
        <v>41</v>
      </c>
      <c r="B101" s="338"/>
      <c r="C101" s="35" t="s">
        <v>357</v>
      </c>
      <c r="D101" s="12" t="s">
        <v>217</v>
      </c>
      <c r="E101" s="35"/>
      <c r="F101" s="116"/>
      <c r="G101" s="116"/>
      <c r="H101" s="116"/>
      <c r="I101" s="116"/>
      <c r="J101" s="116"/>
      <c r="K101" s="355"/>
      <c r="L101" s="355"/>
      <c r="M101" s="359"/>
      <c r="N101">
        <f t="shared" si="1"/>
        <v>1</v>
      </c>
    </row>
    <row r="102" spans="1:17" s="11" customFormat="1" ht="30.95" customHeight="1" x14ac:dyDescent="0.3">
      <c r="A102" s="18">
        <v>42</v>
      </c>
      <c r="B102" s="338"/>
      <c r="C102" s="35" t="s">
        <v>357</v>
      </c>
      <c r="D102" s="12" t="s">
        <v>218</v>
      </c>
      <c r="E102" s="35"/>
      <c r="F102" s="116"/>
      <c r="G102" s="116"/>
      <c r="H102" s="116"/>
      <c r="I102" s="116"/>
      <c r="J102" s="116"/>
      <c r="K102" s="355"/>
      <c r="L102" s="355"/>
      <c r="M102" s="359"/>
      <c r="N102">
        <f t="shared" si="1"/>
        <v>1</v>
      </c>
    </row>
    <row r="103" spans="1:17" s="11" customFormat="1" ht="30.95" customHeight="1" x14ac:dyDescent="0.3">
      <c r="A103" s="18">
        <v>43</v>
      </c>
      <c r="B103" s="338"/>
      <c r="C103" s="76"/>
      <c r="D103" s="77"/>
      <c r="E103" s="76"/>
      <c r="F103" s="118">
        <v>-7.3479999999999999</v>
      </c>
      <c r="G103" s="118">
        <v>20.003799999999998</v>
      </c>
      <c r="H103" s="118">
        <v>-4.5460000000000003</v>
      </c>
      <c r="I103" s="118">
        <v>19.995200000000001</v>
      </c>
      <c r="J103" s="118"/>
      <c r="K103" s="355"/>
      <c r="L103" s="355"/>
      <c r="M103" s="359"/>
      <c r="N103">
        <f t="shared" si="1"/>
        <v>0</v>
      </c>
    </row>
    <row r="104" spans="1:17" s="11" customFormat="1" ht="30.95" customHeight="1" x14ac:dyDescent="0.3">
      <c r="A104" s="18">
        <v>44</v>
      </c>
      <c r="B104" s="338"/>
      <c r="C104" s="76"/>
      <c r="D104" s="77"/>
      <c r="E104" s="76"/>
      <c r="F104" s="118">
        <v>-7.3840000000000003</v>
      </c>
      <c r="G104" s="118">
        <v>20.003799999999998</v>
      </c>
      <c r="H104" s="118">
        <v>-4.6360000000000001</v>
      </c>
      <c r="I104" s="118">
        <v>19.995200000000001</v>
      </c>
      <c r="J104" s="118"/>
      <c r="K104" s="355"/>
      <c r="L104" s="355"/>
      <c r="M104" s="359"/>
      <c r="N104">
        <f t="shared" si="1"/>
        <v>0</v>
      </c>
    </row>
    <row r="105" spans="1:17" s="11" customFormat="1" ht="30.95" customHeight="1" x14ac:dyDescent="0.3">
      <c r="A105" s="18">
        <v>45</v>
      </c>
      <c r="B105" s="338"/>
      <c r="C105" s="35"/>
      <c r="D105" s="12"/>
      <c r="E105" s="35"/>
      <c r="F105" s="116">
        <v>-7.1870000000000003</v>
      </c>
      <c r="G105" s="116">
        <v>20.003799999999998</v>
      </c>
      <c r="H105" s="116">
        <v>-4.476</v>
      </c>
      <c r="I105" s="116">
        <v>19.995200000000001</v>
      </c>
      <c r="J105" s="116"/>
      <c r="K105" s="355"/>
      <c r="L105" s="355"/>
      <c r="M105" s="359"/>
      <c r="N105">
        <f t="shared" si="1"/>
        <v>0</v>
      </c>
    </row>
    <row r="106" spans="1:17" s="11" customFormat="1" ht="30.95" customHeight="1" x14ac:dyDescent="0.3">
      <c r="A106" s="18">
        <v>46</v>
      </c>
      <c r="B106" s="338"/>
      <c r="C106" s="35"/>
      <c r="D106" s="12"/>
      <c r="E106" s="35"/>
      <c r="F106" s="116">
        <v>-7.33</v>
      </c>
      <c r="G106" s="116">
        <v>20.003799999999998</v>
      </c>
      <c r="H106" s="116">
        <v>-4.6189999999999998</v>
      </c>
      <c r="I106" s="116">
        <v>19.995200000000001</v>
      </c>
      <c r="J106" s="116"/>
      <c r="K106" s="355"/>
      <c r="L106" s="355"/>
      <c r="M106" s="359"/>
      <c r="N106">
        <f t="shared" si="1"/>
        <v>0</v>
      </c>
    </row>
    <row r="107" spans="1:17" s="11" customFormat="1" ht="30.95" customHeight="1" x14ac:dyDescent="0.3">
      <c r="A107" s="18">
        <v>47</v>
      </c>
      <c r="B107" s="338"/>
      <c r="C107" s="35"/>
      <c r="D107" s="12"/>
      <c r="E107" s="35"/>
      <c r="F107" s="116"/>
      <c r="G107" s="116"/>
      <c r="H107" s="116"/>
      <c r="I107" s="116"/>
      <c r="J107" s="116"/>
      <c r="K107" s="355"/>
      <c r="L107" s="355"/>
      <c r="M107" s="359"/>
      <c r="N107">
        <f t="shared" si="1"/>
        <v>0</v>
      </c>
    </row>
    <row r="108" spans="1:17" s="11" customFormat="1" ht="30.95" customHeight="1" thickBot="1" x14ac:dyDescent="0.35">
      <c r="A108" s="21">
        <v>48</v>
      </c>
      <c r="B108" s="339"/>
      <c r="C108" s="40"/>
      <c r="D108" s="22"/>
      <c r="E108" s="40"/>
      <c r="F108" s="128"/>
      <c r="G108" s="128"/>
      <c r="H108" s="128"/>
      <c r="I108" s="128"/>
      <c r="J108" s="128"/>
      <c r="K108" s="356"/>
      <c r="L108" s="356"/>
      <c r="M108" s="360"/>
      <c r="N108">
        <f t="shared" si="1"/>
        <v>0</v>
      </c>
      <c r="P108" s="11">
        <f>SUM(F88,F90,F91,F92,F93,F94,F97,F98,F99,F100,F103,F104)/12</f>
        <v>-6.9840833333333334</v>
      </c>
      <c r="Q108" s="11">
        <f>SUM(H88,H90,H91,H92,H93,H94,H97,H98,H99,H100,H103,H104)/12</f>
        <v>-4.6658333333333335</v>
      </c>
    </row>
    <row r="109" spans="1:17" s="11" customFormat="1" ht="30.95" customHeight="1" x14ac:dyDescent="0.3">
      <c r="A109" s="374" t="s">
        <v>8</v>
      </c>
      <c r="B109" s="325"/>
      <c r="C109" s="325"/>
      <c r="D109" s="110" t="s">
        <v>11</v>
      </c>
      <c r="E109" s="110" t="s">
        <v>12</v>
      </c>
      <c r="F109" s="338" t="s">
        <v>730</v>
      </c>
      <c r="G109" s="338"/>
      <c r="H109" s="338"/>
      <c r="I109" s="338"/>
      <c r="J109" s="338"/>
      <c r="K109" s="332" t="s">
        <v>10</v>
      </c>
      <c r="L109" s="331" t="s">
        <v>32</v>
      </c>
      <c r="M109" s="331" t="s">
        <v>33</v>
      </c>
      <c r="N109">
        <f t="shared" si="1"/>
        <v>0</v>
      </c>
    </row>
    <row r="110" spans="1:17" s="11" customFormat="1" ht="30.95" customHeight="1" x14ac:dyDescent="0.3">
      <c r="A110" s="336" t="s">
        <v>9</v>
      </c>
      <c r="B110" s="337"/>
      <c r="C110" s="337"/>
      <c r="D110" s="368" t="s">
        <v>639</v>
      </c>
      <c r="E110" s="337" t="s">
        <v>687</v>
      </c>
      <c r="F110" s="349" t="s">
        <v>5</v>
      </c>
      <c r="G110" s="349"/>
      <c r="H110" s="349" t="s">
        <v>7</v>
      </c>
      <c r="I110" s="349"/>
      <c r="J110" s="369" t="s">
        <v>628</v>
      </c>
      <c r="K110" s="332"/>
      <c r="L110" s="332"/>
      <c r="M110" s="332"/>
      <c r="N110">
        <f t="shared" si="1"/>
        <v>0</v>
      </c>
    </row>
    <row r="111" spans="1:17" s="11" customFormat="1" ht="30.95" customHeight="1" x14ac:dyDescent="0.3">
      <c r="A111" s="336"/>
      <c r="B111" s="337"/>
      <c r="C111" s="337"/>
      <c r="D111" s="368"/>
      <c r="E111" s="337"/>
      <c r="F111" s="201" t="s">
        <v>638</v>
      </c>
      <c r="G111" s="214">
        <f>전송손실!M11</f>
        <v>-22.759999999999998</v>
      </c>
      <c r="H111" s="201" t="s">
        <v>638</v>
      </c>
      <c r="I111" s="214">
        <f>전송손실!M37</f>
        <v>-14.84</v>
      </c>
      <c r="J111" s="369"/>
      <c r="K111" s="332"/>
      <c r="L111" s="332"/>
      <c r="M111" s="332"/>
      <c r="N111"/>
    </row>
    <row r="112" spans="1:17" s="11" customFormat="1" ht="30.95" customHeight="1" thickBot="1" x14ac:dyDescent="0.35">
      <c r="A112" s="203" t="s">
        <v>0</v>
      </c>
      <c r="B112" s="203" t="s">
        <v>1</v>
      </c>
      <c r="C112" s="203" t="s">
        <v>23</v>
      </c>
      <c r="D112" s="203" t="s">
        <v>2</v>
      </c>
      <c r="E112" s="203" t="s">
        <v>3</v>
      </c>
      <c r="F112" s="203" t="s">
        <v>4</v>
      </c>
      <c r="G112" s="203" t="s">
        <v>506</v>
      </c>
      <c r="H112" s="203" t="s">
        <v>4</v>
      </c>
      <c r="I112" s="203" t="s">
        <v>506</v>
      </c>
      <c r="J112" s="370"/>
      <c r="K112" s="367"/>
      <c r="L112" s="367"/>
      <c r="M112" s="367"/>
      <c r="N112">
        <f t="shared" si="1"/>
        <v>1</v>
      </c>
    </row>
    <row r="113" spans="1:14" s="11" customFormat="1" ht="30.95" customHeight="1" x14ac:dyDescent="0.3">
      <c r="A113" s="64">
        <v>1</v>
      </c>
      <c r="B113" s="386" t="s">
        <v>219</v>
      </c>
      <c r="C113" s="73"/>
      <c r="D113" s="74"/>
      <c r="E113" s="73"/>
      <c r="F113" s="151">
        <v>-17.626000000000001</v>
      </c>
      <c r="G113" s="151">
        <v>50.98</v>
      </c>
      <c r="H113" s="151">
        <v>-11.894</v>
      </c>
      <c r="I113" s="151">
        <v>50.98</v>
      </c>
      <c r="J113" s="151" t="s">
        <v>641</v>
      </c>
      <c r="K113" s="355" t="s">
        <v>426</v>
      </c>
      <c r="L113" s="355"/>
      <c r="M113" s="359"/>
      <c r="N113">
        <f t="shared" si="1"/>
        <v>0</v>
      </c>
    </row>
    <row r="114" spans="1:14" s="11" customFormat="1" ht="30.95" customHeight="1" x14ac:dyDescent="0.3">
      <c r="A114" s="18">
        <v>2</v>
      </c>
      <c r="B114" s="338"/>
      <c r="C114" s="76"/>
      <c r="D114" s="77"/>
      <c r="E114" s="76"/>
      <c r="F114" s="118">
        <v>-17.398</v>
      </c>
      <c r="G114" s="118">
        <v>50.969000000000001</v>
      </c>
      <c r="H114" s="118">
        <v>-11.632999999999999</v>
      </c>
      <c r="I114" s="118">
        <v>50.973999999999997</v>
      </c>
      <c r="J114" s="118" t="s">
        <v>627</v>
      </c>
      <c r="K114" s="355"/>
      <c r="L114" s="355"/>
      <c r="M114" s="359"/>
      <c r="N114">
        <f t="shared" si="1"/>
        <v>0</v>
      </c>
    </row>
    <row r="115" spans="1:14" s="11" customFormat="1" ht="30.95" customHeight="1" x14ac:dyDescent="0.3">
      <c r="A115" s="18">
        <v>3</v>
      </c>
      <c r="B115" s="338"/>
      <c r="C115" s="76"/>
      <c r="D115" s="77"/>
      <c r="E115" s="76"/>
      <c r="F115" s="118">
        <v>-17.619</v>
      </c>
      <c r="G115" s="118">
        <v>50.939</v>
      </c>
      <c r="H115" s="118">
        <v>-11.874000000000001</v>
      </c>
      <c r="I115" s="118">
        <v>50.963999999999999</v>
      </c>
      <c r="J115" s="118" t="s">
        <v>627</v>
      </c>
      <c r="K115" s="355"/>
      <c r="L115" s="355"/>
      <c r="M115" s="359"/>
      <c r="N115">
        <f t="shared" si="1"/>
        <v>0</v>
      </c>
    </row>
    <row r="116" spans="1:14" s="11" customFormat="1" ht="30.95" customHeight="1" x14ac:dyDescent="0.3">
      <c r="A116" s="18">
        <v>4</v>
      </c>
      <c r="B116" s="338"/>
      <c r="C116" s="76"/>
      <c r="D116" s="77"/>
      <c r="E116" s="76"/>
      <c r="F116" s="118">
        <v>-17.835999999999999</v>
      </c>
      <c r="G116" s="118">
        <v>50.923000000000002</v>
      </c>
      <c r="H116" s="118">
        <v>-11.95</v>
      </c>
      <c r="I116" s="118">
        <v>50.973999999999997</v>
      </c>
      <c r="J116" s="118" t="s">
        <v>627</v>
      </c>
      <c r="K116" s="355"/>
      <c r="L116" s="355"/>
      <c r="M116" s="359"/>
      <c r="N116">
        <f t="shared" si="1"/>
        <v>0</v>
      </c>
    </row>
    <row r="117" spans="1:14" s="11" customFormat="1" ht="30.95" customHeight="1" x14ac:dyDescent="0.3">
      <c r="A117" s="18">
        <v>5</v>
      </c>
      <c r="B117" s="338"/>
      <c r="C117" s="58" t="s">
        <v>356</v>
      </c>
      <c r="D117" s="12" t="s">
        <v>220</v>
      </c>
      <c r="E117" s="58"/>
      <c r="F117" s="116"/>
      <c r="G117" s="116"/>
      <c r="H117" s="116"/>
      <c r="I117" s="116"/>
      <c r="J117" s="116"/>
      <c r="K117" s="355"/>
      <c r="L117" s="355"/>
      <c r="M117" s="359"/>
      <c r="N117">
        <f t="shared" si="1"/>
        <v>1</v>
      </c>
    </row>
    <row r="118" spans="1:14" ht="30.95" customHeight="1" x14ac:dyDescent="0.3">
      <c r="A118" s="18">
        <v>6</v>
      </c>
      <c r="B118" s="338"/>
      <c r="C118" s="58" t="s">
        <v>356</v>
      </c>
      <c r="D118" s="12" t="s">
        <v>221</v>
      </c>
      <c r="E118" s="58"/>
      <c r="F118" s="116"/>
      <c r="G118" s="116"/>
      <c r="H118" s="116"/>
      <c r="I118" s="116"/>
      <c r="J118" s="116"/>
      <c r="K118" s="355"/>
      <c r="L118" s="355"/>
      <c r="M118" s="359"/>
      <c r="N118">
        <f t="shared" si="1"/>
        <v>1</v>
      </c>
    </row>
    <row r="119" spans="1:14" ht="30.95" customHeight="1" x14ac:dyDescent="0.3">
      <c r="A119" s="18">
        <v>7</v>
      </c>
      <c r="B119" s="338"/>
      <c r="C119" s="58" t="s">
        <v>356</v>
      </c>
      <c r="D119" s="12" t="s">
        <v>222</v>
      </c>
      <c r="E119" s="58"/>
      <c r="F119" s="116"/>
      <c r="G119" s="116"/>
      <c r="H119" s="116"/>
      <c r="I119" s="116"/>
      <c r="J119" s="116"/>
      <c r="K119" s="355"/>
      <c r="L119" s="355"/>
      <c r="M119" s="359"/>
      <c r="N119">
        <f t="shared" si="1"/>
        <v>1</v>
      </c>
    </row>
    <row r="120" spans="1:14" ht="30.95" customHeight="1" x14ac:dyDescent="0.3">
      <c r="A120" s="18">
        <v>8</v>
      </c>
      <c r="B120" s="338"/>
      <c r="C120" s="58" t="s">
        <v>356</v>
      </c>
      <c r="D120" s="12" t="s">
        <v>223</v>
      </c>
      <c r="E120" s="58"/>
      <c r="F120" s="116"/>
      <c r="G120" s="116"/>
      <c r="H120" s="116"/>
      <c r="I120" s="116"/>
      <c r="J120" s="116"/>
      <c r="K120" s="355"/>
      <c r="L120" s="355"/>
      <c r="M120" s="359"/>
      <c r="N120">
        <f t="shared" si="1"/>
        <v>1</v>
      </c>
    </row>
    <row r="121" spans="1:14" ht="30.95" customHeight="1" x14ac:dyDescent="0.3">
      <c r="A121" s="18">
        <v>9</v>
      </c>
      <c r="B121" s="338"/>
      <c r="C121" s="76"/>
      <c r="D121" s="77"/>
      <c r="E121" s="76"/>
      <c r="F121" s="118">
        <v>-17.446999999999999</v>
      </c>
      <c r="G121" s="118">
        <v>50.959000000000003</v>
      </c>
      <c r="H121" s="118">
        <v>-12.64</v>
      </c>
      <c r="I121" s="118">
        <v>50.959000000000003</v>
      </c>
      <c r="J121" s="118" t="s">
        <v>627</v>
      </c>
      <c r="K121" s="355"/>
      <c r="L121" s="355"/>
      <c r="M121" s="359"/>
      <c r="N121">
        <f t="shared" si="1"/>
        <v>0</v>
      </c>
    </row>
    <row r="122" spans="1:14" ht="30.95" customHeight="1" x14ac:dyDescent="0.3">
      <c r="A122" s="18">
        <v>10</v>
      </c>
      <c r="B122" s="338"/>
      <c r="C122" s="76"/>
      <c r="D122" s="77"/>
      <c r="E122" s="76"/>
      <c r="F122" s="118">
        <v>-17.661999999999999</v>
      </c>
      <c r="G122" s="118">
        <v>50.99</v>
      </c>
      <c r="H122" s="118">
        <v>-12.6</v>
      </c>
      <c r="I122" s="118">
        <v>50.984999999999999</v>
      </c>
      <c r="J122" s="118" t="s">
        <v>627</v>
      </c>
      <c r="K122" s="355"/>
      <c r="L122" s="355"/>
      <c r="M122" s="359"/>
      <c r="N122">
        <f t="shared" si="1"/>
        <v>0</v>
      </c>
    </row>
    <row r="123" spans="1:14" ht="30.95" customHeight="1" x14ac:dyDescent="0.3">
      <c r="A123" s="18">
        <v>11</v>
      </c>
      <c r="B123" s="338"/>
      <c r="C123" s="76"/>
      <c r="D123" s="77"/>
      <c r="E123" s="76"/>
      <c r="F123" s="118">
        <v>-17.588999999999999</v>
      </c>
      <c r="G123" s="118">
        <v>50.927999999999997</v>
      </c>
      <c r="H123" s="118">
        <v>-12.273999999999999</v>
      </c>
      <c r="I123" s="118">
        <v>50.984999999999999</v>
      </c>
      <c r="J123" s="118" t="s">
        <v>627</v>
      </c>
      <c r="K123" s="355"/>
      <c r="L123" s="355"/>
      <c r="M123" s="359"/>
      <c r="N123">
        <f t="shared" si="1"/>
        <v>0</v>
      </c>
    </row>
    <row r="124" spans="1:14" ht="30.95" customHeight="1" x14ac:dyDescent="0.3">
      <c r="A124" s="18">
        <v>12</v>
      </c>
      <c r="B124" s="338"/>
      <c r="C124" s="76"/>
      <c r="D124" s="77"/>
      <c r="E124" s="76"/>
      <c r="F124" s="118">
        <v>-17.725999999999999</v>
      </c>
      <c r="G124" s="118">
        <v>50.948999999999998</v>
      </c>
      <c r="H124" s="118">
        <v>-12.664</v>
      </c>
      <c r="I124" s="118">
        <v>50.984999999999999</v>
      </c>
      <c r="J124" s="118" t="s">
        <v>627</v>
      </c>
      <c r="K124" s="355"/>
      <c r="L124" s="355"/>
      <c r="M124" s="359"/>
      <c r="N124">
        <f t="shared" si="1"/>
        <v>0</v>
      </c>
    </row>
    <row r="125" spans="1:14" ht="30.95" customHeight="1" x14ac:dyDescent="0.3">
      <c r="A125" s="18">
        <v>13</v>
      </c>
      <c r="B125" s="338"/>
      <c r="C125" s="76"/>
      <c r="D125" s="77"/>
      <c r="E125" s="76"/>
      <c r="F125" s="118">
        <v>-17.577999999999999</v>
      </c>
      <c r="G125" s="118">
        <v>50.963999999999999</v>
      </c>
      <c r="H125" s="118">
        <v>-12.423999999999999</v>
      </c>
      <c r="I125" s="118">
        <v>50.98</v>
      </c>
      <c r="J125" s="118" t="s">
        <v>627</v>
      </c>
      <c r="K125" s="355"/>
      <c r="L125" s="355"/>
      <c r="M125" s="359"/>
      <c r="N125">
        <f t="shared" si="1"/>
        <v>0</v>
      </c>
    </row>
    <row r="126" spans="1:14" ht="30.95" customHeight="1" x14ac:dyDescent="0.3">
      <c r="A126" s="18">
        <v>14</v>
      </c>
      <c r="B126" s="338"/>
      <c r="C126" s="76"/>
      <c r="D126" s="77"/>
      <c r="E126" s="76"/>
      <c r="F126" s="118">
        <v>-17.838000000000001</v>
      </c>
      <c r="G126" s="118">
        <v>50.954000000000001</v>
      </c>
      <c r="H126" s="118">
        <v>-12.19</v>
      </c>
      <c r="I126" s="118">
        <v>51</v>
      </c>
      <c r="J126" s="118" t="s">
        <v>627</v>
      </c>
      <c r="K126" s="355"/>
      <c r="L126" s="355"/>
      <c r="M126" s="359"/>
      <c r="N126">
        <f t="shared" si="1"/>
        <v>0</v>
      </c>
    </row>
    <row r="127" spans="1:14" ht="30.95" customHeight="1" x14ac:dyDescent="0.3">
      <c r="A127" s="18">
        <v>15</v>
      </c>
      <c r="B127" s="338"/>
      <c r="C127" s="76"/>
      <c r="D127" s="77"/>
      <c r="E127" s="76"/>
      <c r="F127" s="118">
        <v>-17.408999999999999</v>
      </c>
      <c r="G127" s="118">
        <v>50.944000000000003</v>
      </c>
      <c r="H127" s="118">
        <v>-11.903</v>
      </c>
      <c r="I127" s="118">
        <v>50.98</v>
      </c>
      <c r="J127" s="118" t="s">
        <v>627</v>
      </c>
      <c r="K127" s="355"/>
      <c r="L127" s="355"/>
      <c r="M127" s="359"/>
      <c r="N127">
        <f t="shared" si="1"/>
        <v>0</v>
      </c>
    </row>
    <row r="128" spans="1:14" ht="30.95" customHeight="1" x14ac:dyDescent="0.3">
      <c r="A128" s="18">
        <v>16</v>
      </c>
      <c r="B128" s="338"/>
      <c r="C128" s="76"/>
      <c r="D128" s="77"/>
      <c r="E128" s="76"/>
      <c r="F128" s="118">
        <v>-17.553999999999998</v>
      </c>
      <c r="G128" s="118">
        <v>50.948999999999998</v>
      </c>
      <c r="H128" s="118">
        <v>-12.173999999999999</v>
      </c>
      <c r="I128" s="118">
        <v>50.98</v>
      </c>
      <c r="J128" s="118" t="s">
        <v>627</v>
      </c>
      <c r="K128" s="355"/>
      <c r="L128" s="355"/>
      <c r="M128" s="359"/>
      <c r="N128">
        <f t="shared" si="1"/>
        <v>0</v>
      </c>
    </row>
    <row r="129" spans="1:17" ht="30.95" customHeight="1" x14ac:dyDescent="0.3">
      <c r="A129" s="18">
        <v>17</v>
      </c>
      <c r="B129" s="338"/>
      <c r="C129" s="58" t="s">
        <v>360</v>
      </c>
      <c r="D129" s="12" t="s">
        <v>210</v>
      </c>
      <c r="E129" s="58"/>
      <c r="F129" s="116"/>
      <c r="G129" s="116"/>
      <c r="H129" s="116"/>
      <c r="I129" s="116"/>
      <c r="J129" s="116"/>
      <c r="K129" s="355"/>
      <c r="L129" s="355"/>
      <c r="M129" s="359"/>
      <c r="N129">
        <f t="shared" si="1"/>
        <v>1</v>
      </c>
    </row>
    <row r="130" spans="1:17" ht="30.95" customHeight="1" x14ac:dyDescent="0.3">
      <c r="A130" s="18">
        <v>18</v>
      </c>
      <c r="B130" s="338"/>
      <c r="C130" s="76"/>
      <c r="D130" s="77"/>
      <c r="E130" s="76"/>
      <c r="F130" s="118">
        <v>-17.440999999999999</v>
      </c>
      <c r="G130" s="118">
        <v>50.954000000000001</v>
      </c>
      <c r="H130" s="118">
        <v>-12.099</v>
      </c>
      <c r="I130" s="118">
        <v>50.973999999999997</v>
      </c>
      <c r="J130" s="118" t="s">
        <v>627</v>
      </c>
      <c r="K130" s="355"/>
      <c r="L130" s="355"/>
      <c r="M130" s="359"/>
      <c r="N130">
        <f t="shared" si="1"/>
        <v>0</v>
      </c>
    </row>
    <row r="131" spans="1:17" ht="30.95" customHeight="1" x14ac:dyDescent="0.3">
      <c r="A131" s="18">
        <v>19</v>
      </c>
      <c r="B131" s="338"/>
      <c r="C131" s="58" t="s">
        <v>357</v>
      </c>
      <c r="D131" s="12" t="s">
        <v>224</v>
      </c>
      <c r="E131" s="58"/>
      <c r="F131" s="116"/>
      <c r="G131" s="116"/>
      <c r="H131" s="116"/>
      <c r="I131" s="116"/>
      <c r="J131" s="116"/>
      <c r="K131" s="355"/>
      <c r="L131" s="355"/>
      <c r="M131" s="359"/>
      <c r="N131">
        <f t="shared" si="1"/>
        <v>1</v>
      </c>
    </row>
    <row r="132" spans="1:17" ht="30.95" customHeight="1" x14ac:dyDescent="0.3">
      <c r="A132" s="18">
        <v>20</v>
      </c>
      <c r="B132" s="338"/>
      <c r="C132" s="58" t="s">
        <v>357</v>
      </c>
      <c r="D132" s="12" t="s">
        <v>225</v>
      </c>
      <c r="E132" s="58"/>
      <c r="F132" s="116"/>
      <c r="G132" s="116"/>
      <c r="H132" s="116"/>
      <c r="I132" s="116"/>
      <c r="J132" s="116"/>
      <c r="K132" s="355"/>
      <c r="L132" s="355"/>
      <c r="M132" s="359"/>
      <c r="N132">
        <f t="shared" si="1"/>
        <v>1</v>
      </c>
    </row>
    <row r="133" spans="1:17" ht="30.95" customHeight="1" x14ac:dyDescent="0.3">
      <c r="A133" s="18">
        <v>21</v>
      </c>
      <c r="B133" s="338"/>
      <c r="C133" s="76"/>
      <c r="D133" s="77"/>
      <c r="E133" s="76"/>
      <c r="F133" s="118">
        <v>-17.48</v>
      </c>
      <c r="G133" s="118">
        <v>50.98</v>
      </c>
      <c r="H133" s="118">
        <v>-12.114000000000001</v>
      </c>
      <c r="I133" s="118">
        <v>50.98</v>
      </c>
      <c r="J133" s="118" t="s">
        <v>627</v>
      </c>
      <c r="K133" s="355"/>
      <c r="L133" s="355"/>
      <c r="M133" s="359"/>
      <c r="N133">
        <f t="shared" si="1"/>
        <v>0</v>
      </c>
    </row>
    <row r="134" spans="1:17" ht="30.95" customHeight="1" x14ac:dyDescent="0.3">
      <c r="A134" s="18">
        <v>22</v>
      </c>
      <c r="B134" s="338"/>
      <c r="C134" s="76"/>
      <c r="D134" s="77"/>
      <c r="E134" s="76"/>
      <c r="F134" s="118">
        <v>-17.443000000000001</v>
      </c>
      <c r="G134" s="118">
        <v>50.959000000000003</v>
      </c>
      <c r="H134" s="118">
        <v>-11.571</v>
      </c>
      <c r="I134" s="118">
        <v>50.98</v>
      </c>
      <c r="J134" s="118" t="s">
        <v>627</v>
      </c>
      <c r="K134" s="355"/>
      <c r="L134" s="355"/>
      <c r="M134" s="359"/>
      <c r="N134">
        <f t="shared" si="1"/>
        <v>0</v>
      </c>
    </row>
    <row r="135" spans="1:17" ht="30.95" customHeight="1" x14ac:dyDescent="0.3">
      <c r="A135" s="18">
        <v>23</v>
      </c>
      <c r="B135" s="338"/>
      <c r="C135" s="58" t="s">
        <v>360</v>
      </c>
      <c r="D135" s="12" t="s">
        <v>226</v>
      </c>
      <c r="E135" s="58"/>
      <c r="F135" s="60"/>
      <c r="G135" s="60"/>
      <c r="H135" s="60"/>
      <c r="I135" s="60"/>
      <c r="J135" s="175"/>
      <c r="K135" s="355"/>
      <c r="L135" s="355"/>
      <c r="M135" s="359"/>
      <c r="N135">
        <f t="shared" si="1"/>
        <v>1</v>
      </c>
    </row>
    <row r="136" spans="1:17" ht="30.95" customHeight="1" thickBot="1" x14ac:dyDescent="0.35">
      <c r="A136" s="21">
        <v>24</v>
      </c>
      <c r="B136" s="339"/>
      <c r="C136" s="59" t="s">
        <v>360</v>
      </c>
      <c r="D136" s="22" t="s">
        <v>227</v>
      </c>
      <c r="E136" s="59"/>
      <c r="F136" s="66"/>
      <c r="G136" s="66"/>
      <c r="H136" s="66"/>
      <c r="I136" s="66"/>
      <c r="J136" s="176"/>
      <c r="K136" s="356"/>
      <c r="L136" s="356"/>
      <c r="M136" s="360"/>
      <c r="N136">
        <f t="shared" si="1"/>
        <v>1</v>
      </c>
      <c r="P136">
        <f>SUM(F113,F114,F115,F116,F121,F122,F123,F124,F125,F126,F127,F128,F130,F133,F134)/15</f>
        <v>-17.576399999999996</v>
      </c>
      <c r="Q136">
        <f>SUM(H113,H114,H115,H116,H121,H122,H123,H124,H125,H126,H127,H128,H130,H133,H134)/15</f>
        <v>-12.133599999999999</v>
      </c>
    </row>
    <row r="137" spans="1:17" ht="30.95" customHeight="1" x14ac:dyDescent="0.3">
      <c r="A137" s="25">
        <v>1</v>
      </c>
      <c r="B137" s="371" t="s">
        <v>443</v>
      </c>
      <c r="C137" s="41" t="s">
        <v>359</v>
      </c>
      <c r="D137" s="26" t="s">
        <v>193</v>
      </c>
      <c r="E137" s="41"/>
      <c r="F137" s="63"/>
      <c r="G137" s="63"/>
      <c r="H137" s="63"/>
      <c r="I137" s="63"/>
      <c r="J137" s="63"/>
      <c r="K137" s="27"/>
      <c r="L137" s="27"/>
      <c r="M137" s="28"/>
    </row>
    <row r="138" spans="1:17" ht="30.95" customHeight="1" x14ac:dyDescent="0.3">
      <c r="A138" s="18">
        <v>2</v>
      </c>
      <c r="B138" s="349"/>
      <c r="C138" s="35" t="s">
        <v>359</v>
      </c>
      <c r="D138" s="12" t="s">
        <v>194</v>
      </c>
      <c r="E138" s="35"/>
      <c r="F138" s="60"/>
      <c r="G138" s="60"/>
      <c r="H138" s="60"/>
      <c r="I138" s="60"/>
      <c r="J138" s="175"/>
      <c r="K138" s="39"/>
      <c r="L138" s="39"/>
      <c r="M138" s="19"/>
    </row>
    <row r="139" spans="1:17" ht="30.95" customHeight="1" x14ac:dyDescent="0.3">
      <c r="A139" s="18">
        <v>3</v>
      </c>
      <c r="B139" s="349"/>
      <c r="C139" s="35" t="s">
        <v>358</v>
      </c>
      <c r="D139" s="12" t="s">
        <v>27</v>
      </c>
      <c r="E139" s="35"/>
      <c r="F139" s="60"/>
      <c r="G139" s="60"/>
      <c r="H139" s="60"/>
      <c r="I139" s="60"/>
      <c r="J139" s="175"/>
      <c r="K139" s="39"/>
      <c r="L139" s="39"/>
      <c r="M139" s="19"/>
    </row>
    <row r="140" spans="1:17" ht="30.95" customHeight="1" x14ac:dyDescent="0.3">
      <c r="A140" s="18">
        <v>4</v>
      </c>
      <c r="B140" s="349"/>
      <c r="C140" s="35" t="s">
        <v>358</v>
      </c>
      <c r="D140" s="12" t="s">
        <v>27</v>
      </c>
      <c r="E140" s="35"/>
      <c r="F140" s="60"/>
      <c r="G140" s="60"/>
      <c r="H140" s="60"/>
      <c r="I140" s="60"/>
      <c r="J140" s="175"/>
      <c r="K140" s="39"/>
      <c r="L140" s="39"/>
      <c r="M140" s="19"/>
    </row>
    <row r="141" spans="1:17" ht="30.95" customHeight="1" x14ac:dyDescent="0.3">
      <c r="A141" s="18">
        <v>5</v>
      </c>
      <c r="B141" s="349"/>
      <c r="C141" s="35"/>
      <c r="D141" s="12"/>
      <c r="E141" s="35"/>
      <c r="F141" s="60"/>
      <c r="G141" s="60"/>
      <c r="H141" s="60"/>
      <c r="I141" s="60"/>
      <c r="J141" s="175"/>
      <c r="K141" s="39"/>
      <c r="L141" s="39"/>
      <c r="M141" s="19"/>
    </row>
    <row r="142" spans="1:17" ht="30.95" customHeight="1" x14ac:dyDescent="0.3">
      <c r="A142" s="18">
        <v>6</v>
      </c>
      <c r="B142" s="349"/>
      <c r="C142" s="35"/>
      <c r="D142" s="12"/>
      <c r="E142" s="35"/>
      <c r="F142" s="60"/>
      <c r="G142" s="60"/>
      <c r="H142" s="60"/>
      <c r="I142" s="60"/>
      <c r="J142" s="175"/>
      <c r="K142" s="39"/>
      <c r="L142" s="39"/>
      <c r="M142" s="19"/>
    </row>
    <row r="143" spans="1:17" ht="30.95" customHeight="1" x14ac:dyDescent="0.3">
      <c r="A143" s="18">
        <v>7</v>
      </c>
      <c r="B143" s="349"/>
      <c r="C143" s="35"/>
      <c r="D143" s="12"/>
      <c r="E143" s="35"/>
      <c r="F143" s="60"/>
      <c r="G143" s="60"/>
      <c r="H143" s="60"/>
      <c r="I143" s="60"/>
      <c r="J143" s="175"/>
      <c r="K143" s="39"/>
      <c r="L143" s="39"/>
      <c r="M143" s="19"/>
    </row>
    <row r="144" spans="1:17" ht="30.95" customHeight="1" x14ac:dyDescent="0.3">
      <c r="A144" s="18">
        <v>8</v>
      </c>
      <c r="B144" s="349"/>
      <c r="C144" s="35"/>
      <c r="D144" s="12"/>
      <c r="E144" s="35"/>
      <c r="F144" s="60"/>
      <c r="G144" s="60"/>
      <c r="H144" s="60"/>
      <c r="I144" s="60"/>
      <c r="J144" s="175"/>
      <c r="K144" s="39"/>
      <c r="L144" s="39"/>
      <c r="M144" s="19"/>
    </row>
    <row r="145" spans="1:13" ht="30.95" customHeight="1" x14ac:dyDescent="0.3">
      <c r="A145" s="18">
        <v>9</v>
      </c>
      <c r="B145" s="349"/>
      <c r="C145" s="35"/>
      <c r="D145" s="12"/>
      <c r="E145" s="35"/>
      <c r="F145" s="60"/>
      <c r="G145" s="60"/>
      <c r="H145" s="60"/>
      <c r="I145" s="60"/>
      <c r="J145" s="175"/>
      <c r="K145" s="39"/>
      <c r="L145" s="39"/>
      <c r="M145" s="19"/>
    </row>
    <row r="146" spans="1:13" ht="30.95" customHeight="1" x14ac:dyDescent="0.3">
      <c r="A146" s="18">
        <v>10</v>
      </c>
      <c r="B146" s="349"/>
      <c r="C146" s="35"/>
      <c r="D146" s="12"/>
      <c r="E146" s="35"/>
      <c r="F146" s="60"/>
      <c r="G146" s="60"/>
      <c r="H146" s="60"/>
      <c r="I146" s="60"/>
      <c r="J146" s="175"/>
      <c r="K146" s="39"/>
      <c r="L146" s="39"/>
      <c r="M146" s="19"/>
    </row>
    <row r="147" spans="1:13" ht="30.95" customHeight="1" x14ac:dyDescent="0.3">
      <c r="A147" s="18">
        <v>11</v>
      </c>
      <c r="B147" s="349"/>
      <c r="C147" s="35"/>
      <c r="D147" s="12"/>
      <c r="E147" s="35"/>
      <c r="F147" s="60"/>
      <c r="G147" s="60"/>
      <c r="H147" s="60"/>
      <c r="I147" s="60"/>
      <c r="J147" s="175"/>
      <c r="K147" s="39"/>
      <c r="L147" s="39"/>
      <c r="M147" s="19"/>
    </row>
    <row r="148" spans="1:13" ht="30.95" customHeight="1" x14ac:dyDescent="0.3">
      <c r="A148" s="18">
        <v>12</v>
      </c>
      <c r="B148" s="349"/>
      <c r="C148" s="35"/>
      <c r="D148" s="12"/>
      <c r="E148" s="35"/>
      <c r="F148" s="60"/>
      <c r="G148" s="60"/>
      <c r="H148" s="60"/>
      <c r="I148" s="60"/>
      <c r="J148" s="175"/>
      <c r="K148" s="39"/>
      <c r="L148" s="39"/>
      <c r="M148" s="19"/>
    </row>
    <row r="149" spans="1:13" ht="30.95" customHeight="1" x14ac:dyDescent="0.3">
      <c r="A149" s="18">
        <v>13</v>
      </c>
      <c r="B149" s="349"/>
      <c r="C149" s="35"/>
      <c r="D149" s="12"/>
      <c r="E149" s="35"/>
      <c r="F149" s="60"/>
      <c r="G149" s="60"/>
      <c r="H149" s="60"/>
      <c r="I149" s="60"/>
      <c r="J149" s="175"/>
      <c r="K149" s="39"/>
      <c r="L149" s="39"/>
      <c r="M149" s="19"/>
    </row>
    <row r="150" spans="1:13" ht="30.95" customHeight="1" x14ac:dyDescent="0.3">
      <c r="A150" s="18">
        <v>14</v>
      </c>
      <c r="B150" s="349"/>
      <c r="C150" s="35"/>
      <c r="D150" s="12"/>
      <c r="E150" s="35"/>
      <c r="F150" s="60"/>
      <c r="G150" s="60"/>
      <c r="H150" s="60"/>
      <c r="I150" s="60"/>
      <c r="J150" s="175"/>
      <c r="K150" s="39"/>
      <c r="L150" s="39"/>
      <c r="M150" s="19"/>
    </row>
    <row r="151" spans="1:13" ht="30.95" customHeight="1" x14ac:dyDescent="0.3">
      <c r="A151" s="18">
        <v>15</v>
      </c>
      <c r="B151" s="349"/>
      <c r="C151" s="35"/>
      <c r="D151" s="12"/>
      <c r="E151" s="35"/>
      <c r="F151" s="60"/>
      <c r="G151" s="60"/>
      <c r="H151" s="60"/>
      <c r="I151" s="60"/>
      <c r="J151" s="175"/>
      <c r="K151" s="39"/>
      <c r="L151" s="39"/>
      <c r="M151" s="19"/>
    </row>
    <row r="152" spans="1:13" ht="30.95" customHeight="1" x14ac:dyDescent="0.3">
      <c r="A152" s="18">
        <v>16</v>
      </c>
      <c r="B152" s="349"/>
      <c r="C152" s="35"/>
      <c r="D152" s="12"/>
      <c r="E152" s="35"/>
      <c r="F152" s="60"/>
      <c r="G152" s="60"/>
      <c r="H152" s="60"/>
      <c r="I152" s="60"/>
      <c r="J152" s="175"/>
      <c r="K152" s="39"/>
      <c r="L152" s="39"/>
      <c r="M152" s="19"/>
    </row>
    <row r="153" spans="1:13" ht="30.95" customHeight="1" x14ac:dyDescent="0.3">
      <c r="A153" s="18">
        <v>17</v>
      </c>
      <c r="B153" s="349"/>
      <c r="C153" s="35"/>
      <c r="D153" s="12"/>
      <c r="E153" s="35"/>
      <c r="F153" s="60"/>
      <c r="G153" s="60"/>
      <c r="H153" s="60"/>
      <c r="I153" s="60"/>
      <c r="J153" s="175"/>
      <c r="K153" s="39"/>
      <c r="L153" s="39"/>
      <c r="M153" s="19"/>
    </row>
    <row r="154" spans="1:13" ht="30.95" customHeight="1" x14ac:dyDescent="0.3">
      <c r="A154" s="18">
        <v>18</v>
      </c>
      <c r="B154" s="349"/>
      <c r="C154" s="35"/>
      <c r="D154" s="12"/>
      <c r="E154" s="35"/>
      <c r="F154" s="60"/>
      <c r="G154" s="60"/>
      <c r="H154" s="60"/>
      <c r="I154" s="60"/>
      <c r="J154" s="175"/>
      <c r="K154" s="39"/>
      <c r="L154" s="39"/>
      <c r="M154" s="19"/>
    </row>
    <row r="155" spans="1:13" ht="30.95" customHeight="1" x14ac:dyDescent="0.3">
      <c r="A155" s="18">
        <v>19</v>
      </c>
      <c r="B155" s="349"/>
      <c r="C155" s="35"/>
      <c r="D155" s="12"/>
      <c r="E155" s="35"/>
      <c r="F155" s="60"/>
      <c r="G155" s="60"/>
      <c r="H155" s="60"/>
      <c r="I155" s="60"/>
      <c r="J155" s="175"/>
      <c r="K155" s="39"/>
      <c r="L155" s="39"/>
      <c r="M155" s="19"/>
    </row>
    <row r="156" spans="1:13" ht="30.95" customHeight="1" x14ac:dyDescent="0.3">
      <c r="A156" s="18">
        <v>20</v>
      </c>
      <c r="B156" s="349"/>
      <c r="C156" s="35"/>
      <c r="D156" s="12"/>
      <c r="E156" s="35"/>
      <c r="F156" s="60"/>
      <c r="G156" s="60"/>
      <c r="H156" s="60"/>
      <c r="I156" s="60"/>
      <c r="J156" s="175"/>
      <c r="K156" s="39"/>
      <c r="L156" s="39"/>
      <c r="M156" s="19"/>
    </row>
    <row r="157" spans="1:13" ht="30.95" customHeight="1" x14ac:dyDescent="0.3">
      <c r="A157" s="18">
        <v>21</v>
      </c>
      <c r="B157" s="349"/>
      <c r="C157" s="35"/>
      <c r="D157" s="12"/>
      <c r="E157" s="35"/>
      <c r="F157" s="60"/>
      <c r="G157" s="60"/>
      <c r="H157" s="60"/>
      <c r="I157" s="60"/>
      <c r="J157" s="175"/>
      <c r="K157" s="39"/>
      <c r="L157" s="39"/>
      <c r="M157" s="19"/>
    </row>
    <row r="158" spans="1:13" ht="30.95" customHeight="1" x14ac:dyDescent="0.3">
      <c r="A158" s="18">
        <v>22</v>
      </c>
      <c r="B158" s="349"/>
      <c r="C158" s="35"/>
      <c r="D158" s="12"/>
      <c r="E158" s="35"/>
      <c r="F158" s="60"/>
      <c r="G158" s="60"/>
      <c r="H158" s="60"/>
      <c r="I158" s="60"/>
      <c r="J158" s="175"/>
      <c r="K158" s="39"/>
      <c r="L158" s="39"/>
      <c r="M158" s="19"/>
    </row>
    <row r="159" spans="1:13" ht="30.95" customHeight="1" x14ac:dyDescent="0.3">
      <c r="A159" s="18">
        <v>23</v>
      </c>
      <c r="B159" s="349"/>
      <c r="C159" s="35" t="s">
        <v>361</v>
      </c>
      <c r="D159" s="12" t="s">
        <v>228</v>
      </c>
      <c r="E159" s="35"/>
      <c r="F159" s="60"/>
      <c r="G159" s="60"/>
      <c r="H159" s="60"/>
      <c r="I159" s="60"/>
      <c r="J159" s="175"/>
      <c r="K159" s="39"/>
      <c r="L159" s="39"/>
      <c r="M159" s="19"/>
    </row>
    <row r="160" spans="1:13" ht="30.95" customHeight="1" thickBot="1" x14ac:dyDescent="0.35">
      <c r="A160" s="21">
        <v>24</v>
      </c>
      <c r="B160" s="412"/>
      <c r="C160" s="40" t="s">
        <v>361</v>
      </c>
      <c r="D160" s="22" t="s">
        <v>228</v>
      </c>
      <c r="E160" s="40"/>
      <c r="F160" s="66"/>
      <c r="G160" s="66"/>
      <c r="H160" s="66"/>
      <c r="I160" s="66"/>
      <c r="J160" s="176"/>
      <c r="K160" s="23"/>
      <c r="L160" s="23"/>
      <c r="M160" s="24"/>
    </row>
    <row r="161" spans="1:13" ht="30.95" customHeight="1" x14ac:dyDescent="0.3">
      <c r="A161" s="25">
        <v>1</v>
      </c>
      <c r="B161" s="371" t="s">
        <v>444</v>
      </c>
      <c r="C161" s="41" t="s">
        <v>359</v>
      </c>
      <c r="D161" s="26" t="s">
        <v>193</v>
      </c>
      <c r="E161" s="41"/>
      <c r="F161" s="63"/>
      <c r="G161" s="63"/>
      <c r="H161" s="63"/>
      <c r="I161" s="63"/>
      <c r="J161" s="63"/>
      <c r="K161" s="27"/>
      <c r="L161" s="27"/>
      <c r="M161" s="28"/>
    </row>
    <row r="162" spans="1:13" ht="30.95" customHeight="1" x14ac:dyDescent="0.3">
      <c r="A162" s="18">
        <v>2</v>
      </c>
      <c r="B162" s="349"/>
      <c r="C162" s="35" t="s">
        <v>359</v>
      </c>
      <c r="D162" s="12" t="s">
        <v>194</v>
      </c>
      <c r="E162" s="35"/>
      <c r="F162" s="60"/>
      <c r="G162" s="60"/>
      <c r="H162" s="60"/>
      <c r="I162" s="60"/>
      <c r="J162" s="175"/>
      <c r="K162" s="39"/>
      <c r="L162" s="39"/>
      <c r="M162" s="19"/>
    </row>
    <row r="163" spans="1:13" ht="30.95" customHeight="1" x14ac:dyDescent="0.3">
      <c r="A163" s="18">
        <v>3</v>
      </c>
      <c r="B163" s="349"/>
      <c r="C163" s="35" t="s">
        <v>15</v>
      </c>
      <c r="D163" s="12" t="s">
        <v>15</v>
      </c>
      <c r="E163" s="35"/>
      <c r="F163" s="60"/>
      <c r="G163" s="60"/>
      <c r="H163" s="60"/>
      <c r="I163" s="60"/>
      <c r="J163" s="175"/>
      <c r="K163" s="39"/>
      <c r="L163" s="39"/>
      <c r="M163" s="19"/>
    </row>
    <row r="164" spans="1:13" ht="30.95" customHeight="1" x14ac:dyDescent="0.3">
      <c r="A164" s="18">
        <v>4</v>
      </c>
      <c r="B164" s="349"/>
      <c r="C164" s="35" t="s">
        <v>15</v>
      </c>
      <c r="D164" s="12" t="s">
        <v>15</v>
      </c>
      <c r="E164" s="35"/>
      <c r="F164" s="60"/>
      <c r="G164" s="60"/>
      <c r="H164" s="60"/>
      <c r="I164" s="60"/>
      <c r="J164" s="175"/>
      <c r="K164" s="39"/>
      <c r="L164" s="39"/>
      <c r="M164" s="19"/>
    </row>
    <row r="165" spans="1:13" ht="30.95" customHeight="1" x14ac:dyDescent="0.3">
      <c r="A165" s="18">
        <v>5</v>
      </c>
      <c r="B165" s="349"/>
      <c r="C165" s="35"/>
      <c r="D165" s="12"/>
      <c r="E165" s="35"/>
      <c r="F165" s="60"/>
      <c r="G165" s="60"/>
      <c r="H165" s="60"/>
      <c r="I165" s="60"/>
      <c r="J165" s="175"/>
      <c r="K165" s="39"/>
      <c r="L165" s="39"/>
      <c r="M165" s="19"/>
    </row>
    <row r="166" spans="1:13" ht="30.95" customHeight="1" x14ac:dyDescent="0.3">
      <c r="A166" s="18">
        <v>6</v>
      </c>
      <c r="B166" s="349"/>
      <c r="C166" s="35"/>
      <c r="D166" s="12"/>
      <c r="E166" s="35"/>
      <c r="F166" s="60"/>
      <c r="G166" s="60"/>
      <c r="H166" s="60"/>
      <c r="I166" s="60"/>
      <c r="J166" s="175"/>
      <c r="K166" s="39"/>
      <c r="L166" s="39"/>
      <c r="M166" s="19"/>
    </row>
    <row r="167" spans="1:13" ht="30.95" customHeight="1" x14ac:dyDescent="0.3">
      <c r="A167" s="18">
        <v>7</v>
      </c>
      <c r="B167" s="349"/>
      <c r="C167" s="35"/>
      <c r="D167" s="12"/>
      <c r="E167" s="35"/>
      <c r="F167" s="60"/>
      <c r="G167" s="60"/>
      <c r="H167" s="60"/>
      <c r="I167" s="60"/>
      <c r="J167" s="175"/>
      <c r="K167" s="39"/>
      <c r="L167" s="39"/>
      <c r="M167" s="19"/>
    </row>
    <row r="168" spans="1:13" ht="30.95" customHeight="1" x14ac:dyDescent="0.3">
      <c r="A168" s="18">
        <v>8</v>
      </c>
      <c r="B168" s="349"/>
      <c r="C168" s="35"/>
      <c r="D168" s="12"/>
      <c r="E168" s="35"/>
      <c r="F168" s="60"/>
      <c r="G168" s="60"/>
      <c r="H168" s="60"/>
      <c r="I168" s="60"/>
      <c r="J168" s="175"/>
      <c r="K168" s="39"/>
      <c r="L168" s="39"/>
      <c r="M168" s="19"/>
    </row>
    <row r="169" spans="1:13" ht="30.95" customHeight="1" x14ac:dyDescent="0.3">
      <c r="A169" s="18">
        <v>9</v>
      </c>
      <c r="B169" s="349"/>
      <c r="C169" s="35"/>
      <c r="D169" s="12"/>
      <c r="E169" s="35"/>
      <c r="F169" s="60"/>
      <c r="G169" s="60"/>
      <c r="H169" s="60"/>
      <c r="I169" s="60"/>
      <c r="J169" s="175"/>
      <c r="K169" s="39"/>
      <c r="L169" s="39"/>
      <c r="M169" s="19"/>
    </row>
    <row r="170" spans="1:13" ht="30.95" customHeight="1" x14ac:dyDescent="0.3">
      <c r="A170" s="18">
        <v>10</v>
      </c>
      <c r="B170" s="349"/>
      <c r="C170" s="35"/>
      <c r="D170" s="12"/>
      <c r="E170" s="35"/>
      <c r="F170" s="60"/>
      <c r="G170" s="60"/>
      <c r="H170" s="60"/>
      <c r="I170" s="60"/>
      <c r="J170" s="175"/>
      <c r="K170" s="39"/>
      <c r="L170" s="39"/>
      <c r="M170" s="19"/>
    </row>
    <row r="171" spans="1:13" ht="30.95" customHeight="1" x14ac:dyDescent="0.3">
      <c r="A171" s="18">
        <v>11</v>
      </c>
      <c r="B171" s="349"/>
      <c r="C171" s="35"/>
      <c r="D171" s="12"/>
      <c r="E171" s="35"/>
      <c r="F171" s="60"/>
      <c r="G171" s="60"/>
      <c r="H171" s="60"/>
      <c r="I171" s="60"/>
      <c r="J171" s="175"/>
      <c r="K171" s="39"/>
      <c r="L171" s="39"/>
      <c r="M171" s="19"/>
    </row>
    <row r="172" spans="1:13" ht="30.95" customHeight="1" x14ac:dyDescent="0.3">
      <c r="A172" s="18">
        <v>12</v>
      </c>
      <c r="B172" s="349"/>
      <c r="C172" s="35"/>
      <c r="D172" s="12"/>
      <c r="E172" s="35"/>
      <c r="F172" s="60"/>
      <c r="G172" s="60"/>
      <c r="H172" s="60"/>
      <c r="I172" s="60"/>
      <c r="J172" s="175"/>
      <c r="K172" s="39"/>
      <c r="L172" s="39"/>
      <c r="M172" s="19"/>
    </row>
    <row r="173" spans="1:13" ht="30.95" customHeight="1" x14ac:dyDescent="0.3">
      <c r="A173" s="18">
        <v>13</v>
      </c>
      <c r="B173" s="349"/>
      <c r="C173" s="35"/>
      <c r="D173" s="12"/>
      <c r="E173" s="35"/>
      <c r="F173" s="60"/>
      <c r="G173" s="60"/>
      <c r="H173" s="60"/>
      <c r="I173" s="60"/>
      <c r="J173" s="175"/>
      <c r="K173" s="39"/>
      <c r="L173" s="39"/>
      <c r="M173" s="19"/>
    </row>
    <row r="174" spans="1:13" ht="30.95" customHeight="1" x14ac:dyDescent="0.3">
      <c r="A174" s="18">
        <v>14</v>
      </c>
      <c r="B174" s="349"/>
      <c r="C174" s="35"/>
      <c r="D174" s="12"/>
      <c r="E174" s="35"/>
      <c r="F174" s="60"/>
      <c r="G174" s="60"/>
      <c r="H174" s="60"/>
      <c r="I174" s="60"/>
      <c r="J174" s="175"/>
      <c r="K174" s="39"/>
      <c r="L174" s="39"/>
      <c r="M174" s="19"/>
    </row>
    <row r="175" spans="1:13" ht="30.95" customHeight="1" x14ac:dyDescent="0.3">
      <c r="A175" s="18">
        <v>15</v>
      </c>
      <c r="B175" s="349"/>
      <c r="C175" s="35"/>
      <c r="D175" s="12"/>
      <c r="E175" s="35"/>
      <c r="F175" s="60"/>
      <c r="G175" s="60"/>
      <c r="H175" s="60"/>
      <c r="I175" s="60"/>
      <c r="J175" s="175"/>
      <c r="K175" s="39"/>
      <c r="L175" s="39"/>
      <c r="M175" s="19"/>
    </row>
    <row r="176" spans="1:13" ht="30.95" customHeight="1" x14ac:dyDescent="0.3">
      <c r="A176" s="18">
        <v>16</v>
      </c>
      <c r="B176" s="349"/>
      <c r="C176" s="35"/>
      <c r="D176" s="12"/>
      <c r="E176" s="35"/>
      <c r="F176" s="60"/>
      <c r="G176" s="60"/>
      <c r="H176" s="60"/>
      <c r="I176" s="60"/>
      <c r="J176" s="175"/>
      <c r="K176" s="39"/>
      <c r="L176" s="39"/>
      <c r="M176" s="19"/>
    </row>
    <row r="177" spans="1:13" ht="30.95" customHeight="1" x14ac:dyDescent="0.3">
      <c r="A177" s="18">
        <v>17</v>
      </c>
      <c r="B177" s="349"/>
      <c r="C177" s="35"/>
      <c r="D177" s="12"/>
      <c r="E177" s="35"/>
      <c r="F177" s="60"/>
      <c r="G177" s="60"/>
      <c r="H177" s="60"/>
      <c r="I177" s="60"/>
      <c r="J177" s="175"/>
      <c r="K177" s="39"/>
      <c r="L177" s="39"/>
      <c r="M177" s="19"/>
    </row>
    <row r="178" spans="1:13" ht="30.95" customHeight="1" x14ac:dyDescent="0.3">
      <c r="A178" s="18">
        <v>18</v>
      </c>
      <c r="B178" s="349"/>
      <c r="C178" s="35"/>
      <c r="D178" s="12"/>
      <c r="E178" s="35"/>
      <c r="F178" s="60"/>
      <c r="G178" s="60"/>
      <c r="H178" s="60"/>
      <c r="I178" s="60"/>
      <c r="J178" s="175"/>
      <c r="K178" s="39"/>
      <c r="L178" s="39"/>
      <c r="M178" s="19"/>
    </row>
    <row r="179" spans="1:13" ht="30.95" customHeight="1" x14ac:dyDescent="0.3">
      <c r="A179" s="18">
        <v>19</v>
      </c>
      <c r="B179" s="349"/>
      <c r="C179" s="35"/>
      <c r="D179" s="12"/>
      <c r="E179" s="35"/>
      <c r="F179" s="60"/>
      <c r="G179" s="60"/>
      <c r="H179" s="60"/>
      <c r="I179" s="60"/>
      <c r="J179" s="175"/>
      <c r="K179" s="39"/>
      <c r="L179" s="39"/>
      <c r="M179" s="19"/>
    </row>
    <row r="180" spans="1:13" ht="30.95" customHeight="1" x14ac:dyDescent="0.3">
      <c r="A180" s="18">
        <v>20</v>
      </c>
      <c r="B180" s="349"/>
      <c r="C180" s="35"/>
      <c r="D180" s="12"/>
      <c r="E180" s="35"/>
      <c r="F180" s="60"/>
      <c r="G180" s="60"/>
      <c r="H180" s="60"/>
      <c r="I180" s="60"/>
      <c r="J180" s="175"/>
      <c r="K180" s="39"/>
      <c r="L180" s="39"/>
      <c r="M180" s="19"/>
    </row>
    <row r="181" spans="1:13" ht="30.95" customHeight="1" x14ac:dyDescent="0.3">
      <c r="A181" s="18">
        <v>21</v>
      </c>
      <c r="B181" s="349"/>
      <c r="C181" s="35"/>
      <c r="D181" s="12"/>
      <c r="E181" s="35"/>
      <c r="F181" s="60"/>
      <c r="G181" s="60"/>
      <c r="H181" s="60"/>
      <c r="I181" s="60"/>
      <c r="J181" s="175"/>
      <c r="K181" s="39"/>
      <c r="L181" s="39"/>
      <c r="M181" s="19"/>
    </row>
    <row r="182" spans="1:13" ht="30.95" customHeight="1" x14ac:dyDescent="0.3">
      <c r="A182" s="18">
        <v>22</v>
      </c>
      <c r="B182" s="349"/>
      <c r="C182" s="35"/>
      <c r="D182" s="12"/>
      <c r="E182" s="35"/>
      <c r="F182" s="60"/>
      <c r="G182" s="60"/>
      <c r="H182" s="60"/>
      <c r="I182" s="60"/>
      <c r="J182" s="175"/>
      <c r="K182" s="39"/>
      <c r="L182" s="39"/>
      <c r="M182" s="19"/>
    </row>
    <row r="183" spans="1:13" ht="30.95" customHeight="1" x14ac:dyDescent="0.3">
      <c r="A183" s="18">
        <v>23</v>
      </c>
      <c r="B183" s="349"/>
      <c r="C183" s="35" t="s">
        <v>361</v>
      </c>
      <c r="D183" s="12" t="s">
        <v>228</v>
      </c>
      <c r="E183" s="35"/>
      <c r="F183" s="60"/>
      <c r="G183" s="60"/>
      <c r="H183" s="60"/>
      <c r="I183" s="60"/>
      <c r="J183" s="175"/>
      <c r="K183" s="39"/>
      <c r="L183" s="39"/>
      <c r="M183" s="19"/>
    </row>
    <row r="184" spans="1:13" ht="30.95" customHeight="1" thickBot="1" x14ac:dyDescent="0.35">
      <c r="A184" s="21">
        <v>24</v>
      </c>
      <c r="B184" s="412"/>
      <c r="C184" s="40" t="s">
        <v>361</v>
      </c>
      <c r="D184" s="22" t="s">
        <v>228</v>
      </c>
      <c r="E184" s="40"/>
      <c r="F184" s="66"/>
      <c r="G184" s="66"/>
      <c r="H184" s="66"/>
      <c r="I184" s="66"/>
      <c r="J184" s="176"/>
      <c r="K184" s="23"/>
      <c r="L184" s="23"/>
      <c r="M184" s="24"/>
    </row>
    <row r="185" spans="1:13" ht="32.1" customHeight="1" x14ac:dyDescent="0.3"/>
    <row r="186" spans="1:13" ht="32.1" customHeight="1" x14ac:dyDescent="0.3"/>
    <row r="187" spans="1:13" ht="32.1" customHeight="1" x14ac:dyDescent="0.3"/>
    <row r="188" spans="1:13" ht="32.1" customHeight="1" x14ac:dyDescent="0.3"/>
    <row r="189" spans="1:13" ht="32.1" customHeight="1" x14ac:dyDescent="0.3"/>
    <row r="190" spans="1:13" ht="32.1" customHeight="1" x14ac:dyDescent="0.3"/>
    <row r="191" spans="1:13" ht="32.1" customHeight="1" x14ac:dyDescent="0.3"/>
    <row r="192" spans="1:13" ht="32.1" customHeight="1" x14ac:dyDescent="0.3"/>
    <row r="193" ht="32.1" customHeight="1" x14ac:dyDescent="0.3"/>
    <row r="194" ht="32.1" customHeight="1" x14ac:dyDescent="0.3"/>
    <row r="195" ht="32.1" customHeight="1" x14ac:dyDescent="0.3"/>
    <row r="196" ht="32.1" customHeight="1" x14ac:dyDescent="0.3"/>
    <row r="197" ht="32.1" customHeight="1" x14ac:dyDescent="0.3"/>
    <row r="198" ht="32.1" customHeight="1" x14ac:dyDescent="0.3"/>
    <row r="199" ht="32.1" customHeight="1" x14ac:dyDescent="0.3"/>
    <row r="200" ht="32.1" customHeight="1" x14ac:dyDescent="0.3"/>
    <row r="201" ht="32.1" customHeight="1" x14ac:dyDescent="0.3"/>
    <row r="202" ht="32.1" customHeight="1" x14ac:dyDescent="0.3"/>
    <row r="203" ht="32.1" customHeight="1" x14ac:dyDescent="0.3"/>
    <row r="204" ht="32.1" customHeight="1" x14ac:dyDescent="0.3"/>
    <row r="205" ht="32.1" customHeight="1" x14ac:dyDescent="0.3"/>
    <row r="206" ht="32.1" customHeight="1" x14ac:dyDescent="0.3"/>
    <row r="207" ht="32.1" customHeight="1" x14ac:dyDescent="0.3"/>
    <row r="208" ht="32.1" customHeight="1" x14ac:dyDescent="0.3"/>
    <row r="209" ht="32.1" customHeight="1" x14ac:dyDescent="0.3"/>
    <row r="210" ht="32.1" customHeight="1" x14ac:dyDescent="0.3"/>
    <row r="211" ht="32.1" customHeight="1" x14ac:dyDescent="0.3"/>
    <row r="212" ht="32.1" customHeight="1" x14ac:dyDescent="0.3"/>
  </sheetData>
  <mergeCells count="66">
    <mergeCell ref="M85:M108"/>
    <mergeCell ref="L85:L108"/>
    <mergeCell ref="K85:K108"/>
    <mergeCell ref="M113:M136"/>
    <mergeCell ref="L113:L136"/>
    <mergeCell ref="K113:K136"/>
    <mergeCell ref="K109:K112"/>
    <mergeCell ref="L109:L112"/>
    <mergeCell ref="M109:M112"/>
    <mergeCell ref="M57:M80"/>
    <mergeCell ref="L57:L80"/>
    <mergeCell ref="K57:K80"/>
    <mergeCell ref="M5:M28"/>
    <mergeCell ref="L5:L28"/>
    <mergeCell ref="K5:K28"/>
    <mergeCell ref="M29:M52"/>
    <mergeCell ref="L29:L52"/>
    <mergeCell ref="K29:K52"/>
    <mergeCell ref="L53:L56"/>
    <mergeCell ref="M53:M56"/>
    <mergeCell ref="M1:M4"/>
    <mergeCell ref="F2:G2"/>
    <mergeCell ref="H2:I2"/>
    <mergeCell ref="J2:J4"/>
    <mergeCell ref="A1:C1"/>
    <mergeCell ref="F1:J1"/>
    <mergeCell ref="K1:K4"/>
    <mergeCell ref="L1:L4"/>
    <mergeCell ref="A2:C3"/>
    <mergeCell ref="D2:D3"/>
    <mergeCell ref="E2:E3"/>
    <mergeCell ref="B137:B160"/>
    <mergeCell ref="B161:B184"/>
    <mergeCell ref="B57:B80"/>
    <mergeCell ref="B85:B108"/>
    <mergeCell ref="B113:B136"/>
    <mergeCell ref="A81:C81"/>
    <mergeCell ref="A109:C109"/>
    <mergeCell ref="A110:C111"/>
    <mergeCell ref="D110:D111"/>
    <mergeCell ref="E110:E111"/>
    <mergeCell ref="F109:J109"/>
    <mergeCell ref="F110:G110"/>
    <mergeCell ref="H110:I110"/>
    <mergeCell ref="J110:J112"/>
    <mergeCell ref="E54:E55"/>
    <mergeCell ref="A53:C53"/>
    <mergeCell ref="F54:G54"/>
    <mergeCell ref="H54:I54"/>
    <mergeCell ref="J54:J56"/>
    <mergeCell ref="B5:B28"/>
    <mergeCell ref="B29:B52"/>
    <mergeCell ref="L81:L84"/>
    <mergeCell ref="M81:M84"/>
    <mergeCell ref="A82:C83"/>
    <mergeCell ref="D82:D83"/>
    <mergeCell ref="E82:E83"/>
    <mergeCell ref="F82:G82"/>
    <mergeCell ref="H82:I82"/>
    <mergeCell ref="J82:J84"/>
    <mergeCell ref="F81:J81"/>
    <mergeCell ref="K81:K84"/>
    <mergeCell ref="F53:J53"/>
    <mergeCell ref="K53:K56"/>
    <mergeCell ref="A54:C55"/>
    <mergeCell ref="D54:D55"/>
  </mergeCells>
  <phoneticPr fontId="1" type="noConversion"/>
  <pageMargins left="0.25" right="0.25" top="0.75" bottom="0.75" header="0.3" footer="0.3"/>
  <pageSetup paperSize="9" scale="55" fitToHeight="7" orientation="landscape" r:id="rId1"/>
  <rowBreaks count="3" manualBreakCount="3">
    <brk id="52" max="12" man="1"/>
    <brk id="80" max="12" man="1"/>
    <brk id="160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view="pageBreakPreview" zoomScale="70" zoomScaleNormal="100" zoomScaleSheetLayoutView="70" workbookViewId="0">
      <pane ySplit="4" topLeftCell="A14" activePane="bottomLeft" state="frozen"/>
      <selection activeCell="E28" sqref="E28"/>
      <selection pane="bottomLeft" activeCell="L5" sqref="L5:L28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21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728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COUNTIF(N5:N506,0)/COUNT(A:A)</f>
        <v>0.42499999999999999</v>
      </c>
    </row>
    <row r="2" spans="1:21" ht="30" customHeight="1" x14ac:dyDescent="0.3">
      <c r="A2" s="336" t="s">
        <v>9</v>
      </c>
      <c r="B2" s="337"/>
      <c r="C2" s="337"/>
      <c r="D2" s="368" t="s">
        <v>652</v>
      </c>
      <c r="E2" s="337" t="s">
        <v>703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21" ht="30" customHeight="1" x14ac:dyDescent="0.3">
      <c r="A3" s="336"/>
      <c r="B3" s="337"/>
      <c r="C3" s="337"/>
      <c r="D3" s="368"/>
      <c r="E3" s="337"/>
      <c r="F3" s="201" t="s">
        <v>638</v>
      </c>
      <c r="G3" s="214">
        <f>전송손실!M12</f>
        <v>-9.498272</v>
      </c>
      <c r="H3" s="201" t="s">
        <v>638</v>
      </c>
      <c r="I3" s="214">
        <f>전송손실!M38</f>
        <v>-6.3389439999999997</v>
      </c>
      <c r="J3" s="369"/>
      <c r="K3" s="332"/>
      <c r="L3" s="332"/>
      <c r="M3" s="332"/>
    </row>
    <row r="4" spans="1:21" ht="30" customHeight="1" thickBot="1" x14ac:dyDescent="0.35">
      <c r="A4" s="203" t="s">
        <v>0</v>
      </c>
      <c r="B4" s="203" t="s">
        <v>1</v>
      </c>
      <c r="C4" s="203" t="s">
        <v>23</v>
      </c>
      <c r="D4" s="203" t="s">
        <v>2</v>
      </c>
      <c r="E4" s="203" t="s">
        <v>3</v>
      </c>
      <c r="F4" s="203" t="s">
        <v>4</v>
      </c>
      <c r="G4" s="203" t="s">
        <v>506</v>
      </c>
      <c r="H4" s="203" t="s">
        <v>4</v>
      </c>
      <c r="I4" s="203" t="s">
        <v>506</v>
      </c>
      <c r="J4" s="370"/>
      <c r="K4" s="367"/>
      <c r="L4" s="367"/>
      <c r="M4" s="367"/>
    </row>
    <row r="5" spans="1:21" ht="30" customHeight="1" x14ac:dyDescent="0.3">
      <c r="A5" s="64">
        <v>1</v>
      </c>
      <c r="B5" s="394" t="s">
        <v>235</v>
      </c>
      <c r="C5" s="62" t="s">
        <v>356</v>
      </c>
      <c r="D5" s="17" t="s">
        <v>229</v>
      </c>
      <c r="E5" s="62"/>
      <c r="F5" s="123"/>
      <c r="G5" s="123"/>
      <c r="H5" s="123"/>
      <c r="I5" s="123"/>
      <c r="J5" s="124"/>
      <c r="K5" s="355" t="s">
        <v>509</v>
      </c>
      <c r="L5" s="355"/>
      <c r="M5" s="359"/>
      <c r="N5">
        <f>IF(C5="",0,1)</f>
        <v>1</v>
      </c>
    </row>
    <row r="6" spans="1:21" ht="30" customHeight="1" x14ac:dyDescent="0.3">
      <c r="A6" s="18">
        <v>2</v>
      </c>
      <c r="B6" s="394"/>
      <c r="C6" s="35" t="s">
        <v>356</v>
      </c>
      <c r="D6" s="12" t="s">
        <v>230</v>
      </c>
      <c r="E6" s="35"/>
      <c r="F6" s="116"/>
      <c r="G6" s="116"/>
      <c r="H6" s="116"/>
      <c r="I6" s="116"/>
      <c r="J6" s="122"/>
      <c r="K6" s="355"/>
      <c r="L6" s="355"/>
      <c r="M6" s="359"/>
      <c r="N6">
        <f t="shared" ref="N6:N74" si="0">IF(C6="",0,1)</f>
        <v>1</v>
      </c>
    </row>
    <row r="7" spans="1:21" ht="30" customHeight="1" x14ac:dyDescent="0.3">
      <c r="A7" s="18">
        <v>3</v>
      </c>
      <c r="B7" s="394"/>
      <c r="C7" s="85" t="s">
        <v>503</v>
      </c>
      <c r="D7" s="86" t="s">
        <v>504</v>
      </c>
      <c r="E7" s="85"/>
      <c r="F7" s="117"/>
      <c r="G7" s="117"/>
      <c r="H7" s="117"/>
      <c r="I7" s="117"/>
      <c r="J7" s="121"/>
      <c r="K7" s="355"/>
      <c r="L7" s="355"/>
      <c r="M7" s="359"/>
      <c r="N7">
        <f t="shared" si="0"/>
        <v>1</v>
      </c>
    </row>
    <row r="8" spans="1:21" ht="30" customHeight="1" x14ac:dyDescent="0.3">
      <c r="A8" s="18">
        <v>4</v>
      </c>
      <c r="B8" s="394"/>
      <c r="C8" s="76"/>
      <c r="D8" s="77"/>
      <c r="E8" s="76"/>
      <c r="F8" s="118">
        <v>-7.968</v>
      </c>
      <c r="G8" s="118">
        <v>21.514299999999999</v>
      </c>
      <c r="H8" s="118">
        <v>-4.9550000000000001</v>
      </c>
      <c r="I8" s="118">
        <v>21.5122</v>
      </c>
      <c r="J8" s="118"/>
      <c r="K8" s="355"/>
      <c r="L8" s="355"/>
      <c r="M8" s="359"/>
      <c r="N8">
        <f t="shared" si="0"/>
        <v>0</v>
      </c>
    </row>
    <row r="9" spans="1:21" ht="30" customHeight="1" x14ac:dyDescent="0.3">
      <c r="A9" s="18">
        <v>5</v>
      </c>
      <c r="B9" s="394"/>
      <c r="C9" s="35" t="s">
        <v>475</v>
      </c>
      <c r="D9" s="12" t="s">
        <v>508</v>
      </c>
      <c r="E9" s="35"/>
      <c r="F9" s="116"/>
      <c r="G9" s="116"/>
      <c r="H9" s="116"/>
      <c r="I9" s="116"/>
      <c r="J9" s="122"/>
      <c r="K9" s="355"/>
      <c r="L9" s="355"/>
      <c r="M9" s="359"/>
      <c r="N9">
        <f t="shared" si="0"/>
        <v>1</v>
      </c>
    </row>
    <row r="10" spans="1:21" ht="30" customHeight="1" x14ac:dyDescent="0.3">
      <c r="A10" s="18">
        <v>6</v>
      </c>
      <c r="B10" s="394"/>
      <c r="C10" s="76"/>
      <c r="D10" s="77"/>
      <c r="E10" s="76"/>
      <c r="F10" s="118">
        <v>-7.8559999999999999</v>
      </c>
      <c r="G10" s="118">
        <v>21.505400000000002</v>
      </c>
      <c r="H10" s="118">
        <v>-5.016</v>
      </c>
      <c r="I10" s="118">
        <v>21.502600000000001</v>
      </c>
      <c r="J10" s="118"/>
      <c r="K10" s="355"/>
      <c r="L10" s="355"/>
      <c r="M10" s="359"/>
      <c r="N10">
        <f t="shared" si="0"/>
        <v>0</v>
      </c>
    </row>
    <row r="11" spans="1:21" ht="30" customHeight="1" x14ac:dyDescent="0.3">
      <c r="A11" s="18">
        <v>7</v>
      </c>
      <c r="B11" s="394"/>
      <c r="C11" s="76"/>
      <c r="D11" s="77"/>
      <c r="E11" s="76"/>
      <c r="F11" s="118">
        <v>-7.8</v>
      </c>
      <c r="G11" s="118">
        <v>21.515599999999999</v>
      </c>
      <c r="H11" s="118">
        <v>-4.9939999999999998</v>
      </c>
      <c r="I11" s="118">
        <v>21.512799999999999</v>
      </c>
      <c r="J11" s="118"/>
      <c r="K11" s="355"/>
      <c r="L11" s="355"/>
      <c r="M11" s="359"/>
      <c r="N11">
        <f t="shared" si="0"/>
        <v>0</v>
      </c>
    </row>
    <row r="12" spans="1:21" ht="30" customHeight="1" x14ac:dyDescent="0.3">
      <c r="A12" s="18">
        <v>8</v>
      </c>
      <c r="B12" s="394"/>
      <c r="C12" s="76"/>
      <c r="D12" s="77"/>
      <c r="E12" s="76"/>
      <c r="F12" s="118">
        <v>-7.81</v>
      </c>
      <c r="G12" s="118">
        <v>21.515599999999999</v>
      </c>
      <c r="H12" s="118">
        <v>-4.968</v>
      </c>
      <c r="I12" s="118">
        <v>21.513500000000001</v>
      </c>
      <c r="J12" s="118"/>
      <c r="K12" s="355"/>
      <c r="L12" s="355"/>
      <c r="M12" s="359"/>
      <c r="N12">
        <f t="shared" si="0"/>
        <v>0</v>
      </c>
    </row>
    <row r="13" spans="1:21" ht="30" customHeight="1" x14ac:dyDescent="0.3">
      <c r="A13" s="18">
        <v>9</v>
      </c>
      <c r="B13" s="394"/>
      <c r="C13" s="76"/>
      <c r="D13" s="77"/>
      <c r="E13" s="76"/>
      <c r="F13" s="118">
        <v>-8.0779999999999994</v>
      </c>
      <c r="G13" s="118">
        <v>21.5182</v>
      </c>
      <c r="H13" s="118">
        <v>-5.2759999999999998</v>
      </c>
      <c r="I13" s="118">
        <v>21.517299999999999</v>
      </c>
      <c r="J13" s="118"/>
      <c r="K13" s="355"/>
      <c r="L13" s="355"/>
      <c r="M13" s="359"/>
      <c r="N13">
        <f t="shared" si="0"/>
        <v>0</v>
      </c>
      <c r="Q13" t="s">
        <v>167</v>
      </c>
    </row>
    <row r="14" spans="1:21" ht="30" customHeight="1" x14ac:dyDescent="0.3">
      <c r="A14" s="18">
        <v>10</v>
      </c>
      <c r="B14" s="394"/>
      <c r="C14" s="76"/>
      <c r="D14" s="77"/>
      <c r="E14" s="76"/>
      <c r="F14" s="118">
        <v>-7.7519999999999998</v>
      </c>
      <c r="G14" s="118">
        <v>21.5182</v>
      </c>
      <c r="H14" s="118">
        <v>-4.8460000000000001</v>
      </c>
      <c r="I14" s="118">
        <v>21.5167</v>
      </c>
      <c r="J14" s="118"/>
      <c r="K14" s="355"/>
      <c r="L14" s="355"/>
      <c r="M14" s="359"/>
      <c r="N14">
        <f t="shared" si="0"/>
        <v>0</v>
      </c>
    </row>
    <row r="15" spans="1:21" ht="30" customHeight="1" x14ac:dyDescent="0.3">
      <c r="A15" s="18">
        <v>11</v>
      </c>
      <c r="B15" s="394"/>
      <c r="C15" s="35" t="s">
        <v>358</v>
      </c>
      <c r="D15" s="12" t="s">
        <v>436</v>
      </c>
      <c r="E15" s="35"/>
      <c r="F15" s="116"/>
      <c r="G15" s="116"/>
      <c r="H15" s="116"/>
      <c r="I15" s="116"/>
      <c r="J15" s="122"/>
      <c r="K15" s="355"/>
      <c r="L15" s="355"/>
      <c r="M15" s="359"/>
      <c r="N15">
        <f t="shared" si="0"/>
        <v>1</v>
      </c>
    </row>
    <row r="16" spans="1:21" ht="30" customHeight="1" x14ac:dyDescent="0.3">
      <c r="A16" s="18">
        <v>12</v>
      </c>
      <c r="B16" s="394"/>
      <c r="C16" s="35" t="s">
        <v>358</v>
      </c>
      <c r="D16" s="12" t="s">
        <v>436</v>
      </c>
      <c r="E16" s="35"/>
      <c r="F16" s="116"/>
      <c r="G16" s="116"/>
      <c r="H16" s="116"/>
      <c r="I16" s="116"/>
      <c r="J16" s="122"/>
      <c r="K16" s="355"/>
      <c r="L16" s="355"/>
      <c r="M16" s="359"/>
      <c r="N16">
        <f t="shared" si="0"/>
        <v>1</v>
      </c>
      <c r="U16">
        <f>H13/I13</f>
        <v>-0.24519804994121011</v>
      </c>
    </row>
    <row r="17" spans="1:16" ht="30" customHeight="1" x14ac:dyDescent="0.3">
      <c r="A17" s="18">
        <v>13</v>
      </c>
      <c r="B17" s="394"/>
      <c r="C17" s="76"/>
      <c r="D17" s="77"/>
      <c r="E17" s="76"/>
      <c r="F17" s="118">
        <v>-8.2680000000000007</v>
      </c>
      <c r="G17" s="118">
        <v>21.523299999999999</v>
      </c>
      <c r="H17" s="118">
        <v>-5.3550000000000004</v>
      </c>
      <c r="I17" s="118">
        <v>21.522400000000001</v>
      </c>
      <c r="J17" s="118"/>
      <c r="K17" s="355"/>
      <c r="L17" s="355"/>
      <c r="M17" s="359"/>
      <c r="N17">
        <f t="shared" si="0"/>
        <v>0</v>
      </c>
    </row>
    <row r="18" spans="1:16" ht="30" customHeight="1" x14ac:dyDescent="0.3">
      <c r="A18" s="18">
        <v>14</v>
      </c>
      <c r="B18" s="394"/>
      <c r="C18" s="76"/>
      <c r="D18" s="77"/>
      <c r="E18" s="76"/>
      <c r="F18" s="118">
        <v>-8.1999999999999993</v>
      </c>
      <c r="G18" s="118">
        <v>21.516200000000001</v>
      </c>
      <c r="H18" s="118">
        <v>-5.2880000000000003</v>
      </c>
      <c r="I18" s="118">
        <v>21.514700000000001</v>
      </c>
      <c r="J18" s="118"/>
      <c r="K18" s="355"/>
      <c r="L18" s="355"/>
      <c r="M18" s="359"/>
      <c r="N18">
        <f t="shared" si="0"/>
        <v>0</v>
      </c>
    </row>
    <row r="19" spans="1:16" ht="30" customHeight="1" x14ac:dyDescent="0.3">
      <c r="A19" s="18">
        <v>15</v>
      </c>
      <c r="B19" s="394"/>
      <c r="C19" s="76"/>
      <c r="D19" s="77"/>
      <c r="E19" s="76"/>
      <c r="F19" s="118">
        <v>-8.1289999999999996</v>
      </c>
      <c r="G19" s="118">
        <v>21.516200000000001</v>
      </c>
      <c r="H19" s="118">
        <v>-5.1749999999999998</v>
      </c>
      <c r="I19" s="118">
        <v>21.514099999999999</v>
      </c>
      <c r="J19" s="118"/>
      <c r="K19" s="355"/>
      <c r="L19" s="355"/>
      <c r="M19" s="359"/>
      <c r="N19">
        <f t="shared" si="0"/>
        <v>0</v>
      </c>
    </row>
    <row r="20" spans="1:16" ht="30" customHeight="1" x14ac:dyDescent="0.3">
      <c r="A20" s="18">
        <v>16</v>
      </c>
      <c r="B20" s="394"/>
      <c r="C20" s="76"/>
      <c r="D20" s="77"/>
      <c r="E20" s="76"/>
      <c r="F20" s="118">
        <v>-7.9</v>
      </c>
      <c r="G20" s="118">
        <v>21.510999999999999</v>
      </c>
      <c r="H20" s="118">
        <v>-5.1740000000000004</v>
      </c>
      <c r="I20" s="118">
        <v>21.509599999999999</v>
      </c>
      <c r="J20" s="118"/>
      <c r="K20" s="355"/>
      <c r="L20" s="355"/>
      <c r="M20" s="359"/>
      <c r="N20">
        <f t="shared" si="0"/>
        <v>0</v>
      </c>
    </row>
    <row r="21" spans="1:16" ht="30" customHeight="1" x14ac:dyDescent="0.3">
      <c r="A21" s="18">
        <v>17</v>
      </c>
      <c r="B21" s="394"/>
      <c r="C21" s="35" t="s">
        <v>357</v>
      </c>
      <c r="D21" s="12" t="s">
        <v>232</v>
      </c>
      <c r="E21" s="35"/>
      <c r="F21" s="116"/>
      <c r="G21" s="116"/>
      <c r="H21" s="116"/>
      <c r="I21" s="116"/>
      <c r="J21" s="122"/>
      <c r="K21" s="355"/>
      <c r="L21" s="355"/>
      <c r="M21" s="359"/>
      <c r="N21">
        <f t="shared" si="0"/>
        <v>1</v>
      </c>
    </row>
    <row r="22" spans="1:16" ht="30" customHeight="1" x14ac:dyDescent="0.3">
      <c r="A22" s="18">
        <v>18</v>
      </c>
      <c r="B22" s="394"/>
      <c r="C22" s="35" t="s">
        <v>357</v>
      </c>
      <c r="D22" s="12" t="s">
        <v>233</v>
      </c>
      <c r="E22" s="35"/>
      <c r="F22" s="116"/>
      <c r="G22" s="116"/>
      <c r="H22" s="116"/>
      <c r="I22" s="116"/>
      <c r="J22" s="122"/>
      <c r="K22" s="355"/>
      <c r="L22" s="355"/>
      <c r="M22" s="359"/>
      <c r="N22">
        <f t="shared" si="0"/>
        <v>1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-7.82</v>
      </c>
      <c r="G23" s="118">
        <v>21.517499999999998</v>
      </c>
      <c r="H23" s="118">
        <v>-4.8819999999999997</v>
      </c>
      <c r="I23" s="118">
        <v>21.514099999999999</v>
      </c>
      <c r="J23" s="118"/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76"/>
      <c r="D24" s="77"/>
      <c r="E24" s="76"/>
      <c r="F24" s="118">
        <v>-8.1219999999999999</v>
      </c>
      <c r="G24" s="118">
        <v>21.514299999999999</v>
      </c>
      <c r="H24" s="118">
        <v>-5.1319999999999997</v>
      </c>
      <c r="I24" s="118">
        <v>21.5122</v>
      </c>
      <c r="J24" s="118"/>
      <c r="K24" s="355"/>
      <c r="L24" s="355"/>
      <c r="M24" s="359"/>
      <c r="N24">
        <f t="shared" si="0"/>
        <v>0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>
        <v>-8.2249999999999996</v>
      </c>
      <c r="G25" s="118">
        <v>21.516200000000001</v>
      </c>
      <c r="H25" s="118">
        <v>-5.2889999999999997</v>
      </c>
      <c r="I25" s="118">
        <v>21.514099999999999</v>
      </c>
      <c r="J25" s="274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>
        <v>-7.8979999999999997</v>
      </c>
      <c r="G26" s="118">
        <v>21.5182</v>
      </c>
      <c r="H26" s="118">
        <v>-4.9880000000000004</v>
      </c>
      <c r="I26" s="118">
        <v>21.5167</v>
      </c>
      <c r="J26" s="274"/>
      <c r="K26" s="355"/>
      <c r="L26" s="355"/>
      <c r="M26" s="359"/>
      <c r="N26">
        <f t="shared" si="0"/>
        <v>0</v>
      </c>
    </row>
    <row r="27" spans="1:16" ht="30" customHeight="1" x14ac:dyDescent="0.3">
      <c r="A27" s="20">
        <v>23</v>
      </c>
      <c r="B27" s="394"/>
      <c r="C27" s="152"/>
      <c r="D27" s="153"/>
      <c r="E27" s="152"/>
      <c r="F27" s="284"/>
      <c r="G27" s="284"/>
      <c r="H27" s="284"/>
      <c r="I27" s="284"/>
      <c r="J27" s="285"/>
      <c r="K27" s="355"/>
      <c r="L27" s="355"/>
      <c r="M27" s="359"/>
      <c r="N27">
        <f t="shared" si="0"/>
        <v>0</v>
      </c>
    </row>
    <row r="28" spans="1:16" ht="30" customHeight="1" thickBot="1" x14ac:dyDescent="0.35">
      <c r="A28" s="21">
        <v>24</v>
      </c>
      <c r="B28" s="395"/>
      <c r="C28" s="82"/>
      <c r="D28" s="147"/>
      <c r="E28" s="82"/>
      <c r="F28" s="286"/>
      <c r="G28" s="286"/>
      <c r="H28" s="286"/>
      <c r="I28" s="286"/>
      <c r="J28" s="287"/>
      <c r="K28" s="356"/>
      <c r="L28" s="356"/>
      <c r="M28" s="360"/>
      <c r="N28">
        <f t="shared" si="0"/>
        <v>0</v>
      </c>
      <c r="O28">
        <f>SUM(F8,F10:F14,F17:F20,F23:F24)/12</f>
        <v>-7.9752500000000017</v>
      </c>
      <c r="P28">
        <f>SUM(H8,H10:H14,H17:H20,H23:H24)/12</f>
        <v>-5.0884166666666655</v>
      </c>
    </row>
    <row r="29" spans="1:16" ht="30.95" customHeight="1" x14ac:dyDescent="0.3">
      <c r="A29" s="374" t="s">
        <v>8</v>
      </c>
      <c r="B29" s="325"/>
      <c r="C29" s="325"/>
      <c r="D29" s="232" t="s">
        <v>11</v>
      </c>
      <c r="E29" s="232" t="s">
        <v>12</v>
      </c>
      <c r="F29" s="338" t="s">
        <v>724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</row>
    <row r="30" spans="1:16" ht="30.95" customHeight="1" x14ac:dyDescent="0.3">
      <c r="A30" s="336" t="s">
        <v>9</v>
      </c>
      <c r="B30" s="337"/>
      <c r="C30" s="337"/>
      <c r="D30" s="368" t="s">
        <v>652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</row>
    <row r="31" spans="1:16" ht="30.95" customHeight="1" x14ac:dyDescent="0.3">
      <c r="A31" s="336"/>
      <c r="B31" s="337"/>
      <c r="C31" s="337"/>
      <c r="D31" s="368"/>
      <c r="E31" s="337"/>
      <c r="F31" s="231" t="s">
        <v>638</v>
      </c>
      <c r="G31" s="214">
        <f>전송손실!M13</f>
        <v>-24.362479999999998</v>
      </c>
      <c r="H31" s="231" t="s">
        <v>638</v>
      </c>
      <c r="I31" s="214">
        <f>전송손실!M39</f>
        <v>-15.96096</v>
      </c>
      <c r="J31" s="369"/>
      <c r="K31" s="332"/>
      <c r="L31" s="332"/>
      <c r="M31" s="332"/>
    </row>
    <row r="32" spans="1:16" ht="30.95" customHeight="1" thickBot="1" x14ac:dyDescent="0.35">
      <c r="A32" s="234" t="s">
        <v>0</v>
      </c>
      <c r="B32" s="234" t="s">
        <v>1</v>
      </c>
      <c r="C32" s="234" t="s">
        <v>23</v>
      </c>
      <c r="D32" s="234" t="s">
        <v>2</v>
      </c>
      <c r="E32" s="234" t="s">
        <v>3</v>
      </c>
      <c r="F32" s="234" t="s">
        <v>4</v>
      </c>
      <c r="G32" s="234" t="s">
        <v>506</v>
      </c>
      <c r="H32" s="234" t="s">
        <v>4</v>
      </c>
      <c r="I32" s="234" t="s">
        <v>506</v>
      </c>
      <c r="J32" s="370"/>
      <c r="K32" s="367"/>
      <c r="L32" s="367"/>
      <c r="M32" s="367"/>
    </row>
    <row r="33" spans="1:14" ht="30.95" customHeight="1" x14ac:dyDescent="0.3">
      <c r="A33" s="25">
        <v>1</v>
      </c>
      <c r="B33" s="375" t="s">
        <v>236</v>
      </c>
      <c r="C33" s="79"/>
      <c r="D33" s="126" t="s">
        <v>234</v>
      </c>
      <c r="E33" s="79"/>
      <c r="F33" s="127">
        <v>-19.59</v>
      </c>
      <c r="G33" s="127">
        <v>53.569699999999997</v>
      </c>
      <c r="H33" s="127">
        <v>-13.250999999999999</v>
      </c>
      <c r="I33" s="127">
        <v>56.5349</v>
      </c>
      <c r="J33" s="127"/>
      <c r="K33" s="404" t="s">
        <v>510</v>
      </c>
      <c r="L33" s="357"/>
      <c r="M33" s="358"/>
      <c r="N33">
        <f t="shared" si="0"/>
        <v>0</v>
      </c>
    </row>
    <row r="34" spans="1:14" ht="30.95" customHeight="1" x14ac:dyDescent="0.3">
      <c r="A34" s="18">
        <v>2</v>
      </c>
      <c r="B34" s="376"/>
      <c r="C34" s="76"/>
      <c r="D34" s="77"/>
      <c r="E34" s="76"/>
      <c r="F34" s="118">
        <v>-19.175999999999998</v>
      </c>
      <c r="G34" s="118">
        <v>52.185899999999997</v>
      </c>
      <c r="H34" s="118">
        <v>-13.053000000000001</v>
      </c>
      <c r="I34" s="118">
        <v>56.545099999999998</v>
      </c>
      <c r="J34" s="118"/>
      <c r="K34" s="355"/>
      <c r="L34" s="355"/>
      <c r="M34" s="359"/>
      <c r="N34">
        <f t="shared" si="0"/>
        <v>0</v>
      </c>
    </row>
    <row r="35" spans="1:14" ht="30.95" customHeight="1" x14ac:dyDescent="0.3">
      <c r="A35" s="18">
        <v>3</v>
      </c>
      <c r="B35" s="376"/>
      <c r="C35" s="76"/>
      <c r="D35" s="77"/>
      <c r="E35" s="76"/>
      <c r="F35" s="118">
        <v>-20.236999999999998</v>
      </c>
      <c r="G35" s="118">
        <v>53.811700000000002</v>
      </c>
      <c r="H35" s="118">
        <v>-13.34</v>
      </c>
      <c r="I35" s="118">
        <v>56.538699999999999</v>
      </c>
      <c r="J35" s="118"/>
      <c r="K35" s="355"/>
      <c r="L35" s="355"/>
      <c r="M35" s="359"/>
      <c r="N35">
        <f t="shared" si="0"/>
        <v>0</v>
      </c>
    </row>
    <row r="36" spans="1:14" ht="30.95" customHeight="1" x14ac:dyDescent="0.3">
      <c r="A36" s="18">
        <v>4</v>
      </c>
      <c r="B36" s="376"/>
      <c r="C36" s="76"/>
      <c r="D36" s="77"/>
      <c r="E36" s="76"/>
      <c r="F36" s="118">
        <v>-19.599</v>
      </c>
      <c r="G36" s="118">
        <v>51.451799999999999</v>
      </c>
      <c r="H36" s="118">
        <v>-13.779</v>
      </c>
      <c r="I36" s="118">
        <v>56.540599999999998</v>
      </c>
      <c r="J36" s="118"/>
      <c r="K36" s="355"/>
      <c r="L36" s="355"/>
      <c r="M36" s="359"/>
      <c r="N36">
        <f t="shared" si="0"/>
        <v>0</v>
      </c>
    </row>
    <row r="37" spans="1:14" ht="30.95" customHeight="1" x14ac:dyDescent="0.3">
      <c r="A37" s="18">
        <v>5</v>
      </c>
      <c r="B37" s="376"/>
      <c r="C37" s="76"/>
      <c r="D37" s="77"/>
      <c r="E37" s="76"/>
      <c r="F37" s="118">
        <v>-19.991</v>
      </c>
      <c r="G37" s="118">
        <v>53.078899999999997</v>
      </c>
      <c r="H37" s="118">
        <v>-12.927</v>
      </c>
      <c r="I37" s="118">
        <v>56.542499999999997</v>
      </c>
      <c r="J37" s="118"/>
      <c r="K37" s="355"/>
      <c r="L37" s="355"/>
      <c r="M37" s="359"/>
      <c r="N37">
        <f t="shared" si="0"/>
        <v>0</v>
      </c>
    </row>
    <row r="38" spans="1:14" ht="30.95" customHeight="1" x14ac:dyDescent="0.3">
      <c r="A38" s="18">
        <v>6</v>
      </c>
      <c r="B38" s="376"/>
      <c r="C38" s="76"/>
      <c r="D38" s="77"/>
      <c r="E38" s="76"/>
      <c r="F38" s="118">
        <v>-20.29</v>
      </c>
      <c r="G38" s="118">
        <v>53.042499999999997</v>
      </c>
      <c r="H38" s="118">
        <v>-13.525</v>
      </c>
      <c r="I38" s="118">
        <v>56.542499999999997</v>
      </c>
      <c r="J38" s="118"/>
      <c r="K38" s="355"/>
      <c r="L38" s="355"/>
      <c r="M38" s="359"/>
      <c r="N38">
        <f t="shared" si="0"/>
        <v>0</v>
      </c>
    </row>
    <row r="39" spans="1:14" ht="30.95" customHeight="1" x14ac:dyDescent="0.3">
      <c r="A39" s="18">
        <v>7</v>
      </c>
      <c r="B39" s="376"/>
      <c r="C39" s="76"/>
      <c r="D39" s="77"/>
      <c r="E39" s="76"/>
      <c r="F39" s="118">
        <v>-20.103000000000002</v>
      </c>
      <c r="G39" s="118">
        <v>54.741700000000002</v>
      </c>
      <c r="H39" s="118">
        <v>-12.529</v>
      </c>
      <c r="I39" s="118">
        <v>56.543199999999999</v>
      </c>
      <c r="J39" s="118"/>
      <c r="K39" s="355"/>
      <c r="L39" s="355"/>
      <c r="M39" s="359"/>
      <c r="N39">
        <f t="shared" si="0"/>
        <v>0</v>
      </c>
    </row>
    <row r="40" spans="1:14" ht="30.95" customHeight="1" x14ac:dyDescent="0.3">
      <c r="A40" s="18">
        <v>8</v>
      </c>
      <c r="B40" s="376"/>
      <c r="C40" s="76"/>
      <c r="D40" s="77"/>
      <c r="E40" s="76"/>
      <c r="F40" s="118">
        <v>-20.087</v>
      </c>
      <c r="G40" s="118">
        <v>53.888300000000001</v>
      </c>
      <c r="H40" s="118">
        <v>-12.930999999999999</v>
      </c>
      <c r="I40" s="118">
        <v>56.5413</v>
      </c>
      <c r="J40" s="118"/>
      <c r="K40" s="355"/>
      <c r="L40" s="355"/>
      <c r="M40" s="359"/>
      <c r="N40">
        <f t="shared" si="0"/>
        <v>0</v>
      </c>
    </row>
    <row r="41" spans="1:14" ht="30.95" customHeight="1" x14ac:dyDescent="0.3">
      <c r="A41" s="18">
        <v>9</v>
      </c>
      <c r="B41" s="376"/>
      <c r="C41" s="76"/>
      <c r="D41" s="77"/>
      <c r="E41" s="76"/>
      <c r="F41" s="118">
        <v>-19.920000000000002</v>
      </c>
      <c r="G41" s="118">
        <v>53.490600000000001</v>
      </c>
      <c r="H41" s="118">
        <v>-12.944000000000001</v>
      </c>
      <c r="I41" s="118">
        <v>56.537399999999998</v>
      </c>
      <c r="J41" s="118"/>
      <c r="K41" s="355"/>
      <c r="L41" s="355"/>
      <c r="M41" s="359"/>
      <c r="N41">
        <f t="shared" si="0"/>
        <v>0</v>
      </c>
    </row>
    <row r="42" spans="1:14" ht="30.95" customHeight="1" x14ac:dyDescent="0.3">
      <c r="A42" s="18">
        <v>10</v>
      </c>
      <c r="B42" s="376"/>
      <c r="C42" s="76"/>
      <c r="D42" s="77"/>
      <c r="E42" s="76"/>
      <c r="F42" s="118">
        <v>-19.489000000000001</v>
      </c>
      <c r="G42" s="118">
        <v>51.174799999999998</v>
      </c>
      <c r="H42" s="118">
        <v>-13.638999999999999</v>
      </c>
      <c r="I42" s="118">
        <v>56.544499999999999</v>
      </c>
      <c r="J42" s="118"/>
      <c r="K42" s="355"/>
      <c r="L42" s="355"/>
      <c r="M42" s="359"/>
      <c r="N42">
        <f t="shared" si="0"/>
        <v>0</v>
      </c>
    </row>
    <row r="43" spans="1:14" ht="30.95" customHeight="1" x14ac:dyDescent="0.3">
      <c r="A43" s="18">
        <v>11</v>
      </c>
      <c r="B43" s="376"/>
      <c r="C43" s="35" t="s">
        <v>358</v>
      </c>
      <c r="D43" s="12" t="s">
        <v>231</v>
      </c>
      <c r="E43" s="35"/>
      <c r="F43" s="116"/>
      <c r="G43" s="116"/>
      <c r="H43" s="116"/>
      <c r="I43" s="116"/>
      <c r="J43" s="122"/>
      <c r="K43" s="355"/>
      <c r="L43" s="355"/>
      <c r="M43" s="359"/>
      <c r="N43">
        <f t="shared" si="0"/>
        <v>1</v>
      </c>
    </row>
    <row r="44" spans="1:14" ht="30.95" customHeight="1" x14ac:dyDescent="0.3">
      <c r="A44" s="18">
        <v>12</v>
      </c>
      <c r="B44" s="376"/>
      <c r="C44" s="35" t="s">
        <v>358</v>
      </c>
      <c r="D44" s="12" t="s">
        <v>231</v>
      </c>
      <c r="E44" s="35"/>
      <c r="F44" s="116"/>
      <c r="G44" s="116"/>
      <c r="H44" s="116"/>
      <c r="I44" s="116"/>
      <c r="J44" s="122"/>
      <c r="K44" s="355"/>
      <c r="L44" s="355"/>
      <c r="M44" s="359"/>
      <c r="N44">
        <f t="shared" si="0"/>
        <v>1</v>
      </c>
    </row>
    <row r="45" spans="1:14" ht="30.95" customHeight="1" x14ac:dyDescent="0.3">
      <c r="A45" s="18">
        <v>13</v>
      </c>
      <c r="B45" s="376"/>
      <c r="C45" s="35" t="s">
        <v>356</v>
      </c>
      <c r="D45" s="12" t="s">
        <v>237</v>
      </c>
      <c r="E45" s="35"/>
      <c r="F45" s="116"/>
      <c r="G45" s="116"/>
      <c r="H45" s="116"/>
      <c r="I45" s="116"/>
      <c r="J45" s="122"/>
      <c r="K45" s="355"/>
      <c r="L45" s="355"/>
      <c r="M45" s="359"/>
      <c r="N45">
        <f t="shared" si="0"/>
        <v>1</v>
      </c>
    </row>
    <row r="46" spans="1:14" s="11" customFormat="1" ht="30.95" customHeight="1" x14ac:dyDescent="0.3">
      <c r="A46" s="18">
        <v>14</v>
      </c>
      <c r="B46" s="376"/>
      <c r="C46" s="35" t="s">
        <v>356</v>
      </c>
      <c r="D46" s="12" t="s">
        <v>238</v>
      </c>
      <c r="E46" s="35"/>
      <c r="F46" s="116"/>
      <c r="G46" s="116"/>
      <c r="H46" s="116"/>
      <c r="I46" s="116"/>
      <c r="J46" s="122"/>
      <c r="K46" s="355"/>
      <c r="L46" s="355"/>
      <c r="M46" s="359"/>
      <c r="N46">
        <f t="shared" si="0"/>
        <v>1</v>
      </c>
    </row>
    <row r="47" spans="1:14" s="11" customFormat="1" ht="30.95" customHeight="1" x14ac:dyDescent="0.3">
      <c r="A47" s="18">
        <v>15</v>
      </c>
      <c r="B47" s="376"/>
      <c r="C47" s="35" t="s">
        <v>356</v>
      </c>
      <c r="D47" s="12" t="s">
        <v>239</v>
      </c>
      <c r="E47" s="35"/>
      <c r="F47" s="116"/>
      <c r="G47" s="116"/>
      <c r="H47" s="116"/>
      <c r="I47" s="116"/>
      <c r="J47" s="122"/>
      <c r="K47" s="355"/>
      <c r="L47" s="355"/>
      <c r="M47" s="359"/>
      <c r="N47">
        <f t="shared" si="0"/>
        <v>1</v>
      </c>
    </row>
    <row r="48" spans="1:14" s="11" customFormat="1" ht="30.95" customHeight="1" x14ac:dyDescent="0.3">
      <c r="A48" s="18">
        <v>16</v>
      </c>
      <c r="B48" s="376"/>
      <c r="C48" s="35" t="s">
        <v>356</v>
      </c>
      <c r="D48" s="12" t="s">
        <v>240</v>
      </c>
      <c r="E48" s="35"/>
      <c r="F48" s="116"/>
      <c r="G48" s="116"/>
      <c r="H48" s="116"/>
      <c r="I48" s="116"/>
      <c r="J48" s="122"/>
      <c r="K48" s="355"/>
      <c r="L48" s="355"/>
      <c r="M48" s="359"/>
      <c r="N48">
        <f t="shared" si="0"/>
        <v>1</v>
      </c>
    </row>
    <row r="49" spans="1:16" s="11" customFormat="1" ht="30.95" customHeight="1" x14ac:dyDescent="0.3">
      <c r="A49" s="18">
        <v>17</v>
      </c>
      <c r="B49" s="376"/>
      <c r="C49" s="76"/>
      <c r="D49" s="77"/>
      <c r="E49" s="76"/>
      <c r="F49" s="118">
        <v>-19.638000000000002</v>
      </c>
      <c r="G49" s="118">
        <v>53.680199999999999</v>
      </c>
      <c r="H49" s="118">
        <v>-13.114000000000001</v>
      </c>
      <c r="I49" s="118">
        <v>56.543199999999999</v>
      </c>
      <c r="J49" s="118"/>
      <c r="K49" s="355"/>
      <c r="L49" s="355"/>
      <c r="M49" s="359"/>
      <c r="N49">
        <f t="shared" si="0"/>
        <v>0</v>
      </c>
    </row>
    <row r="50" spans="1:16" s="11" customFormat="1" ht="30.95" customHeight="1" x14ac:dyDescent="0.3">
      <c r="A50" s="18">
        <v>18</v>
      </c>
      <c r="B50" s="376"/>
      <c r="C50" s="76"/>
      <c r="D50" s="77"/>
      <c r="E50" s="76"/>
      <c r="F50" s="118">
        <v>-19.78</v>
      </c>
      <c r="G50" s="118">
        <v>54.6785</v>
      </c>
      <c r="H50" s="118">
        <v>-12.513</v>
      </c>
      <c r="I50" s="118">
        <v>56.540599999999998</v>
      </c>
      <c r="J50" s="118"/>
      <c r="K50" s="355"/>
      <c r="L50" s="355"/>
      <c r="M50" s="359"/>
      <c r="N50">
        <f t="shared" si="0"/>
        <v>0</v>
      </c>
    </row>
    <row r="51" spans="1:16" s="11" customFormat="1" ht="30.95" customHeight="1" x14ac:dyDescent="0.3">
      <c r="A51" s="18">
        <v>19</v>
      </c>
      <c r="B51" s="376"/>
      <c r="C51" s="76"/>
      <c r="D51" s="77"/>
      <c r="E51" s="76"/>
      <c r="F51" s="118">
        <v>-19.690000000000001</v>
      </c>
      <c r="G51" s="118">
        <v>53.368000000000002</v>
      </c>
      <c r="H51" s="118">
        <v>-12.689</v>
      </c>
      <c r="I51" s="118">
        <v>56.540599999999998</v>
      </c>
      <c r="J51" s="118"/>
      <c r="K51" s="355"/>
      <c r="L51" s="355"/>
      <c r="M51" s="359"/>
      <c r="N51">
        <f t="shared" si="0"/>
        <v>0</v>
      </c>
    </row>
    <row r="52" spans="1:16" s="11" customFormat="1" ht="30.95" customHeight="1" x14ac:dyDescent="0.3">
      <c r="A52" s="18">
        <v>20</v>
      </c>
      <c r="B52" s="376"/>
      <c r="C52" s="76"/>
      <c r="D52" s="77"/>
      <c r="E52" s="76"/>
      <c r="F52" s="118">
        <v>-19.968</v>
      </c>
      <c r="G52" s="118">
        <v>53.705100000000002</v>
      </c>
      <c r="H52" s="118">
        <v>-12.788</v>
      </c>
      <c r="I52" s="118">
        <v>56.545099999999998</v>
      </c>
      <c r="J52" s="118"/>
      <c r="K52" s="355"/>
      <c r="L52" s="355"/>
      <c r="M52" s="359"/>
      <c r="N52">
        <f t="shared" si="0"/>
        <v>0</v>
      </c>
    </row>
    <row r="53" spans="1:16" s="11" customFormat="1" ht="30.95" customHeight="1" x14ac:dyDescent="0.3">
      <c r="A53" s="18">
        <v>21</v>
      </c>
      <c r="B53" s="376"/>
      <c r="C53" s="35" t="s">
        <v>356</v>
      </c>
      <c r="D53" s="12" t="s">
        <v>242</v>
      </c>
      <c r="E53" s="35"/>
      <c r="F53" s="116"/>
      <c r="G53" s="116"/>
      <c r="H53" s="116"/>
      <c r="I53" s="116"/>
      <c r="J53" s="122"/>
      <c r="K53" s="355"/>
      <c r="L53" s="355"/>
      <c r="M53" s="359"/>
      <c r="N53">
        <f t="shared" si="0"/>
        <v>1</v>
      </c>
    </row>
    <row r="54" spans="1:16" s="11" customFormat="1" ht="30.95" customHeight="1" x14ac:dyDescent="0.3">
      <c r="A54" s="18">
        <v>22</v>
      </c>
      <c r="B54" s="376"/>
      <c r="C54" s="35" t="s">
        <v>356</v>
      </c>
      <c r="D54" s="12" t="s">
        <v>243</v>
      </c>
      <c r="E54" s="35"/>
      <c r="F54" s="116"/>
      <c r="G54" s="116"/>
      <c r="H54" s="116"/>
      <c r="I54" s="116"/>
      <c r="J54" s="122"/>
      <c r="K54" s="355"/>
      <c r="L54" s="355"/>
      <c r="M54" s="359"/>
      <c r="N54">
        <f t="shared" si="0"/>
        <v>1</v>
      </c>
    </row>
    <row r="55" spans="1:16" s="11" customFormat="1" ht="30.95" customHeight="1" x14ac:dyDescent="0.3">
      <c r="A55" s="18">
        <v>23</v>
      </c>
      <c r="B55" s="376"/>
      <c r="C55" s="35" t="s">
        <v>356</v>
      </c>
      <c r="D55" s="12" t="s">
        <v>244</v>
      </c>
      <c r="E55" s="35"/>
      <c r="F55" s="116"/>
      <c r="G55" s="116"/>
      <c r="H55" s="116"/>
      <c r="I55" s="116"/>
      <c r="J55" s="122"/>
      <c r="K55" s="355"/>
      <c r="L55" s="355"/>
      <c r="M55" s="359"/>
      <c r="N55">
        <f t="shared" si="0"/>
        <v>1</v>
      </c>
    </row>
    <row r="56" spans="1:16" s="11" customFormat="1" ht="30.95" customHeight="1" thickBot="1" x14ac:dyDescent="0.35">
      <c r="A56" s="21">
        <v>24</v>
      </c>
      <c r="B56" s="377"/>
      <c r="C56" s="40" t="s">
        <v>356</v>
      </c>
      <c r="D56" s="22" t="s">
        <v>245</v>
      </c>
      <c r="E56" s="40"/>
      <c r="F56" s="128"/>
      <c r="G56" s="128"/>
      <c r="H56" s="128"/>
      <c r="I56" s="128"/>
      <c r="J56" s="129"/>
      <c r="K56" s="356"/>
      <c r="L56" s="356"/>
      <c r="M56" s="360"/>
      <c r="N56">
        <f t="shared" si="0"/>
        <v>1</v>
      </c>
      <c r="O56" s="11">
        <f>SUM(F33:F42,F49:F52)/14</f>
        <v>-19.825571428571433</v>
      </c>
      <c r="P56" s="11">
        <f>SUM(H33:H42,H49:H52)/14</f>
        <v>-13.073000000000002</v>
      </c>
    </row>
    <row r="57" spans="1:16" s="11" customFormat="1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724</v>
      </c>
      <c r="G57" s="338"/>
      <c r="H57" s="338"/>
      <c r="I57" s="338"/>
      <c r="J57" s="338"/>
      <c r="K57" s="332" t="s">
        <v>10</v>
      </c>
      <c r="L57" s="331" t="s">
        <v>32</v>
      </c>
      <c r="M57" s="331" t="s">
        <v>33</v>
      </c>
      <c r="N57">
        <f t="shared" si="0"/>
        <v>0</v>
      </c>
    </row>
    <row r="58" spans="1:16" s="11" customFormat="1" ht="30.95" customHeight="1" x14ac:dyDescent="0.3">
      <c r="A58" s="336" t="s">
        <v>9</v>
      </c>
      <c r="B58" s="337"/>
      <c r="C58" s="337"/>
      <c r="D58" s="368" t="s">
        <v>652</v>
      </c>
      <c r="E58" s="337" t="s">
        <v>687</v>
      </c>
      <c r="F58" s="349" t="s">
        <v>5</v>
      </c>
      <c r="G58" s="349"/>
      <c r="H58" s="349" t="s">
        <v>7</v>
      </c>
      <c r="I58" s="349"/>
      <c r="J58" s="369" t="s">
        <v>628</v>
      </c>
      <c r="K58" s="332"/>
      <c r="L58" s="332"/>
      <c r="M58" s="332"/>
      <c r="N58">
        <f t="shared" si="0"/>
        <v>0</v>
      </c>
    </row>
    <row r="59" spans="1:16" s="11" customFormat="1" ht="30.95" customHeight="1" x14ac:dyDescent="0.3">
      <c r="A59" s="336"/>
      <c r="B59" s="337"/>
      <c r="C59" s="337"/>
      <c r="D59" s="368"/>
      <c r="E59" s="337"/>
      <c r="F59" s="226" t="s">
        <v>638</v>
      </c>
      <c r="G59" s="214">
        <f>전송손실!M24</f>
        <v>-15.492080000000001</v>
      </c>
      <c r="H59" s="226" t="s">
        <v>638</v>
      </c>
      <c r="I59" s="214">
        <f>전송손실!M50</f>
        <v>-10.03016</v>
      </c>
      <c r="J59" s="369"/>
      <c r="K59" s="332"/>
      <c r="L59" s="332"/>
      <c r="M59" s="332"/>
      <c r="N59"/>
    </row>
    <row r="60" spans="1:16" s="11" customFormat="1" ht="30.95" customHeight="1" thickBot="1" x14ac:dyDescent="0.35">
      <c r="A60" s="229" t="s">
        <v>0</v>
      </c>
      <c r="B60" s="229" t="s">
        <v>1</v>
      </c>
      <c r="C60" s="229" t="s">
        <v>23</v>
      </c>
      <c r="D60" s="229" t="s">
        <v>2</v>
      </c>
      <c r="E60" s="229" t="s">
        <v>3</v>
      </c>
      <c r="F60" s="229" t="s">
        <v>4</v>
      </c>
      <c r="G60" s="229" t="s">
        <v>506</v>
      </c>
      <c r="H60" s="229" t="s">
        <v>4</v>
      </c>
      <c r="I60" s="229" t="s">
        <v>506</v>
      </c>
      <c r="J60" s="370"/>
      <c r="K60" s="367"/>
      <c r="L60" s="367"/>
      <c r="M60" s="367"/>
      <c r="N60">
        <f t="shared" si="0"/>
        <v>1</v>
      </c>
    </row>
    <row r="61" spans="1:16" s="11" customFormat="1" ht="30.95" customHeight="1" x14ac:dyDescent="0.3">
      <c r="A61" s="64">
        <v>1</v>
      </c>
      <c r="B61" s="393" t="s">
        <v>246</v>
      </c>
      <c r="C61" s="98" t="s">
        <v>25</v>
      </c>
      <c r="D61" s="12" t="s">
        <v>708</v>
      </c>
      <c r="E61" s="98"/>
      <c r="F61" s="116"/>
      <c r="G61" s="116"/>
      <c r="H61" s="116"/>
      <c r="I61" s="116"/>
      <c r="J61" s="103"/>
      <c r="K61" s="410" t="s">
        <v>460</v>
      </c>
      <c r="L61" s="410"/>
      <c r="M61" s="354"/>
      <c r="N61">
        <f t="shared" si="0"/>
        <v>1</v>
      </c>
    </row>
    <row r="62" spans="1:16" s="11" customFormat="1" ht="30.95" customHeight="1" x14ac:dyDescent="0.3">
      <c r="A62" s="18">
        <v>2</v>
      </c>
      <c r="B62" s="338"/>
      <c r="C62" s="98" t="s">
        <v>25</v>
      </c>
      <c r="D62" s="12" t="s">
        <v>709</v>
      </c>
      <c r="E62" s="98"/>
      <c r="F62" s="116"/>
      <c r="G62" s="116"/>
      <c r="H62" s="116"/>
      <c r="I62" s="116"/>
      <c r="J62" s="103"/>
      <c r="K62" s="355"/>
      <c r="L62" s="355"/>
      <c r="M62" s="355"/>
      <c r="N62">
        <f t="shared" si="0"/>
        <v>1</v>
      </c>
    </row>
    <row r="63" spans="1:16" s="11" customFormat="1" ht="30.95" customHeight="1" x14ac:dyDescent="0.3">
      <c r="A63" s="18">
        <v>3</v>
      </c>
      <c r="B63" s="338"/>
      <c r="C63" s="85" t="s">
        <v>63</v>
      </c>
      <c r="D63" s="86" t="s">
        <v>498</v>
      </c>
      <c r="E63" s="85"/>
      <c r="F63" s="117"/>
      <c r="G63" s="117"/>
      <c r="H63" s="117"/>
      <c r="I63" s="117"/>
      <c r="J63" s="115"/>
      <c r="K63" s="355"/>
      <c r="L63" s="355"/>
      <c r="M63" s="355"/>
      <c r="N63">
        <f t="shared" si="0"/>
        <v>1</v>
      </c>
    </row>
    <row r="64" spans="1:16" s="11" customFormat="1" ht="30.95" customHeight="1" x14ac:dyDescent="0.3">
      <c r="A64" s="18">
        <v>4</v>
      </c>
      <c r="B64" s="338"/>
      <c r="C64" s="76"/>
      <c r="D64" s="77"/>
      <c r="E64" s="76"/>
      <c r="F64" s="118">
        <v>-13.281000000000001</v>
      </c>
      <c r="G64" s="118">
        <v>36.239600000000003</v>
      </c>
      <c r="H64" s="118">
        <v>-7.0640000000000001</v>
      </c>
      <c r="I64" s="118">
        <v>36.233699999999999</v>
      </c>
      <c r="J64" s="101"/>
      <c r="K64" s="355"/>
      <c r="L64" s="355"/>
      <c r="M64" s="355"/>
      <c r="N64">
        <f t="shared" si="0"/>
        <v>0</v>
      </c>
    </row>
    <row r="65" spans="1:14" s="11" customFormat="1" ht="30.95" customHeight="1" x14ac:dyDescent="0.3">
      <c r="A65" s="18">
        <v>5</v>
      </c>
      <c r="B65" s="338"/>
      <c r="C65" s="98" t="s">
        <v>26</v>
      </c>
      <c r="D65" s="12" t="s">
        <v>710</v>
      </c>
      <c r="E65" s="98"/>
      <c r="F65" s="116"/>
      <c r="G65" s="116"/>
      <c r="H65" s="116"/>
      <c r="I65" s="116"/>
      <c r="J65" s="103"/>
      <c r="K65" s="355"/>
      <c r="L65" s="355"/>
      <c r="M65" s="355"/>
      <c r="N65">
        <f t="shared" si="0"/>
        <v>1</v>
      </c>
    </row>
    <row r="66" spans="1:14" s="11" customFormat="1" ht="30.95" customHeight="1" x14ac:dyDescent="0.3">
      <c r="A66" s="18">
        <v>6</v>
      </c>
      <c r="B66" s="338"/>
      <c r="C66" s="98" t="s">
        <v>26</v>
      </c>
      <c r="D66" s="12" t="s">
        <v>711</v>
      </c>
      <c r="E66" s="98"/>
      <c r="F66" s="116"/>
      <c r="G66" s="116"/>
      <c r="H66" s="116"/>
      <c r="I66" s="116"/>
      <c r="J66" s="103"/>
      <c r="K66" s="355"/>
      <c r="L66" s="355"/>
      <c r="M66" s="355"/>
      <c r="N66">
        <f t="shared" si="0"/>
        <v>1</v>
      </c>
    </row>
    <row r="67" spans="1:14" s="11" customFormat="1" ht="30.95" customHeight="1" x14ac:dyDescent="0.3">
      <c r="A67" s="18">
        <v>7</v>
      </c>
      <c r="B67" s="338"/>
      <c r="C67" s="76"/>
      <c r="D67" s="77"/>
      <c r="E67" s="76"/>
      <c r="F67" s="118">
        <v>-12.638</v>
      </c>
      <c r="G67" s="118">
        <v>36.233800000000002</v>
      </c>
      <c r="H67" s="118">
        <v>-7.4020000000000001</v>
      </c>
      <c r="I67" s="118">
        <v>36.230499999999999</v>
      </c>
      <c r="J67" s="101"/>
      <c r="K67" s="355"/>
      <c r="L67" s="355"/>
      <c r="M67" s="355"/>
      <c r="N67">
        <f t="shared" si="0"/>
        <v>0</v>
      </c>
    </row>
    <row r="68" spans="1:14" s="11" customFormat="1" ht="30.95" customHeight="1" x14ac:dyDescent="0.3">
      <c r="A68" s="18">
        <v>8</v>
      </c>
      <c r="B68" s="338"/>
      <c r="C68" s="76"/>
      <c r="D68" s="77"/>
      <c r="E68" s="76"/>
      <c r="F68" s="118">
        <v>-12.506</v>
      </c>
      <c r="G68" s="118">
        <v>36.229999999999997</v>
      </c>
      <c r="H68" s="118">
        <v>-7.1349999999999998</v>
      </c>
      <c r="I68" s="118">
        <v>36.226700000000001</v>
      </c>
      <c r="J68" s="101"/>
      <c r="K68" s="355"/>
      <c r="L68" s="355"/>
      <c r="M68" s="355"/>
      <c r="N68">
        <f t="shared" si="0"/>
        <v>0</v>
      </c>
    </row>
    <row r="69" spans="1:14" s="11" customFormat="1" ht="30.95" customHeight="1" x14ac:dyDescent="0.3">
      <c r="A69" s="18">
        <v>9</v>
      </c>
      <c r="B69" s="338"/>
      <c r="C69" s="76"/>
      <c r="D69" s="77"/>
      <c r="E69" s="76"/>
      <c r="F69" s="118">
        <v>-12.617000000000001</v>
      </c>
      <c r="G69" s="118">
        <v>36.231900000000003</v>
      </c>
      <c r="H69" s="118">
        <v>-7.335</v>
      </c>
      <c r="I69" s="118">
        <v>36.229199999999999</v>
      </c>
      <c r="J69" s="101"/>
      <c r="K69" s="355"/>
      <c r="L69" s="355"/>
      <c r="M69" s="355"/>
      <c r="N69">
        <f t="shared" si="0"/>
        <v>0</v>
      </c>
    </row>
    <row r="70" spans="1:14" s="11" customFormat="1" ht="30.95" customHeight="1" x14ac:dyDescent="0.3">
      <c r="A70" s="18">
        <v>10</v>
      </c>
      <c r="B70" s="338"/>
      <c r="C70" s="76"/>
      <c r="D70" s="77"/>
      <c r="E70" s="76"/>
      <c r="F70" s="118">
        <v>-12.436</v>
      </c>
      <c r="G70" s="118">
        <v>36.228700000000003</v>
      </c>
      <c r="H70" s="118">
        <v>-7.2489999999999997</v>
      </c>
      <c r="I70" s="118">
        <v>36.2254</v>
      </c>
      <c r="J70" s="101"/>
      <c r="K70" s="355"/>
      <c r="L70" s="355"/>
      <c r="M70" s="355"/>
      <c r="N70">
        <f t="shared" si="0"/>
        <v>0</v>
      </c>
    </row>
    <row r="71" spans="1:14" s="11" customFormat="1" ht="30.95" customHeight="1" x14ac:dyDescent="0.3">
      <c r="A71" s="18">
        <v>11</v>
      </c>
      <c r="B71" s="338"/>
      <c r="C71" s="76"/>
      <c r="D71" s="77"/>
      <c r="E71" s="76"/>
      <c r="F71" s="118">
        <v>-12.744999999999999</v>
      </c>
      <c r="G71" s="118">
        <v>36.228099999999998</v>
      </c>
      <c r="H71" s="118">
        <v>-7.3440000000000003</v>
      </c>
      <c r="I71" s="118">
        <v>36.2254</v>
      </c>
      <c r="J71" s="101"/>
      <c r="K71" s="355"/>
      <c r="L71" s="355"/>
      <c r="M71" s="355"/>
      <c r="N71">
        <f t="shared" si="0"/>
        <v>0</v>
      </c>
    </row>
    <row r="72" spans="1:14" s="11" customFormat="1" ht="30.95" customHeight="1" x14ac:dyDescent="0.3">
      <c r="A72" s="18">
        <v>12</v>
      </c>
      <c r="B72" s="338"/>
      <c r="C72" s="76"/>
      <c r="D72" s="77"/>
      <c r="E72" s="76"/>
      <c r="F72" s="118">
        <v>-13.423</v>
      </c>
      <c r="G72" s="118">
        <v>36.231299999999997</v>
      </c>
      <c r="H72" s="118">
        <v>-7.4770000000000003</v>
      </c>
      <c r="I72" s="118">
        <v>36.2286</v>
      </c>
      <c r="J72" s="101"/>
      <c r="K72" s="355"/>
      <c r="L72" s="355"/>
      <c r="M72" s="355"/>
      <c r="N72">
        <f t="shared" si="0"/>
        <v>0</v>
      </c>
    </row>
    <row r="73" spans="1:14" s="11" customFormat="1" ht="30.95" customHeight="1" x14ac:dyDescent="0.3">
      <c r="A73" s="18">
        <v>13</v>
      </c>
      <c r="B73" s="338"/>
      <c r="C73" s="76"/>
      <c r="D73" s="77"/>
      <c r="E73" s="76"/>
      <c r="F73" s="118">
        <v>-19.309000000000001</v>
      </c>
      <c r="G73" s="118">
        <v>48.842399999999998</v>
      </c>
      <c r="H73" s="118">
        <v>-15.93</v>
      </c>
      <c r="I73" s="118">
        <v>68.348200000000006</v>
      </c>
      <c r="J73" s="273"/>
      <c r="K73" s="355"/>
      <c r="L73" s="355"/>
      <c r="M73" s="355"/>
      <c r="N73">
        <f t="shared" si="0"/>
        <v>0</v>
      </c>
    </row>
    <row r="74" spans="1:14" s="11" customFormat="1" ht="30.95" customHeight="1" x14ac:dyDescent="0.3">
      <c r="A74" s="18">
        <v>14</v>
      </c>
      <c r="B74" s="338"/>
      <c r="C74" s="76"/>
      <c r="D74" s="77"/>
      <c r="E74" s="76"/>
      <c r="F74" s="118">
        <v>-19.486999999999998</v>
      </c>
      <c r="G74" s="118">
        <v>53.186100000000003</v>
      </c>
      <c r="H74" s="118">
        <v>-15.422000000000001</v>
      </c>
      <c r="I74" s="118">
        <v>68.349500000000006</v>
      </c>
      <c r="J74" s="273"/>
      <c r="K74" s="355"/>
      <c r="L74" s="355"/>
      <c r="M74" s="355"/>
      <c r="N74">
        <f t="shared" si="0"/>
        <v>0</v>
      </c>
    </row>
    <row r="75" spans="1:14" s="11" customFormat="1" ht="30.95" customHeight="1" x14ac:dyDescent="0.3">
      <c r="A75" s="18">
        <v>15</v>
      </c>
      <c r="B75" s="338"/>
      <c r="C75" s="98"/>
      <c r="D75" s="12"/>
      <c r="E75" s="98"/>
      <c r="F75" s="116"/>
      <c r="G75" s="116"/>
      <c r="H75" s="116"/>
      <c r="I75" s="116"/>
      <c r="J75" s="103"/>
      <c r="K75" s="355"/>
      <c r="L75" s="355"/>
      <c r="M75" s="355"/>
      <c r="N75">
        <f t="shared" ref="N75:N84" si="1">IF(C75="",0,1)</f>
        <v>0</v>
      </c>
    </row>
    <row r="76" spans="1:14" s="11" customFormat="1" ht="30.95" customHeight="1" x14ac:dyDescent="0.3">
      <c r="A76" s="18">
        <v>16</v>
      </c>
      <c r="B76" s="338"/>
      <c r="C76" s="76"/>
      <c r="D76" s="77"/>
      <c r="E76" s="76"/>
      <c r="F76" s="118">
        <v>-12.731999999999999</v>
      </c>
      <c r="G76" s="118">
        <v>36.2498</v>
      </c>
      <c r="H76" s="118">
        <v>-7.0529999999999999</v>
      </c>
      <c r="I76" s="118">
        <v>36.245199999999997</v>
      </c>
      <c r="J76" s="273"/>
      <c r="K76" s="355"/>
      <c r="L76" s="355"/>
      <c r="M76" s="355"/>
      <c r="N76">
        <f t="shared" si="1"/>
        <v>0</v>
      </c>
    </row>
    <row r="77" spans="1:14" s="11" customFormat="1" ht="30.95" customHeight="1" x14ac:dyDescent="0.3">
      <c r="A77" s="18">
        <v>17</v>
      </c>
      <c r="B77" s="338"/>
      <c r="C77" s="76"/>
      <c r="D77" s="77"/>
      <c r="E77" s="76"/>
      <c r="F77" s="118">
        <v>-12.968</v>
      </c>
      <c r="G77" s="118">
        <v>36.233199999999997</v>
      </c>
      <c r="H77" s="118">
        <v>-7.5149999999999997</v>
      </c>
      <c r="I77" s="118">
        <v>36.230499999999999</v>
      </c>
      <c r="J77" s="101"/>
      <c r="K77" s="355"/>
      <c r="L77" s="355"/>
      <c r="M77" s="355"/>
      <c r="N77">
        <f t="shared" si="1"/>
        <v>0</v>
      </c>
    </row>
    <row r="78" spans="1:14" s="11" customFormat="1" ht="30.95" customHeight="1" x14ac:dyDescent="0.3">
      <c r="A78" s="18">
        <v>18</v>
      </c>
      <c r="B78" s="338"/>
      <c r="C78" s="76"/>
      <c r="D78" s="77"/>
      <c r="E78" s="76"/>
      <c r="F78" s="118">
        <v>-12.731999999999999</v>
      </c>
      <c r="G78" s="118">
        <v>36.232500000000002</v>
      </c>
      <c r="H78" s="118">
        <v>-7.41</v>
      </c>
      <c r="I78" s="118">
        <v>36.229900000000001</v>
      </c>
      <c r="J78" s="101"/>
      <c r="K78" s="355"/>
      <c r="L78" s="355"/>
      <c r="M78" s="355"/>
      <c r="N78">
        <f t="shared" si="1"/>
        <v>0</v>
      </c>
    </row>
    <row r="79" spans="1:14" s="11" customFormat="1" ht="30.95" customHeight="1" x14ac:dyDescent="0.3">
      <c r="A79" s="18">
        <v>19</v>
      </c>
      <c r="B79" s="338"/>
      <c r="C79" s="76"/>
      <c r="D79" s="77"/>
      <c r="E79" s="76"/>
      <c r="F79" s="118">
        <v>-12.871</v>
      </c>
      <c r="G79" s="118">
        <v>36.231299999999997</v>
      </c>
      <c r="H79" s="118">
        <v>-7.4</v>
      </c>
      <c r="I79" s="118">
        <v>36.228000000000002</v>
      </c>
      <c r="J79" s="101"/>
      <c r="K79" s="355"/>
      <c r="L79" s="355"/>
      <c r="M79" s="355"/>
      <c r="N79">
        <f t="shared" si="1"/>
        <v>0</v>
      </c>
    </row>
    <row r="80" spans="1:14" s="11" customFormat="1" ht="30.95" customHeight="1" x14ac:dyDescent="0.3">
      <c r="A80" s="18">
        <v>20</v>
      </c>
      <c r="B80" s="338"/>
      <c r="C80" s="76"/>
      <c r="D80" s="77"/>
      <c r="E80" s="76"/>
      <c r="F80" s="118">
        <v>-7.8739999999999997</v>
      </c>
      <c r="G80" s="118">
        <v>21.760100000000001</v>
      </c>
      <c r="H80" s="118">
        <v>-7.2619999999999996</v>
      </c>
      <c r="I80" s="118">
        <v>36.229199999999999</v>
      </c>
      <c r="J80" s="101"/>
      <c r="K80" s="355"/>
      <c r="L80" s="355"/>
      <c r="M80" s="355"/>
      <c r="N80">
        <f t="shared" si="1"/>
        <v>0</v>
      </c>
    </row>
    <row r="81" spans="1:20" s="11" customFormat="1" ht="30.95" customHeight="1" x14ac:dyDescent="0.3">
      <c r="A81" s="18">
        <v>21</v>
      </c>
      <c r="B81" s="338"/>
      <c r="C81" s="76"/>
      <c r="D81" s="77"/>
      <c r="E81" s="76"/>
      <c r="F81" s="118">
        <v>-12.593999999999999</v>
      </c>
      <c r="G81" s="118">
        <v>36.229999999999997</v>
      </c>
      <c r="H81" s="118">
        <v>-7.2720000000000002</v>
      </c>
      <c r="I81" s="118">
        <v>36.2273</v>
      </c>
      <c r="J81" s="101"/>
      <c r="K81" s="355"/>
      <c r="L81" s="355"/>
      <c r="M81" s="355"/>
      <c r="N81">
        <f t="shared" si="1"/>
        <v>0</v>
      </c>
      <c r="T81" s="11">
        <f>H80/I80</f>
        <v>-0.20044604904331312</v>
      </c>
    </row>
    <row r="82" spans="1:20" s="11" customFormat="1" ht="30.95" customHeight="1" x14ac:dyDescent="0.3">
      <c r="A82" s="18">
        <v>22</v>
      </c>
      <c r="B82" s="338"/>
      <c r="C82" s="76"/>
      <c r="D82" s="77"/>
      <c r="E82" s="76"/>
      <c r="F82" s="118">
        <v>-12.544</v>
      </c>
      <c r="G82" s="118">
        <v>36.232500000000002</v>
      </c>
      <c r="H82" s="118">
        <v>-7.1970000000000001</v>
      </c>
      <c r="I82" s="118">
        <v>36.229900000000001</v>
      </c>
      <c r="J82" s="101"/>
      <c r="K82" s="355"/>
      <c r="L82" s="355"/>
      <c r="M82" s="355"/>
      <c r="N82">
        <f t="shared" si="1"/>
        <v>0</v>
      </c>
    </row>
    <row r="83" spans="1:20" s="11" customFormat="1" ht="30.95" customHeight="1" x14ac:dyDescent="0.3">
      <c r="A83" s="18">
        <v>23</v>
      </c>
      <c r="B83" s="338"/>
      <c r="C83" s="76"/>
      <c r="D83" s="77"/>
      <c r="E83" s="76"/>
      <c r="F83" s="118">
        <v>-12.506</v>
      </c>
      <c r="G83" s="118">
        <v>36.230600000000003</v>
      </c>
      <c r="H83" s="118">
        <v>-7.0919999999999996</v>
      </c>
      <c r="I83" s="118">
        <v>36.2273</v>
      </c>
      <c r="J83" s="101"/>
      <c r="K83" s="355"/>
      <c r="L83" s="355"/>
      <c r="M83" s="355"/>
      <c r="N83">
        <f t="shared" si="1"/>
        <v>0</v>
      </c>
    </row>
    <row r="84" spans="1:20" s="11" customFormat="1" ht="30.95" customHeight="1" thickBot="1" x14ac:dyDescent="0.35">
      <c r="A84" s="21">
        <v>24</v>
      </c>
      <c r="B84" s="339"/>
      <c r="C84" s="76"/>
      <c r="D84" s="77"/>
      <c r="E84" s="76"/>
      <c r="F84" s="118">
        <v>-12.663</v>
      </c>
      <c r="G84" s="118">
        <v>36.229300000000002</v>
      </c>
      <c r="H84" s="118">
        <v>-7.3630000000000004</v>
      </c>
      <c r="I84" s="118">
        <v>36.226700000000001</v>
      </c>
      <c r="J84" s="101"/>
      <c r="K84" s="363"/>
      <c r="L84" s="363"/>
      <c r="M84" s="363"/>
      <c r="N84">
        <f t="shared" si="1"/>
        <v>0</v>
      </c>
      <c r="O84" s="11">
        <f>SUM(F64,F67:F72,F77:F84)/15</f>
        <v>-12.426533333333335</v>
      </c>
      <c r="P84" s="11">
        <f>SUM(H64,H67:H72,H77:H84)/15</f>
        <v>-7.3011333333333344</v>
      </c>
    </row>
    <row r="85" spans="1:20" s="11" customFormat="1" ht="30.95" customHeight="1" x14ac:dyDescent="0.3">
      <c r="A85" s="25">
        <v>1</v>
      </c>
      <c r="B85" s="409" t="s">
        <v>441</v>
      </c>
      <c r="C85" s="41"/>
      <c r="D85" s="26"/>
      <c r="E85" s="41"/>
      <c r="F85" s="63"/>
      <c r="G85" s="63"/>
      <c r="H85" s="63"/>
      <c r="I85" s="63"/>
      <c r="J85" s="50"/>
      <c r="K85" s="27"/>
      <c r="L85" s="27"/>
      <c r="M85" s="28"/>
      <c r="N85"/>
    </row>
    <row r="86" spans="1:20" s="11" customFormat="1" ht="30.95" customHeight="1" x14ac:dyDescent="0.3">
      <c r="A86" s="18">
        <v>2</v>
      </c>
      <c r="B86" s="346"/>
      <c r="C86" s="35" t="s">
        <v>359</v>
      </c>
      <c r="D86" s="17" t="s">
        <v>247</v>
      </c>
      <c r="E86" s="35"/>
      <c r="F86" s="60"/>
      <c r="G86" s="60"/>
      <c r="H86" s="60"/>
      <c r="I86" s="60"/>
      <c r="J86" s="51"/>
      <c r="K86" s="39"/>
      <c r="L86" s="39"/>
      <c r="M86" s="19"/>
      <c r="N86"/>
    </row>
    <row r="87" spans="1:20" s="11" customFormat="1" ht="30.95" customHeight="1" x14ac:dyDescent="0.3">
      <c r="A87" s="18">
        <v>3</v>
      </c>
      <c r="B87" s="346"/>
      <c r="C87" s="35"/>
      <c r="D87" s="12"/>
      <c r="E87" s="35"/>
      <c r="F87" s="60"/>
      <c r="G87" s="60"/>
      <c r="H87" s="60"/>
      <c r="I87" s="60"/>
      <c r="J87" s="51"/>
      <c r="K87" s="39"/>
      <c r="L87" s="39"/>
      <c r="M87" s="19"/>
      <c r="N87"/>
    </row>
    <row r="88" spans="1:20" s="11" customFormat="1" ht="30.95" customHeight="1" x14ac:dyDescent="0.3">
      <c r="A88" s="18">
        <v>4</v>
      </c>
      <c r="B88" s="346"/>
      <c r="C88" s="35" t="s">
        <v>129</v>
      </c>
      <c r="D88" s="12" t="s">
        <v>471</v>
      </c>
      <c r="E88" s="35"/>
      <c r="F88" s="60"/>
      <c r="G88" s="60"/>
      <c r="H88" s="60"/>
      <c r="I88" s="60"/>
      <c r="J88" s="51"/>
      <c r="K88" s="39"/>
      <c r="L88" s="39"/>
      <c r="M88" s="19"/>
      <c r="N88"/>
    </row>
    <row r="89" spans="1:20" s="11" customFormat="1" ht="30.95" customHeight="1" x14ac:dyDescent="0.3">
      <c r="A89" s="18">
        <v>5</v>
      </c>
      <c r="B89" s="346"/>
      <c r="C89" s="35" t="s">
        <v>358</v>
      </c>
      <c r="D89" s="12" t="s">
        <v>231</v>
      </c>
      <c r="E89" s="35"/>
      <c r="F89" s="60"/>
      <c r="G89" s="60"/>
      <c r="H89" s="60"/>
      <c r="I89" s="60"/>
      <c r="J89" s="51"/>
      <c r="K89" s="39"/>
      <c r="L89" s="39"/>
      <c r="M89" s="19"/>
      <c r="N89"/>
    </row>
    <row r="90" spans="1:20" s="11" customFormat="1" ht="30.95" customHeight="1" x14ac:dyDescent="0.3">
      <c r="A90" s="18">
        <v>6</v>
      </c>
      <c r="B90" s="346"/>
      <c r="C90" s="35" t="s">
        <v>358</v>
      </c>
      <c r="D90" s="12" t="s">
        <v>231</v>
      </c>
      <c r="E90" s="35"/>
      <c r="F90" s="60"/>
      <c r="G90" s="60"/>
      <c r="H90" s="60"/>
      <c r="I90" s="60"/>
      <c r="J90" s="51"/>
      <c r="K90" s="39"/>
      <c r="L90" s="39"/>
      <c r="M90" s="19"/>
      <c r="N90"/>
    </row>
    <row r="91" spans="1:20" s="11" customFormat="1" ht="30.95" customHeight="1" x14ac:dyDescent="0.3">
      <c r="A91" s="18">
        <v>7</v>
      </c>
      <c r="B91" s="346"/>
      <c r="C91" s="35"/>
      <c r="D91" s="12"/>
      <c r="E91" s="35"/>
      <c r="F91" s="60"/>
      <c r="G91" s="60"/>
      <c r="H91" s="60"/>
      <c r="I91" s="60"/>
      <c r="J91" s="51"/>
      <c r="K91" s="39"/>
      <c r="L91" s="39"/>
      <c r="M91" s="19"/>
      <c r="N91"/>
    </row>
    <row r="92" spans="1:20" s="11" customFormat="1" ht="30.95" customHeight="1" x14ac:dyDescent="0.3">
      <c r="A92" s="18">
        <v>8</v>
      </c>
      <c r="B92" s="346"/>
      <c r="C92" s="35"/>
      <c r="D92" s="12"/>
      <c r="E92" s="35"/>
      <c r="F92" s="60"/>
      <c r="G92" s="60"/>
      <c r="H92" s="60"/>
      <c r="I92" s="60"/>
      <c r="J92" s="51"/>
      <c r="K92" s="39"/>
      <c r="L92" s="39"/>
      <c r="M92" s="19"/>
      <c r="N92"/>
    </row>
    <row r="93" spans="1:20" s="11" customFormat="1" ht="30.95" customHeight="1" x14ac:dyDescent="0.3">
      <c r="A93" s="18">
        <v>9</v>
      </c>
      <c r="B93" s="346"/>
      <c r="C93" s="35"/>
      <c r="D93" s="12"/>
      <c r="E93" s="35"/>
      <c r="F93" s="60"/>
      <c r="G93" s="60"/>
      <c r="H93" s="60"/>
      <c r="I93" s="60"/>
      <c r="J93" s="51"/>
      <c r="K93" s="39"/>
      <c r="L93" s="39"/>
      <c r="M93" s="19"/>
      <c r="N93"/>
    </row>
    <row r="94" spans="1:20" s="11" customFormat="1" ht="30.95" customHeight="1" x14ac:dyDescent="0.3">
      <c r="A94" s="18">
        <v>10</v>
      </c>
      <c r="B94" s="346"/>
      <c r="C94" s="35"/>
      <c r="D94" s="12"/>
      <c r="E94" s="35"/>
      <c r="F94" s="60"/>
      <c r="G94" s="60"/>
      <c r="H94" s="60"/>
      <c r="I94" s="60"/>
      <c r="J94" s="51"/>
      <c r="K94" s="39"/>
      <c r="L94" s="39"/>
      <c r="M94" s="19"/>
      <c r="N94"/>
    </row>
    <row r="95" spans="1:20" s="11" customFormat="1" ht="30.95" customHeight="1" x14ac:dyDescent="0.3">
      <c r="A95" s="18">
        <v>11</v>
      </c>
      <c r="B95" s="346"/>
      <c r="C95" s="35"/>
      <c r="D95" s="12"/>
      <c r="E95" s="35"/>
      <c r="F95" s="60"/>
      <c r="G95" s="60"/>
      <c r="H95" s="60"/>
      <c r="I95" s="60"/>
      <c r="J95" s="51"/>
      <c r="K95" s="39"/>
      <c r="L95" s="39"/>
      <c r="M95" s="19"/>
      <c r="N95"/>
    </row>
    <row r="96" spans="1:20" s="11" customFormat="1" ht="30.95" customHeight="1" x14ac:dyDescent="0.3">
      <c r="A96" s="18">
        <v>12</v>
      </c>
      <c r="B96" s="346"/>
      <c r="C96" s="35"/>
      <c r="D96" s="12"/>
      <c r="E96" s="35"/>
      <c r="F96" s="60"/>
      <c r="G96" s="60"/>
      <c r="H96" s="60"/>
      <c r="I96" s="60"/>
      <c r="J96" s="51"/>
      <c r="K96" s="39"/>
      <c r="L96" s="39"/>
      <c r="M96" s="19"/>
      <c r="N96"/>
    </row>
    <row r="97" spans="1:14" s="11" customFormat="1" ht="30.95" customHeight="1" x14ac:dyDescent="0.3">
      <c r="A97" s="18">
        <v>13</v>
      </c>
      <c r="B97" s="346"/>
      <c r="C97" s="35"/>
      <c r="D97" s="12"/>
      <c r="E97" s="35"/>
      <c r="F97" s="60"/>
      <c r="G97" s="60"/>
      <c r="H97" s="60"/>
      <c r="I97" s="60"/>
      <c r="J97" s="51"/>
      <c r="K97" s="39"/>
      <c r="L97" s="39"/>
      <c r="M97" s="19"/>
      <c r="N97"/>
    </row>
    <row r="98" spans="1:14" s="11" customFormat="1" ht="30.95" customHeight="1" x14ac:dyDescent="0.3">
      <c r="A98" s="18">
        <v>14</v>
      </c>
      <c r="B98" s="346"/>
      <c r="C98" s="35"/>
      <c r="D98" s="12"/>
      <c r="E98" s="35"/>
      <c r="F98" s="60"/>
      <c r="G98" s="60"/>
      <c r="H98" s="60"/>
      <c r="I98" s="60"/>
      <c r="J98" s="51"/>
      <c r="K98" s="39"/>
      <c r="L98" s="39"/>
      <c r="M98" s="19"/>
      <c r="N98"/>
    </row>
    <row r="99" spans="1:14" s="11" customFormat="1" ht="30.95" customHeight="1" x14ac:dyDescent="0.3">
      <c r="A99" s="18">
        <v>15</v>
      </c>
      <c r="B99" s="346"/>
      <c r="C99" s="35"/>
      <c r="D99" s="12"/>
      <c r="E99" s="35"/>
      <c r="F99" s="60"/>
      <c r="G99" s="60"/>
      <c r="H99" s="60"/>
      <c r="I99" s="60"/>
      <c r="J99" s="51"/>
      <c r="K99" s="39"/>
      <c r="L99" s="39"/>
      <c r="M99" s="19"/>
      <c r="N99"/>
    </row>
    <row r="100" spans="1:14" s="11" customFormat="1" ht="30.95" customHeight="1" x14ac:dyDescent="0.3">
      <c r="A100" s="18">
        <v>16</v>
      </c>
      <c r="B100" s="346"/>
      <c r="C100" s="35"/>
      <c r="D100" s="12"/>
      <c r="E100" s="35"/>
      <c r="F100" s="60"/>
      <c r="G100" s="60"/>
      <c r="H100" s="60"/>
      <c r="I100" s="60"/>
      <c r="J100" s="51"/>
      <c r="K100" s="39"/>
      <c r="L100" s="39"/>
      <c r="M100" s="19"/>
      <c r="N100"/>
    </row>
    <row r="101" spans="1:14" s="11" customFormat="1" ht="30.95" customHeight="1" x14ac:dyDescent="0.3">
      <c r="A101" s="18">
        <v>17</v>
      </c>
      <c r="B101" s="346"/>
      <c r="C101" s="35"/>
      <c r="D101" s="12"/>
      <c r="E101" s="35"/>
      <c r="F101" s="60"/>
      <c r="G101" s="60"/>
      <c r="H101" s="60"/>
      <c r="I101" s="60"/>
      <c r="J101" s="51"/>
      <c r="K101" s="39"/>
      <c r="L101" s="39"/>
      <c r="M101" s="19"/>
      <c r="N101"/>
    </row>
    <row r="102" spans="1:14" s="11" customFormat="1" ht="30.95" customHeight="1" x14ac:dyDescent="0.3">
      <c r="A102" s="18">
        <v>18</v>
      </c>
      <c r="B102" s="346"/>
      <c r="C102" s="35"/>
      <c r="D102" s="12"/>
      <c r="E102" s="35"/>
      <c r="F102" s="60"/>
      <c r="G102" s="60"/>
      <c r="H102" s="60"/>
      <c r="I102" s="60"/>
      <c r="J102" s="51"/>
      <c r="K102" s="39"/>
      <c r="L102" s="39"/>
      <c r="M102" s="19"/>
      <c r="N102"/>
    </row>
    <row r="103" spans="1:14" s="11" customFormat="1" ht="30.95" customHeight="1" x14ac:dyDescent="0.3">
      <c r="A103" s="18">
        <v>19</v>
      </c>
      <c r="B103" s="346"/>
      <c r="C103" s="35"/>
      <c r="D103" s="12"/>
      <c r="E103" s="35"/>
      <c r="F103" s="60"/>
      <c r="G103" s="60"/>
      <c r="H103" s="60"/>
      <c r="I103" s="60"/>
      <c r="J103" s="51"/>
      <c r="K103" s="39"/>
      <c r="L103" s="39"/>
      <c r="M103" s="19"/>
      <c r="N103"/>
    </row>
    <row r="104" spans="1:14" s="11" customFormat="1" ht="30.95" customHeight="1" x14ac:dyDescent="0.3">
      <c r="A104" s="18">
        <v>20</v>
      </c>
      <c r="B104" s="346"/>
      <c r="C104" s="35"/>
      <c r="D104" s="12"/>
      <c r="E104" s="35"/>
      <c r="F104" s="60"/>
      <c r="G104" s="60"/>
      <c r="H104" s="60"/>
      <c r="I104" s="60"/>
      <c r="J104" s="51"/>
      <c r="K104" s="39"/>
      <c r="L104" s="39"/>
      <c r="M104" s="19"/>
      <c r="N104"/>
    </row>
    <row r="105" spans="1:14" s="11" customFormat="1" ht="30.95" customHeight="1" x14ac:dyDescent="0.3">
      <c r="A105" s="18">
        <v>21</v>
      </c>
      <c r="B105" s="346"/>
      <c r="C105" s="35"/>
      <c r="D105" s="12"/>
      <c r="E105" s="35"/>
      <c r="F105" s="60"/>
      <c r="G105" s="60"/>
      <c r="H105" s="60"/>
      <c r="I105" s="60"/>
      <c r="J105" s="51"/>
      <c r="K105" s="39"/>
      <c r="L105" s="39"/>
      <c r="M105" s="19"/>
      <c r="N105"/>
    </row>
    <row r="106" spans="1:14" s="11" customFormat="1" ht="30.95" customHeight="1" x14ac:dyDescent="0.3">
      <c r="A106" s="18">
        <v>22</v>
      </c>
      <c r="B106" s="346"/>
      <c r="C106" s="35"/>
      <c r="D106" s="12"/>
      <c r="E106" s="35"/>
      <c r="F106" s="60"/>
      <c r="G106" s="60"/>
      <c r="H106" s="60"/>
      <c r="I106" s="60"/>
      <c r="J106" s="51"/>
      <c r="K106" s="39"/>
      <c r="L106" s="39"/>
      <c r="M106" s="19"/>
      <c r="N106"/>
    </row>
    <row r="107" spans="1:14" s="11" customFormat="1" ht="30.95" customHeight="1" x14ac:dyDescent="0.3">
      <c r="A107" s="18">
        <v>23</v>
      </c>
      <c r="B107" s="346"/>
      <c r="C107" s="35" t="s">
        <v>361</v>
      </c>
      <c r="D107" s="12" t="s">
        <v>248</v>
      </c>
      <c r="E107" s="35"/>
      <c r="F107" s="60"/>
      <c r="G107" s="60"/>
      <c r="H107" s="60"/>
      <c r="I107" s="60"/>
      <c r="J107" s="51"/>
      <c r="K107" s="39"/>
      <c r="L107" s="39"/>
      <c r="M107" s="19"/>
      <c r="N107"/>
    </row>
    <row r="108" spans="1:14" s="11" customFormat="1" ht="30.95" customHeight="1" thickBot="1" x14ac:dyDescent="0.35">
      <c r="A108" s="21">
        <v>24</v>
      </c>
      <c r="B108" s="347"/>
      <c r="C108" s="40" t="s">
        <v>361</v>
      </c>
      <c r="D108" s="22" t="s">
        <v>249</v>
      </c>
      <c r="E108" s="40"/>
      <c r="F108" s="66"/>
      <c r="G108" s="66"/>
      <c r="H108" s="66"/>
      <c r="I108" s="66"/>
      <c r="J108" s="52"/>
      <c r="K108" s="23"/>
      <c r="L108" s="23"/>
      <c r="M108" s="24"/>
      <c r="N108"/>
    </row>
    <row r="109" spans="1:14" s="11" customFormat="1" ht="30.95" customHeight="1" x14ac:dyDescent="0.3">
      <c r="A109" s="25">
        <v>1</v>
      </c>
      <c r="B109" s="409" t="s">
        <v>442</v>
      </c>
      <c r="C109" s="41" t="s">
        <v>359</v>
      </c>
      <c r="D109" s="26" t="s">
        <v>241</v>
      </c>
      <c r="E109" s="41"/>
      <c r="F109" s="63"/>
      <c r="G109" s="63"/>
      <c r="H109" s="63"/>
      <c r="I109" s="63"/>
      <c r="J109" s="50"/>
      <c r="K109" s="27"/>
      <c r="L109" s="27"/>
      <c r="M109" s="28"/>
      <c r="N109"/>
    </row>
    <row r="110" spans="1:14" s="11" customFormat="1" ht="30.95" customHeight="1" x14ac:dyDescent="0.3">
      <c r="A110" s="18">
        <v>2</v>
      </c>
      <c r="B110" s="346"/>
      <c r="C110" s="35"/>
      <c r="D110" s="17"/>
      <c r="E110" s="35"/>
      <c r="F110" s="60"/>
      <c r="G110" s="60"/>
      <c r="H110" s="60"/>
      <c r="I110" s="60"/>
      <c r="J110" s="51"/>
      <c r="K110" s="39"/>
      <c r="L110" s="39"/>
      <c r="M110" s="19"/>
      <c r="N110"/>
    </row>
    <row r="111" spans="1:14" s="11" customFormat="1" ht="30.95" customHeight="1" x14ac:dyDescent="0.3">
      <c r="A111" s="18">
        <v>3</v>
      </c>
      <c r="B111" s="346"/>
      <c r="C111" s="35" t="s">
        <v>129</v>
      </c>
      <c r="D111" s="12" t="s">
        <v>472</v>
      </c>
      <c r="E111" s="35"/>
      <c r="F111" s="60"/>
      <c r="G111" s="60"/>
      <c r="H111" s="60"/>
      <c r="I111" s="60"/>
      <c r="J111" s="51"/>
      <c r="K111" s="39"/>
      <c r="L111" s="39"/>
      <c r="M111" s="19"/>
      <c r="N111"/>
    </row>
    <row r="112" spans="1:14" s="11" customFormat="1" ht="30.95" customHeight="1" x14ac:dyDescent="0.3">
      <c r="A112" s="18">
        <v>4</v>
      </c>
      <c r="B112" s="346"/>
      <c r="C112" s="35"/>
      <c r="D112" s="12"/>
      <c r="E112" s="35"/>
      <c r="F112" s="60"/>
      <c r="G112" s="60"/>
      <c r="H112" s="60"/>
      <c r="I112" s="60"/>
      <c r="J112" s="51"/>
      <c r="K112" s="39"/>
      <c r="L112" s="39"/>
      <c r="M112" s="19"/>
      <c r="N112"/>
    </row>
    <row r="113" spans="1:14" s="11" customFormat="1" ht="30.95" customHeight="1" x14ac:dyDescent="0.3">
      <c r="A113" s="18">
        <v>5</v>
      </c>
      <c r="B113" s="346"/>
      <c r="C113" s="35" t="s">
        <v>358</v>
      </c>
      <c r="D113" s="12" t="s">
        <v>231</v>
      </c>
      <c r="E113" s="35"/>
      <c r="F113" s="60"/>
      <c r="G113" s="60"/>
      <c r="H113" s="60"/>
      <c r="I113" s="60"/>
      <c r="J113" s="51"/>
      <c r="K113" s="39"/>
      <c r="L113" s="39"/>
      <c r="M113" s="19"/>
      <c r="N113"/>
    </row>
    <row r="114" spans="1:14" ht="30.95" customHeight="1" x14ac:dyDescent="0.3">
      <c r="A114" s="18">
        <v>6</v>
      </c>
      <c r="B114" s="346"/>
      <c r="C114" s="35" t="s">
        <v>358</v>
      </c>
      <c r="D114" s="12" t="s">
        <v>231</v>
      </c>
      <c r="E114" s="35"/>
      <c r="F114" s="60"/>
      <c r="G114" s="60"/>
      <c r="H114" s="60"/>
      <c r="I114" s="60"/>
      <c r="J114" s="51"/>
      <c r="K114" s="39"/>
      <c r="L114" s="39"/>
      <c r="M114" s="19"/>
    </row>
    <row r="115" spans="1:14" ht="30.95" customHeight="1" x14ac:dyDescent="0.3">
      <c r="A115" s="18">
        <v>7</v>
      </c>
      <c r="B115" s="346"/>
      <c r="C115" s="35"/>
      <c r="D115" s="12"/>
      <c r="E115" s="35"/>
      <c r="F115" s="60"/>
      <c r="G115" s="60"/>
      <c r="H115" s="60"/>
      <c r="I115" s="60"/>
      <c r="J115" s="51"/>
      <c r="K115" s="39"/>
      <c r="L115" s="39"/>
      <c r="M115" s="19"/>
    </row>
    <row r="116" spans="1:14" ht="30.95" customHeight="1" x14ac:dyDescent="0.3">
      <c r="A116" s="18">
        <v>8</v>
      </c>
      <c r="B116" s="346"/>
      <c r="C116" s="35"/>
      <c r="D116" s="12"/>
      <c r="E116" s="35"/>
      <c r="F116" s="60"/>
      <c r="G116" s="60"/>
      <c r="H116" s="60"/>
      <c r="I116" s="60"/>
      <c r="J116" s="51"/>
      <c r="K116" s="39"/>
      <c r="L116" s="39"/>
      <c r="M116" s="19"/>
    </row>
    <row r="117" spans="1:14" ht="30.95" customHeight="1" x14ac:dyDescent="0.3">
      <c r="A117" s="18">
        <v>9</v>
      </c>
      <c r="B117" s="346"/>
      <c r="C117" s="35"/>
      <c r="D117" s="12"/>
      <c r="E117" s="35"/>
      <c r="F117" s="60"/>
      <c r="G117" s="60"/>
      <c r="H117" s="60"/>
      <c r="I117" s="60"/>
      <c r="J117" s="51"/>
      <c r="K117" s="39"/>
      <c r="L117" s="39"/>
      <c r="M117" s="19"/>
    </row>
    <row r="118" spans="1:14" ht="30.95" customHeight="1" x14ac:dyDescent="0.3">
      <c r="A118" s="18">
        <v>10</v>
      </c>
      <c r="B118" s="346"/>
      <c r="C118" s="35"/>
      <c r="D118" s="12"/>
      <c r="E118" s="35"/>
      <c r="F118" s="60"/>
      <c r="G118" s="60"/>
      <c r="H118" s="60"/>
      <c r="I118" s="60"/>
      <c r="J118" s="51"/>
      <c r="K118" s="39"/>
      <c r="L118" s="39"/>
      <c r="M118" s="19"/>
    </row>
    <row r="119" spans="1:14" ht="30.95" customHeight="1" x14ac:dyDescent="0.3">
      <c r="A119" s="18">
        <v>11</v>
      </c>
      <c r="B119" s="346"/>
      <c r="C119" s="35"/>
      <c r="D119" s="12"/>
      <c r="E119" s="35"/>
      <c r="F119" s="60"/>
      <c r="G119" s="60"/>
      <c r="H119" s="60"/>
      <c r="I119" s="60"/>
      <c r="J119" s="51"/>
      <c r="K119" s="39"/>
      <c r="L119" s="39"/>
      <c r="M119" s="19"/>
    </row>
    <row r="120" spans="1:14" ht="30.95" customHeight="1" x14ac:dyDescent="0.3">
      <c r="A120" s="18">
        <v>12</v>
      </c>
      <c r="B120" s="346"/>
      <c r="C120" s="35"/>
      <c r="D120" s="12"/>
      <c r="E120" s="35"/>
      <c r="F120" s="60"/>
      <c r="G120" s="60"/>
      <c r="H120" s="60"/>
      <c r="I120" s="60"/>
      <c r="J120" s="51"/>
      <c r="K120" s="39"/>
      <c r="L120" s="39"/>
      <c r="M120" s="19"/>
    </row>
    <row r="121" spans="1:14" ht="30.95" customHeight="1" x14ac:dyDescent="0.3">
      <c r="A121" s="18">
        <v>13</v>
      </c>
      <c r="B121" s="346"/>
      <c r="C121" s="35"/>
      <c r="D121" s="12"/>
      <c r="E121" s="35"/>
      <c r="F121" s="60"/>
      <c r="G121" s="60"/>
      <c r="H121" s="60"/>
      <c r="I121" s="60"/>
      <c r="J121" s="51"/>
      <c r="K121" s="39"/>
      <c r="L121" s="39"/>
      <c r="M121" s="19"/>
    </row>
    <row r="122" spans="1:14" ht="30.95" customHeight="1" x14ac:dyDescent="0.3">
      <c r="A122" s="18">
        <v>14</v>
      </c>
      <c r="B122" s="346"/>
      <c r="C122" s="35"/>
      <c r="D122" s="12"/>
      <c r="E122" s="35"/>
      <c r="F122" s="60"/>
      <c r="G122" s="60"/>
      <c r="H122" s="60"/>
      <c r="I122" s="60"/>
      <c r="J122" s="51"/>
      <c r="K122" s="39"/>
      <c r="L122" s="39"/>
      <c r="M122" s="19"/>
    </row>
    <row r="123" spans="1:14" ht="30.95" customHeight="1" x14ac:dyDescent="0.3">
      <c r="A123" s="18">
        <v>15</v>
      </c>
      <c r="B123" s="346"/>
      <c r="C123" s="35"/>
      <c r="D123" s="12"/>
      <c r="E123" s="35"/>
      <c r="F123" s="60"/>
      <c r="G123" s="60"/>
      <c r="H123" s="60"/>
      <c r="I123" s="60"/>
      <c r="J123" s="51"/>
      <c r="K123" s="39"/>
      <c r="L123" s="39"/>
      <c r="M123" s="19"/>
    </row>
    <row r="124" spans="1:14" ht="30.95" customHeight="1" x14ac:dyDescent="0.3">
      <c r="A124" s="18">
        <v>16</v>
      </c>
      <c r="B124" s="346"/>
      <c r="C124" s="35"/>
      <c r="D124" s="12"/>
      <c r="E124" s="35"/>
      <c r="F124" s="60"/>
      <c r="G124" s="60"/>
      <c r="H124" s="60"/>
      <c r="I124" s="60"/>
      <c r="J124" s="51"/>
      <c r="K124" s="39"/>
      <c r="L124" s="39"/>
      <c r="M124" s="19"/>
    </row>
    <row r="125" spans="1:14" ht="30.95" customHeight="1" x14ac:dyDescent="0.3">
      <c r="A125" s="18">
        <v>17</v>
      </c>
      <c r="B125" s="346"/>
      <c r="C125" s="35"/>
      <c r="D125" s="12"/>
      <c r="E125" s="35"/>
      <c r="F125" s="60"/>
      <c r="G125" s="60"/>
      <c r="H125" s="60"/>
      <c r="I125" s="60"/>
      <c r="J125" s="51"/>
      <c r="K125" s="39"/>
      <c r="L125" s="39"/>
      <c r="M125" s="19"/>
    </row>
    <row r="126" spans="1:14" ht="30.95" customHeight="1" x14ac:dyDescent="0.3">
      <c r="A126" s="18">
        <v>18</v>
      </c>
      <c r="B126" s="346"/>
      <c r="C126" s="35"/>
      <c r="D126" s="12"/>
      <c r="E126" s="35"/>
      <c r="F126" s="60"/>
      <c r="G126" s="60"/>
      <c r="H126" s="60"/>
      <c r="I126" s="60"/>
      <c r="J126" s="51"/>
      <c r="K126" s="39"/>
      <c r="L126" s="39"/>
      <c r="M126" s="19"/>
    </row>
    <row r="127" spans="1:14" ht="30.95" customHeight="1" x14ac:dyDescent="0.3">
      <c r="A127" s="18">
        <v>19</v>
      </c>
      <c r="B127" s="346"/>
      <c r="C127" s="35"/>
      <c r="D127" s="12"/>
      <c r="E127" s="35"/>
      <c r="F127" s="60"/>
      <c r="G127" s="60"/>
      <c r="H127" s="60"/>
      <c r="I127" s="60"/>
      <c r="J127" s="51"/>
      <c r="K127" s="39"/>
      <c r="L127" s="39"/>
      <c r="M127" s="19"/>
    </row>
    <row r="128" spans="1:14" ht="30.95" customHeight="1" x14ac:dyDescent="0.3">
      <c r="A128" s="18">
        <v>20</v>
      </c>
      <c r="B128" s="346"/>
      <c r="C128" s="35"/>
      <c r="D128" s="12"/>
      <c r="E128" s="35"/>
      <c r="F128" s="60"/>
      <c r="G128" s="60"/>
      <c r="H128" s="60"/>
      <c r="I128" s="60"/>
      <c r="J128" s="51"/>
      <c r="K128" s="39"/>
      <c r="L128" s="39"/>
      <c r="M128" s="19"/>
    </row>
    <row r="129" spans="1:13" ht="30.95" customHeight="1" x14ac:dyDescent="0.3">
      <c r="A129" s="18">
        <v>21</v>
      </c>
      <c r="B129" s="346"/>
      <c r="C129" s="35"/>
      <c r="D129" s="12"/>
      <c r="E129" s="35"/>
      <c r="F129" s="60"/>
      <c r="G129" s="60"/>
      <c r="H129" s="60"/>
      <c r="I129" s="60"/>
      <c r="J129" s="51"/>
      <c r="K129" s="39"/>
      <c r="L129" s="39"/>
      <c r="M129" s="19"/>
    </row>
    <row r="130" spans="1:13" ht="30.95" customHeight="1" x14ac:dyDescent="0.3">
      <c r="A130" s="18">
        <v>22</v>
      </c>
      <c r="B130" s="346"/>
      <c r="C130" s="35"/>
      <c r="D130" s="12"/>
      <c r="E130" s="35"/>
      <c r="F130" s="60"/>
      <c r="G130" s="60"/>
      <c r="H130" s="60"/>
      <c r="I130" s="60"/>
      <c r="J130" s="51"/>
      <c r="K130" s="39"/>
      <c r="L130" s="39"/>
      <c r="M130" s="19"/>
    </row>
    <row r="131" spans="1:13" ht="30.95" customHeight="1" x14ac:dyDescent="0.3">
      <c r="A131" s="18">
        <v>23</v>
      </c>
      <c r="B131" s="346"/>
      <c r="C131" s="35" t="s">
        <v>361</v>
      </c>
      <c r="D131" s="12" t="s">
        <v>248</v>
      </c>
      <c r="E131" s="35"/>
      <c r="F131" s="60"/>
      <c r="G131" s="60"/>
      <c r="H131" s="60"/>
      <c r="I131" s="60"/>
      <c r="J131" s="51"/>
      <c r="K131" s="39"/>
      <c r="L131" s="39"/>
      <c r="M131" s="19"/>
    </row>
    <row r="132" spans="1:13" ht="30.95" customHeight="1" thickBot="1" x14ac:dyDescent="0.35">
      <c r="A132" s="21">
        <v>24</v>
      </c>
      <c r="B132" s="347"/>
      <c r="C132" s="40" t="s">
        <v>361</v>
      </c>
      <c r="D132" s="22" t="s">
        <v>249</v>
      </c>
      <c r="E132" s="40"/>
      <c r="F132" s="66"/>
      <c r="G132" s="66"/>
      <c r="H132" s="66"/>
      <c r="I132" s="66"/>
      <c r="J132" s="52"/>
      <c r="K132" s="23"/>
      <c r="L132" s="23"/>
      <c r="M132" s="24"/>
    </row>
    <row r="133" spans="1:13" ht="32.1" customHeight="1" x14ac:dyDescent="0.3"/>
  </sheetData>
  <mergeCells count="47">
    <mergeCell ref="L61:L84"/>
    <mergeCell ref="F58:G58"/>
    <mergeCell ref="H58:I58"/>
    <mergeCell ref="J58:J60"/>
    <mergeCell ref="K5:K28"/>
    <mergeCell ref="K33:K56"/>
    <mergeCell ref="K29:K32"/>
    <mergeCell ref="L29:L32"/>
    <mergeCell ref="K61:K84"/>
    <mergeCell ref="M33:M56"/>
    <mergeCell ref="L33:L56"/>
    <mergeCell ref="K57:K60"/>
    <mergeCell ref="L57:L60"/>
    <mergeCell ref="M57:M60"/>
    <mergeCell ref="M29:M32"/>
    <mergeCell ref="B109:B132"/>
    <mergeCell ref="B61:B84"/>
    <mergeCell ref="B85:B108"/>
    <mergeCell ref="M1:M4"/>
    <mergeCell ref="F2:G2"/>
    <mergeCell ref="H2:I2"/>
    <mergeCell ref="J2:J4"/>
    <mergeCell ref="B5:B28"/>
    <mergeCell ref="A1:C1"/>
    <mergeCell ref="F1:J1"/>
    <mergeCell ref="K1:K4"/>
    <mergeCell ref="L1:L4"/>
    <mergeCell ref="M5:M28"/>
    <mergeCell ref="L5:L28"/>
    <mergeCell ref="M61:M84"/>
    <mergeCell ref="A2:C3"/>
    <mergeCell ref="D2:D3"/>
    <mergeCell ref="E2:E3"/>
    <mergeCell ref="A57:C57"/>
    <mergeCell ref="F57:J57"/>
    <mergeCell ref="B33:B56"/>
    <mergeCell ref="E30:E31"/>
    <mergeCell ref="F30:G30"/>
    <mergeCell ref="H30:I30"/>
    <mergeCell ref="J30:J32"/>
    <mergeCell ref="A58:C59"/>
    <mergeCell ref="D58:D59"/>
    <mergeCell ref="E58:E59"/>
    <mergeCell ref="A29:C29"/>
    <mergeCell ref="F29:J29"/>
    <mergeCell ref="A30:C31"/>
    <mergeCell ref="D30:D31"/>
  </mergeCells>
  <phoneticPr fontId="1" type="noConversion"/>
  <pageMargins left="0.25" right="0.25" top="0.75" bottom="0.75" header="0.3" footer="0.3"/>
  <pageSetup paperSize="9" scale="47" fitToWidth="0" fitToHeight="4" orientation="landscape" r:id="rId1"/>
  <rowBreaks count="4" manualBreakCount="4">
    <brk id="28" max="12" man="1"/>
    <brk id="56" max="12" man="1"/>
    <brk id="84" max="12" man="1"/>
    <brk id="108" max="1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5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J23" sqref="J23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7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723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COUNTIF(N5:N502,0)/COUNT(A:A)</f>
        <v>0.28125</v>
      </c>
    </row>
    <row r="2" spans="1:17" ht="30" customHeight="1" x14ac:dyDescent="0.3">
      <c r="A2" s="336" t="s">
        <v>9</v>
      </c>
      <c r="B2" s="337"/>
      <c r="C2" s="337"/>
      <c r="D2" s="368" t="s">
        <v>657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7" ht="30" customHeight="1" x14ac:dyDescent="0.3">
      <c r="A3" s="336"/>
      <c r="B3" s="337"/>
      <c r="C3" s="337"/>
      <c r="D3" s="368"/>
      <c r="E3" s="337"/>
      <c r="F3" s="201" t="s">
        <v>638</v>
      </c>
      <c r="G3" s="214">
        <f>전송손실!M15</f>
        <v>-3.1999999999999997</v>
      </c>
      <c r="H3" s="201" t="s">
        <v>638</v>
      </c>
      <c r="I3" s="214">
        <f>전송손실!M41</f>
        <v>-2.66</v>
      </c>
      <c r="J3" s="369"/>
      <c r="K3" s="332"/>
      <c r="L3" s="332"/>
      <c r="M3" s="332"/>
    </row>
    <row r="4" spans="1:17" ht="30" customHeight="1" thickBot="1" x14ac:dyDescent="0.35">
      <c r="A4" s="203" t="s">
        <v>0</v>
      </c>
      <c r="B4" s="203" t="s">
        <v>1</v>
      </c>
      <c r="C4" s="203" t="s">
        <v>23</v>
      </c>
      <c r="D4" s="203" t="s">
        <v>2</v>
      </c>
      <c r="E4" s="203" t="s">
        <v>3</v>
      </c>
      <c r="F4" s="203" t="s">
        <v>4</v>
      </c>
      <c r="G4" s="203" t="s">
        <v>506</v>
      </c>
      <c r="H4" s="203" t="s">
        <v>4</v>
      </c>
      <c r="I4" s="203" t="s">
        <v>506</v>
      </c>
      <c r="J4" s="370"/>
      <c r="K4" s="367"/>
      <c r="L4" s="367"/>
      <c r="M4" s="367"/>
    </row>
    <row r="5" spans="1:17" ht="30" customHeight="1" x14ac:dyDescent="0.3">
      <c r="A5" s="64">
        <v>1</v>
      </c>
      <c r="B5" s="394" t="s">
        <v>250</v>
      </c>
      <c r="C5" s="73"/>
      <c r="D5" s="74"/>
      <c r="E5" s="73"/>
      <c r="F5" s="151">
        <v>-14.316000000000001</v>
      </c>
      <c r="G5" s="151">
        <v>38.771099999999997</v>
      </c>
      <c r="H5" s="151">
        <v>-13.561</v>
      </c>
      <c r="I5" s="151">
        <v>38.7699</v>
      </c>
      <c r="J5" s="288"/>
      <c r="K5" s="378" t="s">
        <v>428</v>
      </c>
      <c r="L5" s="378" t="s">
        <v>458</v>
      </c>
      <c r="M5" s="361"/>
      <c r="N5">
        <f>IF(C5="",0,1)</f>
        <v>0</v>
      </c>
    </row>
    <row r="6" spans="1:17" ht="30" customHeight="1" x14ac:dyDescent="0.3">
      <c r="A6" s="18">
        <v>2</v>
      </c>
      <c r="B6" s="394"/>
      <c r="C6" s="76"/>
      <c r="D6" s="77"/>
      <c r="E6" s="76"/>
      <c r="F6" s="118">
        <v>-14.99</v>
      </c>
      <c r="G6" s="118">
        <v>38.725099999999998</v>
      </c>
      <c r="H6" s="118">
        <v>-8.1829999999999998</v>
      </c>
      <c r="I6" s="118">
        <v>36.862200000000001</v>
      </c>
      <c r="J6" s="274"/>
      <c r="K6" s="355"/>
      <c r="L6" s="355"/>
      <c r="M6" s="359"/>
      <c r="N6">
        <f t="shared" ref="N6:N56" si="0">IF(C6="",0,1)</f>
        <v>0</v>
      </c>
    </row>
    <row r="7" spans="1:17" ht="30" customHeight="1" x14ac:dyDescent="0.3">
      <c r="A7" s="18">
        <v>3</v>
      </c>
      <c r="B7" s="394"/>
      <c r="C7" s="76"/>
      <c r="D7" s="77"/>
      <c r="E7" s="76"/>
      <c r="F7" s="118">
        <v>-14.951000000000001</v>
      </c>
      <c r="G7" s="118">
        <v>38.768599999999999</v>
      </c>
      <c r="H7" s="118">
        <v>-8.2070000000000007</v>
      </c>
      <c r="I7" s="118">
        <v>36.855800000000002</v>
      </c>
      <c r="J7" s="274"/>
      <c r="K7" s="355"/>
      <c r="L7" s="355"/>
      <c r="M7" s="359"/>
      <c r="N7">
        <f t="shared" si="0"/>
        <v>0</v>
      </c>
    </row>
    <row r="8" spans="1:17" ht="30" customHeight="1" x14ac:dyDescent="0.3">
      <c r="A8" s="18">
        <v>4</v>
      </c>
      <c r="B8" s="394"/>
      <c r="C8" s="76"/>
      <c r="D8" s="77"/>
      <c r="E8" s="76"/>
      <c r="F8" s="118">
        <v>-14.539</v>
      </c>
      <c r="G8" s="118">
        <v>38.772399999999998</v>
      </c>
      <c r="H8" s="118">
        <v>-13.067</v>
      </c>
      <c r="I8" s="118">
        <v>38.723999999999997</v>
      </c>
      <c r="J8" s="274"/>
      <c r="K8" s="355"/>
      <c r="L8" s="355"/>
      <c r="M8" s="359"/>
      <c r="N8">
        <f t="shared" si="0"/>
        <v>0</v>
      </c>
    </row>
    <row r="9" spans="1:17" ht="30" customHeight="1" x14ac:dyDescent="0.3">
      <c r="A9" s="18">
        <v>5</v>
      </c>
      <c r="B9" s="394"/>
      <c r="C9" s="85"/>
      <c r="D9" s="86"/>
      <c r="E9" s="85"/>
      <c r="F9" s="117"/>
      <c r="G9" s="117"/>
      <c r="H9" s="117"/>
      <c r="I9" s="117"/>
      <c r="J9" s="117"/>
      <c r="K9" s="355"/>
      <c r="L9" s="355"/>
      <c r="M9" s="359"/>
      <c r="N9">
        <f t="shared" si="0"/>
        <v>0</v>
      </c>
    </row>
    <row r="10" spans="1:17" ht="30" customHeight="1" x14ac:dyDescent="0.3">
      <c r="A10" s="18">
        <v>6</v>
      </c>
      <c r="B10" s="394"/>
      <c r="C10" s="85"/>
      <c r="D10" s="86"/>
      <c r="E10" s="85"/>
      <c r="F10" s="117"/>
      <c r="G10" s="117"/>
      <c r="H10" s="117"/>
      <c r="I10" s="117"/>
      <c r="J10" s="117"/>
      <c r="K10" s="355"/>
      <c r="L10" s="355"/>
      <c r="M10" s="359"/>
      <c r="N10">
        <f t="shared" si="0"/>
        <v>0</v>
      </c>
    </row>
    <row r="11" spans="1:17" ht="30" customHeight="1" x14ac:dyDescent="0.3">
      <c r="A11" s="18">
        <v>7</v>
      </c>
      <c r="B11" s="394"/>
      <c r="C11" s="99" t="s">
        <v>63</v>
      </c>
      <c r="D11" s="12" t="s">
        <v>511</v>
      </c>
      <c r="E11" s="99"/>
      <c r="F11" s="116"/>
      <c r="G11" s="116"/>
      <c r="H11" s="116"/>
      <c r="I11" s="116"/>
      <c r="J11" s="122"/>
      <c r="K11" s="355"/>
      <c r="L11" s="355"/>
      <c r="M11" s="359"/>
      <c r="N11">
        <f t="shared" si="0"/>
        <v>1</v>
      </c>
    </row>
    <row r="12" spans="1:17" ht="30" customHeight="1" x14ac:dyDescent="0.3">
      <c r="A12" s="18">
        <v>8</v>
      </c>
      <c r="B12" s="394"/>
      <c r="C12" s="99" t="s">
        <v>27</v>
      </c>
      <c r="D12" s="12" t="s">
        <v>145</v>
      </c>
      <c r="E12" s="99"/>
      <c r="F12" s="116"/>
      <c r="G12" s="116"/>
      <c r="H12" s="116"/>
      <c r="I12" s="116"/>
      <c r="J12" s="122"/>
      <c r="K12" s="355"/>
      <c r="L12" s="355"/>
      <c r="M12" s="359"/>
      <c r="N12">
        <f t="shared" si="0"/>
        <v>1</v>
      </c>
    </row>
    <row r="13" spans="1:17" ht="30" customHeight="1" x14ac:dyDescent="0.3">
      <c r="A13" s="18">
        <v>9</v>
      </c>
      <c r="B13" s="394"/>
      <c r="C13" s="99" t="s">
        <v>25</v>
      </c>
      <c r="D13" s="12" t="s">
        <v>277</v>
      </c>
      <c r="E13" s="99"/>
      <c r="F13" s="116"/>
      <c r="G13" s="116"/>
      <c r="H13" s="116"/>
      <c r="I13" s="116"/>
      <c r="J13" s="122"/>
      <c r="K13" s="355"/>
      <c r="L13" s="355"/>
      <c r="M13" s="359"/>
      <c r="N13">
        <f t="shared" si="0"/>
        <v>1</v>
      </c>
      <c r="Q13" t="s">
        <v>167</v>
      </c>
    </row>
    <row r="14" spans="1:17" ht="30" customHeight="1" x14ac:dyDescent="0.3">
      <c r="A14" s="18">
        <v>10</v>
      </c>
      <c r="B14" s="394"/>
      <c r="C14" s="99" t="s">
        <v>25</v>
      </c>
      <c r="D14" s="12" t="s">
        <v>278</v>
      </c>
      <c r="E14" s="99"/>
      <c r="F14" s="116"/>
      <c r="G14" s="116"/>
      <c r="H14" s="116"/>
      <c r="I14" s="116"/>
      <c r="J14" s="122"/>
      <c r="K14" s="355"/>
      <c r="L14" s="355"/>
      <c r="M14" s="359"/>
      <c r="N14">
        <f t="shared" si="0"/>
        <v>1</v>
      </c>
    </row>
    <row r="15" spans="1:17" ht="30" customHeight="1" x14ac:dyDescent="0.3">
      <c r="A15" s="18">
        <v>11</v>
      </c>
      <c r="B15" s="394"/>
      <c r="C15" s="130" t="s">
        <v>27</v>
      </c>
      <c r="D15" s="12" t="s">
        <v>273</v>
      </c>
      <c r="E15" s="289"/>
      <c r="F15" s="290"/>
      <c r="G15" s="290"/>
      <c r="H15" s="290"/>
      <c r="I15" s="290"/>
      <c r="J15" s="290"/>
      <c r="K15" s="355"/>
      <c r="L15" s="355"/>
      <c r="M15" s="359"/>
      <c r="N15">
        <f t="shared" si="0"/>
        <v>1</v>
      </c>
    </row>
    <row r="16" spans="1:17" ht="30" customHeight="1" x14ac:dyDescent="0.3">
      <c r="A16" s="18">
        <v>12</v>
      </c>
      <c r="B16" s="394"/>
      <c r="C16" s="130" t="s">
        <v>27</v>
      </c>
      <c r="D16" s="12" t="s">
        <v>273</v>
      </c>
      <c r="E16" s="289"/>
      <c r="F16" s="290"/>
      <c r="G16" s="290"/>
      <c r="H16" s="290"/>
      <c r="I16" s="290"/>
      <c r="J16" s="290"/>
      <c r="K16" s="355"/>
      <c r="L16" s="355"/>
      <c r="M16" s="359"/>
      <c r="N16">
        <f t="shared" si="0"/>
        <v>1</v>
      </c>
    </row>
    <row r="17" spans="1:16" ht="30" customHeight="1" x14ac:dyDescent="0.3">
      <c r="A17" s="18">
        <v>13</v>
      </c>
      <c r="B17" s="394"/>
      <c r="C17" s="99" t="s">
        <v>63</v>
      </c>
      <c r="D17" s="12" t="s">
        <v>512</v>
      </c>
      <c r="E17" s="99"/>
      <c r="F17" s="116"/>
      <c r="G17" s="116"/>
      <c r="H17" s="116"/>
      <c r="I17" s="116"/>
      <c r="J17" s="122"/>
      <c r="K17" s="355"/>
      <c r="L17" s="355"/>
      <c r="M17" s="359"/>
      <c r="N17">
        <f t="shared" si="0"/>
        <v>1</v>
      </c>
    </row>
    <row r="18" spans="1:16" ht="30" customHeight="1" x14ac:dyDescent="0.3">
      <c r="A18" s="18">
        <v>14</v>
      </c>
      <c r="B18" s="394"/>
      <c r="C18" s="76"/>
      <c r="D18" s="77"/>
      <c r="E18" s="76"/>
      <c r="F18" s="118">
        <v>-14.736000000000001</v>
      </c>
      <c r="G18" s="118">
        <v>38.776200000000003</v>
      </c>
      <c r="H18" s="118">
        <v>-8.8149999999999995</v>
      </c>
      <c r="I18" s="118">
        <v>38.772500000000001</v>
      </c>
      <c r="J18" s="118"/>
      <c r="K18" s="355"/>
      <c r="L18" s="355"/>
      <c r="M18" s="359"/>
      <c r="N18">
        <f t="shared" si="0"/>
        <v>0</v>
      </c>
    </row>
    <row r="19" spans="1:16" ht="30" customHeight="1" x14ac:dyDescent="0.3">
      <c r="A19" s="18">
        <v>15</v>
      </c>
      <c r="B19" s="394"/>
      <c r="C19" s="76"/>
      <c r="D19" s="77"/>
      <c r="E19" s="76"/>
      <c r="F19" s="118">
        <v>-14.089</v>
      </c>
      <c r="G19" s="118">
        <v>38.725099999999998</v>
      </c>
      <c r="H19" s="118">
        <v>-8.766</v>
      </c>
      <c r="I19" s="118">
        <v>38.723999999999997</v>
      </c>
      <c r="J19" s="118"/>
      <c r="K19" s="355"/>
      <c r="L19" s="355"/>
      <c r="M19" s="359"/>
      <c r="N19">
        <f t="shared" si="0"/>
        <v>0</v>
      </c>
    </row>
    <row r="20" spans="1:16" ht="30" customHeight="1" x14ac:dyDescent="0.3">
      <c r="A20" s="18">
        <v>16</v>
      </c>
      <c r="B20" s="394"/>
      <c r="C20" s="76"/>
      <c r="D20" s="77"/>
      <c r="E20" s="76"/>
      <c r="F20" s="142">
        <v>-14.667999999999999</v>
      </c>
      <c r="G20" s="142">
        <v>38.768599999999999</v>
      </c>
      <c r="H20" s="142">
        <v>-8.1189999999999998</v>
      </c>
      <c r="I20" s="142">
        <v>36.863500000000002</v>
      </c>
      <c r="J20" s="118"/>
      <c r="K20" s="355"/>
      <c r="L20" s="355"/>
      <c r="M20" s="359"/>
      <c r="N20">
        <f t="shared" si="0"/>
        <v>0</v>
      </c>
    </row>
    <row r="21" spans="1:16" ht="30" customHeight="1" x14ac:dyDescent="0.3">
      <c r="A21" s="18">
        <v>17</v>
      </c>
      <c r="B21" s="394"/>
      <c r="C21" s="85" t="s">
        <v>26</v>
      </c>
      <c r="D21" s="86" t="s">
        <v>500</v>
      </c>
      <c r="E21" s="85"/>
      <c r="F21" s="117"/>
      <c r="G21" s="117"/>
      <c r="H21" s="117"/>
      <c r="I21" s="117"/>
      <c r="J21" s="121"/>
      <c r="K21" s="355"/>
      <c r="L21" s="355"/>
      <c r="M21" s="359"/>
      <c r="N21">
        <f t="shared" si="0"/>
        <v>1</v>
      </c>
    </row>
    <row r="22" spans="1:16" ht="30" customHeight="1" x14ac:dyDescent="0.3">
      <c r="A22" s="18">
        <v>18</v>
      </c>
      <c r="B22" s="394"/>
      <c r="C22" s="85" t="s">
        <v>26</v>
      </c>
      <c r="D22" s="86" t="s">
        <v>499</v>
      </c>
      <c r="E22" s="85"/>
      <c r="F22" s="117"/>
      <c r="G22" s="117"/>
      <c r="H22" s="117"/>
      <c r="I22" s="117"/>
      <c r="J22" s="121"/>
      <c r="K22" s="355"/>
      <c r="L22" s="355"/>
      <c r="M22" s="359"/>
      <c r="N22">
        <f t="shared" si="0"/>
        <v>1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-8.3160000000000007</v>
      </c>
      <c r="G23" s="118">
        <v>22.458400000000001</v>
      </c>
      <c r="H23" s="118">
        <v>-4.9960000000000004</v>
      </c>
      <c r="I23" s="118">
        <v>22.457799999999999</v>
      </c>
      <c r="J23" s="274" t="s">
        <v>731</v>
      </c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99" t="s">
        <v>27</v>
      </c>
      <c r="D24" s="12" t="s">
        <v>145</v>
      </c>
      <c r="E24" s="99"/>
      <c r="F24" s="116"/>
      <c r="G24" s="116"/>
      <c r="H24" s="116"/>
      <c r="I24" s="116"/>
      <c r="J24" s="122"/>
      <c r="K24" s="355"/>
      <c r="L24" s="355"/>
      <c r="M24" s="359"/>
      <c r="N24">
        <f t="shared" si="0"/>
        <v>1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/>
      <c r="G25" s="118"/>
      <c r="H25" s="118"/>
      <c r="I25" s="118"/>
      <c r="J25" s="274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/>
      <c r="G26" s="118"/>
      <c r="H26" s="118"/>
      <c r="I26" s="118"/>
      <c r="J26" s="274"/>
      <c r="K26" s="355"/>
      <c r="L26" s="355"/>
      <c r="M26" s="359"/>
      <c r="N26">
        <f t="shared" si="0"/>
        <v>0</v>
      </c>
    </row>
    <row r="27" spans="1:16" ht="30" customHeight="1" x14ac:dyDescent="0.3">
      <c r="A27" s="18">
        <v>23</v>
      </c>
      <c r="B27" s="394"/>
      <c r="C27" s="76"/>
      <c r="D27" s="77"/>
      <c r="E27" s="76"/>
      <c r="F27" s="118"/>
      <c r="G27" s="118"/>
      <c r="H27" s="118"/>
      <c r="I27" s="118"/>
      <c r="J27" s="274"/>
      <c r="K27" s="355"/>
      <c r="L27" s="355"/>
      <c r="M27" s="359"/>
      <c r="N27">
        <f t="shared" si="0"/>
        <v>0</v>
      </c>
    </row>
    <row r="28" spans="1:16" ht="30" customHeight="1" thickBot="1" x14ac:dyDescent="0.35">
      <c r="A28" s="21">
        <v>24</v>
      </c>
      <c r="B28" s="395"/>
      <c r="C28" s="82"/>
      <c r="D28" s="147"/>
      <c r="E28" s="82"/>
      <c r="F28" s="148"/>
      <c r="G28" s="148"/>
      <c r="H28" s="148"/>
      <c r="I28" s="148"/>
      <c r="J28" s="291"/>
      <c r="K28" s="356"/>
      <c r="L28" s="356"/>
      <c r="M28" s="360"/>
      <c r="N28">
        <f t="shared" si="0"/>
        <v>0</v>
      </c>
      <c r="O28">
        <f>SUM(F9:F10,F15:F16,F18:F20)/7</f>
        <v>-6.213285714285715</v>
      </c>
      <c r="P28">
        <f>SUM(H9:H10,H15:H16,H18:H20)/7</f>
        <v>-3.6714285714285713</v>
      </c>
    </row>
    <row r="29" spans="1:16" ht="30.95" customHeight="1" x14ac:dyDescent="0.3">
      <c r="A29" s="374" t="s">
        <v>8</v>
      </c>
      <c r="B29" s="325"/>
      <c r="C29" s="325"/>
      <c r="D29" s="232" t="s">
        <v>11</v>
      </c>
      <c r="E29" s="232" t="s">
        <v>12</v>
      </c>
      <c r="F29" s="338" t="s">
        <v>723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657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31" t="s">
        <v>638</v>
      </c>
      <c r="G31" s="214">
        <f>전송손실!M16</f>
        <v>-8.6464639999999982</v>
      </c>
      <c r="H31" s="231" t="s">
        <v>638</v>
      </c>
      <c r="I31" s="214">
        <f>전송손실!M42</f>
        <v>-5.7617279999999997</v>
      </c>
      <c r="J31" s="369"/>
      <c r="K31" s="332"/>
      <c r="L31" s="332"/>
      <c r="M31" s="332"/>
    </row>
    <row r="32" spans="1:16" ht="30.95" customHeight="1" thickBot="1" x14ac:dyDescent="0.35">
      <c r="A32" s="234" t="s">
        <v>0</v>
      </c>
      <c r="B32" s="234" t="s">
        <v>1</v>
      </c>
      <c r="C32" s="234" t="s">
        <v>23</v>
      </c>
      <c r="D32" s="234" t="s">
        <v>2</v>
      </c>
      <c r="E32" s="234" t="s">
        <v>3</v>
      </c>
      <c r="F32" s="234" t="s">
        <v>4</v>
      </c>
      <c r="G32" s="234" t="s">
        <v>506</v>
      </c>
      <c r="H32" s="234" t="s">
        <v>4</v>
      </c>
      <c r="I32" s="234" t="s">
        <v>506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64">
        <v>1</v>
      </c>
      <c r="B33" s="346" t="s">
        <v>251</v>
      </c>
      <c r="C33" s="62" t="s">
        <v>356</v>
      </c>
      <c r="D33" s="17" t="s">
        <v>256</v>
      </c>
      <c r="E33" s="62"/>
      <c r="F33" s="123"/>
      <c r="G33" s="123"/>
      <c r="H33" s="123"/>
      <c r="I33" s="123"/>
      <c r="J33" s="124"/>
      <c r="K33" s="354" t="s">
        <v>464</v>
      </c>
      <c r="L33" s="354" t="s">
        <v>465</v>
      </c>
      <c r="M33" s="361"/>
      <c r="N33">
        <f t="shared" si="0"/>
        <v>1</v>
      </c>
    </row>
    <row r="34" spans="1:14" ht="30.95" customHeight="1" x14ac:dyDescent="0.3">
      <c r="A34" s="18">
        <v>2</v>
      </c>
      <c r="B34" s="346"/>
      <c r="C34" s="35" t="s">
        <v>356</v>
      </c>
      <c r="D34" s="12" t="s">
        <v>257</v>
      </c>
      <c r="E34" s="35"/>
      <c r="F34" s="116"/>
      <c r="G34" s="116"/>
      <c r="H34" s="116"/>
      <c r="I34" s="116"/>
      <c r="J34" s="122"/>
      <c r="K34" s="355"/>
      <c r="L34" s="355"/>
      <c r="M34" s="359"/>
      <c r="N34">
        <f t="shared" si="0"/>
        <v>1</v>
      </c>
    </row>
    <row r="35" spans="1:14" ht="30.95" customHeight="1" x14ac:dyDescent="0.3">
      <c r="A35" s="18">
        <v>3</v>
      </c>
      <c r="B35" s="346"/>
      <c r="C35" s="35" t="s">
        <v>356</v>
      </c>
      <c r="D35" s="12" t="s">
        <v>258</v>
      </c>
      <c r="E35" s="35"/>
      <c r="F35" s="116"/>
      <c r="G35" s="116"/>
      <c r="H35" s="116"/>
      <c r="I35" s="116"/>
      <c r="J35" s="122"/>
      <c r="K35" s="355"/>
      <c r="L35" s="355"/>
      <c r="M35" s="359"/>
      <c r="N35">
        <f t="shared" si="0"/>
        <v>1</v>
      </c>
    </row>
    <row r="36" spans="1:14" ht="30.95" customHeight="1" x14ac:dyDescent="0.3">
      <c r="A36" s="18">
        <v>4</v>
      </c>
      <c r="B36" s="346"/>
      <c r="C36" s="35" t="s">
        <v>356</v>
      </c>
      <c r="D36" s="12" t="s">
        <v>259</v>
      </c>
      <c r="E36" s="35"/>
      <c r="F36" s="116"/>
      <c r="G36" s="116"/>
      <c r="H36" s="116"/>
      <c r="I36" s="116"/>
      <c r="J36" s="122"/>
      <c r="K36" s="355"/>
      <c r="L36" s="355"/>
      <c r="M36" s="359"/>
      <c r="N36">
        <f t="shared" si="0"/>
        <v>1</v>
      </c>
    </row>
    <row r="37" spans="1:14" ht="30.95" customHeight="1" x14ac:dyDescent="0.3">
      <c r="A37" s="18">
        <v>5</v>
      </c>
      <c r="B37" s="346"/>
      <c r="C37" s="35" t="s">
        <v>358</v>
      </c>
      <c r="D37" s="12" t="s">
        <v>260</v>
      </c>
      <c r="E37" s="35"/>
      <c r="F37" s="116"/>
      <c r="G37" s="116"/>
      <c r="H37" s="116"/>
      <c r="I37" s="116"/>
      <c r="J37" s="122"/>
      <c r="K37" s="355"/>
      <c r="L37" s="355"/>
      <c r="M37" s="359"/>
      <c r="N37">
        <f t="shared" si="0"/>
        <v>1</v>
      </c>
    </row>
    <row r="38" spans="1:14" ht="30.95" customHeight="1" x14ac:dyDescent="0.3">
      <c r="A38" s="18">
        <v>6</v>
      </c>
      <c r="B38" s="346"/>
      <c r="C38" s="35" t="s">
        <v>358</v>
      </c>
      <c r="D38" s="12" t="s">
        <v>260</v>
      </c>
      <c r="E38" s="35"/>
      <c r="F38" s="116"/>
      <c r="G38" s="116"/>
      <c r="H38" s="116"/>
      <c r="I38" s="116"/>
      <c r="J38" s="122"/>
      <c r="K38" s="355"/>
      <c r="L38" s="355"/>
      <c r="M38" s="359"/>
      <c r="N38">
        <f t="shared" si="0"/>
        <v>1</v>
      </c>
    </row>
    <row r="39" spans="1:14" ht="30.95" customHeight="1" x14ac:dyDescent="0.3">
      <c r="A39" s="18">
        <v>7</v>
      </c>
      <c r="B39" s="346"/>
      <c r="C39" s="35" t="s">
        <v>356</v>
      </c>
      <c r="D39" s="12" t="s">
        <v>261</v>
      </c>
      <c r="E39" s="35"/>
      <c r="F39" s="116"/>
      <c r="G39" s="116"/>
      <c r="H39" s="116"/>
      <c r="I39" s="116"/>
      <c r="J39" s="122"/>
      <c r="K39" s="355"/>
      <c r="L39" s="355"/>
      <c r="M39" s="359"/>
      <c r="N39">
        <f t="shared" si="0"/>
        <v>1</v>
      </c>
    </row>
    <row r="40" spans="1:14" ht="30.95" customHeight="1" x14ac:dyDescent="0.3">
      <c r="A40" s="18">
        <v>8</v>
      </c>
      <c r="B40" s="346"/>
      <c r="C40" s="35" t="s">
        <v>356</v>
      </c>
      <c r="D40" s="12" t="s">
        <v>262</v>
      </c>
      <c r="E40" s="35"/>
      <c r="F40" s="116"/>
      <c r="G40" s="116"/>
      <c r="H40" s="116"/>
      <c r="I40" s="116"/>
      <c r="J40" s="122"/>
      <c r="K40" s="355"/>
      <c r="L40" s="355"/>
      <c r="M40" s="359"/>
      <c r="N40">
        <f t="shared" si="0"/>
        <v>1</v>
      </c>
    </row>
    <row r="41" spans="1:14" ht="30.95" customHeight="1" x14ac:dyDescent="0.3">
      <c r="A41" s="18">
        <v>9</v>
      </c>
      <c r="B41" s="346"/>
      <c r="C41" s="76"/>
      <c r="D41" s="77"/>
      <c r="E41" s="76"/>
      <c r="F41" s="118">
        <v>-7.1820000000000004</v>
      </c>
      <c r="G41" s="118">
        <v>18.463799999999999</v>
      </c>
      <c r="H41" s="118">
        <v>-5.2770000000000001</v>
      </c>
      <c r="I41" s="118">
        <v>18.462399999999999</v>
      </c>
      <c r="J41" s="118"/>
      <c r="K41" s="355"/>
      <c r="L41" s="355"/>
      <c r="M41" s="359"/>
      <c r="N41">
        <f t="shared" si="0"/>
        <v>0</v>
      </c>
    </row>
    <row r="42" spans="1:14" ht="30.95" customHeight="1" x14ac:dyDescent="0.3">
      <c r="A42" s="18">
        <v>10</v>
      </c>
      <c r="B42" s="346"/>
      <c r="C42" s="35" t="s">
        <v>360</v>
      </c>
      <c r="D42" s="12" t="s">
        <v>263</v>
      </c>
      <c r="E42" s="35"/>
      <c r="F42" s="116"/>
      <c r="G42" s="116"/>
      <c r="H42" s="116"/>
      <c r="I42" s="116"/>
      <c r="J42" s="122"/>
      <c r="K42" s="355"/>
      <c r="L42" s="355"/>
      <c r="M42" s="359"/>
      <c r="N42">
        <f t="shared" si="0"/>
        <v>1</v>
      </c>
    </row>
    <row r="43" spans="1:14" ht="30.95" customHeight="1" x14ac:dyDescent="0.3">
      <c r="A43" s="18">
        <v>11</v>
      </c>
      <c r="B43" s="346"/>
      <c r="C43" s="76"/>
      <c r="D43" s="77" t="s">
        <v>675</v>
      </c>
      <c r="E43" s="76"/>
      <c r="F43" s="118">
        <v>-16.186</v>
      </c>
      <c r="G43" s="118">
        <v>37.994900000000001</v>
      </c>
      <c r="H43" s="118">
        <v>-12.335000000000001</v>
      </c>
      <c r="I43" s="118">
        <v>37.994100000000003</v>
      </c>
      <c r="J43" s="118"/>
      <c r="K43" s="355"/>
      <c r="L43" s="355"/>
      <c r="M43" s="359"/>
      <c r="N43">
        <f t="shared" si="0"/>
        <v>0</v>
      </c>
    </row>
    <row r="44" spans="1:14" ht="30.95" customHeight="1" x14ac:dyDescent="0.3">
      <c r="A44" s="18">
        <v>12</v>
      </c>
      <c r="B44" s="346"/>
      <c r="C44" s="76"/>
      <c r="D44" s="77" t="s">
        <v>675</v>
      </c>
      <c r="E44" s="76"/>
      <c r="F44" s="118">
        <v>-15.907</v>
      </c>
      <c r="G44" s="118">
        <v>37.993600000000001</v>
      </c>
      <c r="H44" s="118">
        <v>-12.016999999999999</v>
      </c>
      <c r="I44" s="118">
        <v>37.996600000000001</v>
      </c>
      <c r="J44" s="118"/>
      <c r="K44" s="355"/>
      <c r="L44" s="355"/>
      <c r="M44" s="359"/>
      <c r="N44">
        <f t="shared" si="0"/>
        <v>0</v>
      </c>
    </row>
    <row r="45" spans="1:14" ht="30.95" customHeight="1" x14ac:dyDescent="0.3">
      <c r="A45" s="18">
        <v>13</v>
      </c>
      <c r="B45" s="346"/>
      <c r="C45" s="76"/>
      <c r="D45" s="77"/>
      <c r="E45" s="76"/>
      <c r="F45" s="118">
        <v>-7.4820000000000002</v>
      </c>
      <c r="G45" s="118">
        <v>17.431000000000001</v>
      </c>
      <c r="H45" s="118">
        <v>-9.7159999999999993</v>
      </c>
      <c r="I45" s="118">
        <v>35.7864</v>
      </c>
      <c r="J45" s="274"/>
      <c r="K45" s="355"/>
      <c r="L45" s="355"/>
      <c r="M45" s="359"/>
      <c r="N45">
        <f t="shared" si="0"/>
        <v>0</v>
      </c>
    </row>
    <row r="46" spans="1:14" s="11" customFormat="1" ht="30.95" customHeight="1" x14ac:dyDescent="0.3">
      <c r="A46" s="18">
        <v>14</v>
      </c>
      <c r="B46" s="346"/>
      <c r="C46" s="76"/>
      <c r="D46" s="77"/>
      <c r="E46" s="76"/>
      <c r="F46" s="118">
        <v>-15.686</v>
      </c>
      <c r="G46" s="118">
        <v>40.006900000000002</v>
      </c>
      <c r="H46" s="118">
        <v>-11.260999999999999</v>
      </c>
      <c r="I46" s="118">
        <v>39.989899999999999</v>
      </c>
      <c r="J46" s="274"/>
      <c r="K46" s="355"/>
      <c r="L46" s="355"/>
      <c r="M46" s="359"/>
      <c r="N46">
        <f t="shared" si="0"/>
        <v>0</v>
      </c>
    </row>
    <row r="47" spans="1:14" s="11" customFormat="1" ht="30.95" customHeight="1" x14ac:dyDescent="0.3">
      <c r="A47" s="18">
        <v>15</v>
      </c>
      <c r="B47" s="346"/>
      <c r="C47" s="35" t="s">
        <v>358</v>
      </c>
      <c r="D47" s="12" t="s">
        <v>252</v>
      </c>
      <c r="E47" s="35"/>
      <c r="F47" s="116"/>
      <c r="G47" s="116"/>
      <c r="H47" s="116"/>
      <c r="I47" s="116"/>
      <c r="J47" s="122"/>
      <c r="K47" s="355"/>
      <c r="L47" s="355"/>
      <c r="M47" s="359"/>
      <c r="N47">
        <f t="shared" si="0"/>
        <v>1</v>
      </c>
    </row>
    <row r="48" spans="1:14" s="11" customFormat="1" ht="30.95" customHeight="1" x14ac:dyDescent="0.3">
      <c r="A48" s="18">
        <v>16</v>
      </c>
      <c r="B48" s="346"/>
      <c r="C48" s="35" t="s">
        <v>358</v>
      </c>
      <c r="D48" s="12" t="s">
        <v>252</v>
      </c>
      <c r="E48" s="35"/>
      <c r="F48" s="116"/>
      <c r="G48" s="116"/>
      <c r="H48" s="116"/>
      <c r="I48" s="116"/>
      <c r="J48" s="122"/>
      <c r="K48" s="355"/>
      <c r="L48" s="355"/>
      <c r="M48" s="359"/>
      <c r="N48">
        <f t="shared" si="0"/>
        <v>1</v>
      </c>
    </row>
    <row r="49" spans="1:16" s="11" customFormat="1" ht="30.95" customHeight="1" x14ac:dyDescent="0.3">
      <c r="A49" s="18">
        <v>17</v>
      </c>
      <c r="B49" s="346"/>
      <c r="C49" s="35" t="s">
        <v>356</v>
      </c>
      <c r="D49" s="12" t="s">
        <v>266</v>
      </c>
      <c r="E49" s="35"/>
      <c r="F49" s="116"/>
      <c r="G49" s="116"/>
      <c r="H49" s="116"/>
      <c r="I49" s="116"/>
      <c r="J49" s="122"/>
      <c r="K49" s="355"/>
      <c r="L49" s="355"/>
      <c r="M49" s="359"/>
      <c r="N49">
        <f t="shared" si="0"/>
        <v>1</v>
      </c>
    </row>
    <row r="50" spans="1:16" s="11" customFormat="1" ht="30.95" customHeight="1" x14ac:dyDescent="0.3">
      <c r="A50" s="18">
        <v>18</v>
      </c>
      <c r="B50" s="346"/>
      <c r="C50" s="35" t="s">
        <v>356</v>
      </c>
      <c r="D50" s="12" t="s">
        <v>267</v>
      </c>
      <c r="E50" s="35"/>
      <c r="F50" s="116"/>
      <c r="G50" s="116"/>
      <c r="H50" s="116"/>
      <c r="I50" s="116"/>
      <c r="J50" s="122"/>
      <c r="K50" s="355"/>
      <c r="L50" s="355"/>
      <c r="M50" s="359"/>
      <c r="N50">
        <f t="shared" si="0"/>
        <v>1</v>
      </c>
    </row>
    <row r="51" spans="1:16" s="11" customFormat="1" ht="30.95" customHeight="1" x14ac:dyDescent="0.3">
      <c r="A51" s="18">
        <v>19</v>
      </c>
      <c r="B51" s="346"/>
      <c r="C51" s="76"/>
      <c r="D51" s="77"/>
      <c r="E51" s="76"/>
      <c r="F51" s="118">
        <v>-7.1440000000000001</v>
      </c>
      <c r="G51" s="118">
        <v>18.4651</v>
      </c>
      <c r="H51" s="118">
        <v>-5.032</v>
      </c>
      <c r="I51" s="118">
        <v>18.462399999999999</v>
      </c>
      <c r="J51" s="118"/>
      <c r="K51" s="355"/>
      <c r="L51" s="355"/>
      <c r="M51" s="359"/>
      <c r="N51">
        <f t="shared" si="0"/>
        <v>0</v>
      </c>
    </row>
    <row r="52" spans="1:16" s="11" customFormat="1" ht="30.95" customHeight="1" x14ac:dyDescent="0.3">
      <c r="A52" s="18">
        <v>20</v>
      </c>
      <c r="B52" s="346"/>
      <c r="C52" s="76"/>
      <c r="D52" s="77"/>
      <c r="E52" s="76"/>
      <c r="F52" s="118">
        <v>-9.4710000000000001</v>
      </c>
      <c r="G52" s="118">
        <v>18.46</v>
      </c>
      <c r="H52" s="118">
        <v>-7.4690000000000003</v>
      </c>
      <c r="I52" s="118">
        <v>18.4572</v>
      </c>
      <c r="J52" s="118"/>
      <c r="K52" s="355"/>
      <c r="L52" s="355"/>
      <c r="M52" s="359"/>
      <c r="N52">
        <f t="shared" si="0"/>
        <v>0</v>
      </c>
    </row>
    <row r="53" spans="1:16" s="11" customFormat="1" ht="30.95" customHeight="1" x14ac:dyDescent="0.3">
      <c r="A53" s="18">
        <v>21</v>
      </c>
      <c r="B53" s="346"/>
      <c r="C53" s="76"/>
      <c r="D53" s="77"/>
      <c r="E53" s="76"/>
      <c r="F53" s="118">
        <v>-7.218</v>
      </c>
      <c r="G53" s="118">
        <v>18.4651</v>
      </c>
      <c r="H53" s="118">
        <v>-4.74</v>
      </c>
      <c r="I53" s="118">
        <v>18.462399999999999</v>
      </c>
      <c r="J53" s="118"/>
      <c r="K53" s="355"/>
      <c r="L53" s="355"/>
      <c r="M53" s="359"/>
      <c r="N53">
        <f t="shared" si="0"/>
        <v>0</v>
      </c>
    </row>
    <row r="54" spans="1:16" s="11" customFormat="1" ht="30.95" customHeight="1" x14ac:dyDescent="0.3">
      <c r="A54" s="18">
        <v>22</v>
      </c>
      <c r="B54" s="346"/>
      <c r="C54" s="76"/>
      <c r="D54" s="77"/>
      <c r="E54" s="76"/>
      <c r="F54" s="118">
        <v>-7.1390000000000002</v>
      </c>
      <c r="G54" s="118">
        <v>18.463799999999999</v>
      </c>
      <c r="H54" s="118">
        <v>-4.8239999999999998</v>
      </c>
      <c r="I54" s="118">
        <v>18.461099999999998</v>
      </c>
      <c r="J54" s="118"/>
      <c r="K54" s="355"/>
      <c r="L54" s="355"/>
      <c r="M54" s="359"/>
      <c r="N54">
        <f t="shared" si="0"/>
        <v>0</v>
      </c>
    </row>
    <row r="55" spans="1:16" s="11" customFormat="1" ht="30.95" customHeight="1" x14ac:dyDescent="0.3">
      <c r="A55" s="18">
        <v>23</v>
      </c>
      <c r="B55" s="346"/>
      <c r="C55" s="76"/>
      <c r="D55" s="77" t="s">
        <v>675</v>
      </c>
      <c r="E55" s="76"/>
      <c r="F55" s="118">
        <v>-7.2640000000000002</v>
      </c>
      <c r="G55" s="118">
        <v>18.4651</v>
      </c>
      <c r="H55" s="118">
        <v>-4.8479999999999999</v>
      </c>
      <c r="I55" s="118">
        <v>18.462399999999999</v>
      </c>
      <c r="J55" s="118"/>
      <c r="K55" s="355"/>
      <c r="L55" s="355"/>
      <c r="M55" s="359"/>
      <c r="N55">
        <f t="shared" si="0"/>
        <v>0</v>
      </c>
    </row>
    <row r="56" spans="1:16" s="11" customFormat="1" ht="30.95" customHeight="1" thickBot="1" x14ac:dyDescent="0.35">
      <c r="A56" s="21">
        <v>24</v>
      </c>
      <c r="B56" s="347"/>
      <c r="C56" s="82"/>
      <c r="D56" s="77" t="s">
        <v>675</v>
      </c>
      <c r="E56" s="82"/>
      <c r="F56" s="148">
        <v>-17.693000000000001</v>
      </c>
      <c r="G56" s="148">
        <v>37.997500000000002</v>
      </c>
      <c r="H56" s="148">
        <v>-13.808999999999999</v>
      </c>
      <c r="I56" s="148">
        <v>37.996600000000001</v>
      </c>
      <c r="J56" s="118"/>
      <c r="K56" s="356"/>
      <c r="L56" s="356"/>
      <c r="M56" s="360"/>
      <c r="N56">
        <f t="shared" si="0"/>
        <v>0</v>
      </c>
      <c r="O56" s="11">
        <f>SUM(F41,F51:F54)/5</f>
        <v>-7.6308000000000007</v>
      </c>
      <c r="P56" s="11">
        <f>SUM(H41,H51,H52:H54)/5</f>
        <v>-5.4683999999999999</v>
      </c>
    </row>
    <row r="57" spans="1:16" s="11" customFormat="1" ht="30.95" customHeight="1" x14ac:dyDescent="0.3">
      <c r="A57" s="25">
        <v>1</v>
      </c>
      <c r="B57" s="409" t="s">
        <v>439</v>
      </c>
      <c r="C57" s="41" t="s">
        <v>359</v>
      </c>
      <c r="D57" s="26" t="s">
        <v>264</v>
      </c>
      <c r="E57" s="41"/>
      <c r="F57" s="27"/>
      <c r="G57" s="27"/>
      <c r="H57" s="27"/>
      <c r="I57" s="27"/>
      <c r="J57" s="50"/>
      <c r="K57" s="27"/>
      <c r="L57" s="27"/>
      <c r="M57" s="28"/>
      <c r="N57"/>
    </row>
    <row r="58" spans="1:16" s="11" customFormat="1" ht="30.95" customHeight="1" x14ac:dyDescent="0.3">
      <c r="A58" s="20">
        <v>2</v>
      </c>
      <c r="B58" s="346"/>
      <c r="C58" s="38" t="s">
        <v>359</v>
      </c>
      <c r="D58" s="12" t="s">
        <v>265</v>
      </c>
      <c r="E58" s="38"/>
      <c r="F58" s="36"/>
      <c r="G58" s="36"/>
      <c r="H58" s="36"/>
      <c r="I58" s="36"/>
      <c r="J58" s="56"/>
      <c r="K58" s="36"/>
      <c r="L58" s="36"/>
      <c r="M58" s="19"/>
      <c r="N58"/>
    </row>
    <row r="59" spans="1:16" s="11" customFormat="1" ht="30.95" customHeight="1" x14ac:dyDescent="0.3">
      <c r="A59" s="18">
        <v>3</v>
      </c>
      <c r="B59" s="346"/>
      <c r="C59" s="35"/>
      <c r="D59" s="12"/>
      <c r="E59" s="35"/>
      <c r="F59" s="39"/>
      <c r="G59" s="39"/>
      <c r="H59" s="39"/>
      <c r="I59" s="39"/>
      <c r="J59" s="51"/>
      <c r="K59" s="39"/>
      <c r="L59" s="39"/>
      <c r="M59" s="19"/>
      <c r="N59"/>
    </row>
    <row r="60" spans="1:16" s="11" customFormat="1" ht="30.95" customHeight="1" x14ac:dyDescent="0.3">
      <c r="A60" s="18">
        <v>4</v>
      </c>
      <c r="B60" s="346"/>
      <c r="C60" s="35"/>
      <c r="D60" s="12"/>
      <c r="E60" s="35"/>
      <c r="F60" s="39"/>
      <c r="G60" s="39"/>
      <c r="H60" s="39"/>
      <c r="I60" s="39"/>
      <c r="J60" s="51"/>
      <c r="K60" s="39"/>
      <c r="L60" s="39"/>
      <c r="M60" s="19"/>
      <c r="N60"/>
    </row>
    <row r="61" spans="1:16" s="11" customFormat="1" ht="30.95" customHeight="1" x14ac:dyDescent="0.3">
      <c r="A61" s="18">
        <v>5</v>
      </c>
      <c r="B61" s="346"/>
      <c r="C61" s="35" t="s">
        <v>358</v>
      </c>
      <c r="D61" s="12" t="s">
        <v>260</v>
      </c>
      <c r="E61" s="35"/>
      <c r="F61" s="39"/>
      <c r="G61" s="39"/>
      <c r="H61" s="39"/>
      <c r="I61" s="39"/>
      <c r="J61" s="51"/>
      <c r="K61" s="39"/>
      <c r="L61" s="39"/>
      <c r="M61" s="19"/>
      <c r="N61"/>
    </row>
    <row r="62" spans="1:16" s="11" customFormat="1" ht="30.95" customHeight="1" x14ac:dyDescent="0.3">
      <c r="A62" s="18">
        <v>6</v>
      </c>
      <c r="B62" s="346"/>
      <c r="C62" s="35" t="s">
        <v>358</v>
      </c>
      <c r="D62" s="12" t="s">
        <v>260</v>
      </c>
      <c r="E62" s="35"/>
      <c r="F62" s="39"/>
      <c r="G62" s="39"/>
      <c r="H62" s="39"/>
      <c r="I62" s="39"/>
      <c r="J62" s="51"/>
      <c r="K62" s="39"/>
      <c r="L62" s="39"/>
      <c r="M62" s="19"/>
      <c r="N62"/>
    </row>
    <row r="63" spans="1:16" s="11" customFormat="1" ht="30.95" customHeight="1" x14ac:dyDescent="0.3">
      <c r="A63" s="18">
        <v>7</v>
      </c>
      <c r="B63" s="346"/>
      <c r="C63" s="35"/>
      <c r="D63" s="12"/>
      <c r="E63" s="35"/>
      <c r="F63" s="39"/>
      <c r="G63" s="39"/>
      <c r="H63" s="39"/>
      <c r="I63" s="39"/>
      <c r="J63" s="51"/>
      <c r="K63" s="39"/>
      <c r="L63" s="39"/>
      <c r="M63" s="19"/>
      <c r="N63"/>
    </row>
    <row r="64" spans="1:16" s="11" customFormat="1" ht="30.95" customHeight="1" x14ac:dyDescent="0.3">
      <c r="A64" s="18">
        <v>8</v>
      </c>
      <c r="B64" s="346"/>
      <c r="C64" s="35"/>
      <c r="D64" s="12"/>
      <c r="E64" s="35"/>
      <c r="F64" s="39"/>
      <c r="G64" s="39"/>
      <c r="H64" s="39"/>
      <c r="I64" s="39"/>
      <c r="J64" s="51"/>
      <c r="K64" s="39"/>
      <c r="L64" s="39"/>
      <c r="M64" s="19"/>
      <c r="N64"/>
    </row>
    <row r="65" spans="1:14" s="11" customFormat="1" ht="30.95" customHeight="1" x14ac:dyDescent="0.3">
      <c r="A65" s="18">
        <v>9</v>
      </c>
      <c r="B65" s="346"/>
      <c r="C65" s="35"/>
      <c r="D65" s="12"/>
      <c r="E65" s="35"/>
      <c r="F65" s="39"/>
      <c r="G65" s="39"/>
      <c r="H65" s="39"/>
      <c r="I65" s="39"/>
      <c r="J65" s="51"/>
      <c r="K65" s="39"/>
      <c r="L65" s="39"/>
      <c r="M65" s="19"/>
      <c r="N65"/>
    </row>
    <row r="66" spans="1:14" s="11" customFormat="1" ht="30.95" customHeight="1" x14ac:dyDescent="0.3">
      <c r="A66" s="18">
        <v>10</v>
      </c>
      <c r="B66" s="346"/>
      <c r="C66" s="35"/>
      <c r="D66" s="12"/>
      <c r="E66" s="35"/>
      <c r="F66" s="39"/>
      <c r="G66" s="39"/>
      <c r="H66" s="39"/>
      <c r="I66" s="39"/>
      <c r="J66" s="51"/>
      <c r="K66" s="39"/>
      <c r="L66" s="39"/>
      <c r="M66" s="19"/>
      <c r="N66"/>
    </row>
    <row r="67" spans="1:14" s="11" customFormat="1" ht="30.95" customHeight="1" x14ac:dyDescent="0.3">
      <c r="A67" s="18">
        <v>11</v>
      </c>
      <c r="B67" s="346"/>
      <c r="C67" s="35"/>
      <c r="D67" s="12"/>
      <c r="E67" s="35"/>
      <c r="F67" s="39"/>
      <c r="G67" s="39"/>
      <c r="H67" s="39"/>
      <c r="I67" s="39"/>
      <c r="J67" s="51"/>
      <c r="K67" s="39"/>
      <c r="L67" s="39"/>
      <c r="M67" s="19"/>
      <c r="N67"/>
    </row>
    <row r="68" spans="1:14" s="11" customFormat="1" ht="30.95" customHeight="1" x14ac:dyDescent="0.3">
      <c r="A68" s="18">
        <v>12</v>
      </c>
      <c r="B68" s="346"/>
      <c r="C68" s="35"/>
      <c r="D68" s="12"/>
      <c r="E68" s="35"/>
      <c r="F68" s="39"/>
      <c r="G68" s="39"/>
      <c r="H68" s="39"/>
      <c r="I68" s="39"/>
      <c r="J68" s="51"/>
      <c r="K68" s="39"/>
      <c r="L68" s="39"/>
      <c r="M68" s="19"/>
      <c r="N68"/>
    </row>
    <row r="69" spans="1:14" s="11" customFormat="1" ht="30.95" customHeight="1" x14ac:dyDescent="0.3">
      <c r="A69" s="18">
        <v>13</v>
      </c>
      <c r="B69" s="346"/>
      <c r="C69" s="35"/>
      <c r="D69" s="12"/>
      <c r="E69" s="35"/>
      <c r="F69" s="39"/>
      <c r="G69" s="39"/>
      <c r="H69" s="39"/>
      <c r="I69" s="39"/>
      <c r="J69" s="51"/>
      <c r="K69" s="39"/>
      <c r="L69" s="39"/>
      <c r="M69" s="19"/>
      <c r="N69"/>
    </row>
    <row r="70" spans="1:14" s="11" customFormat="1" ht="30.95" customHeight="1" x14ac:dyDescent="0.3">
      <c r="A70" s="18">
        <v>14</v>
      </c>
      <c r="B70" s="346"/>
      <c r="C70" s="35"/>
      <c r="D70" s="12"/>
      <c r="E70" s="35"/>
      <c r="F70" s="39"/>
      <c r="G70" s="39"/>
      <c r="H70" s="39"/>
      <c r="I70" s="39"/>
      <c r="J70" s="51"/>
      <c r="K70" s="39"/>
      <c r="L70" s="39"/>
      <c r="M70" s="19"/>
      <c r="N70"/>
    </row>
    <row r="71" spans="1:14" s="11" customFormat="1" ht="30.95" customHeight="1" x14ac:dyDescent="0.3">
      <c r="A71" s="18">
        <v>15</v>
      </c>
      <c r="B71" s="346"/>
      <c r="C71" s="35"/>
      <c r="D71" s="12"/>
      <c r="E71" s="35"/>
      <c r="F71" s="39"/>
      <c r="G71" s="39"/>
      <c r="H71" s="39"/>
      <c r="I71" s="39"/>
      <c r="J71" s="51"/>
      <c r="K71" s="39"/>
      <c r="L71" s="39"/>
      <c r="M71" s="19"/>
      <c r="N71"/>
    </row>
    <row r="72" spans="1:14" s="11" customFormat="1" ht="30.95" customHeight="1" x14ac:dyDescent="0.3">
      <c r="A72" s="18">
        <v>16</v>
      </c>
      <c r="B72" s="346"/>
      <c r="C72" s="35"/>
      <c r="D72" s="12"/>
      <c r="E72" s="35"/>
      <c r="F72" s="39"/>
      <c r="G72" s="39"/>
      <c r="H72" s="39"/>
      <c r="I72" s="39"/>
      <c r="J72" s="51"/>
      <c r="K72" s="39"/>
      <c r="L72" s="39"/>
      <c r="M72" s="19"/>
      <c r="N72"/>
    </row>
    <row r="73" spans="1:14" s="11" customFormat="1" ht="30.95" customHeight="1" x14ac:dyDescent="0.3">
      <c r="A73" s="18">
        <v>17</v>
      </c>
      <c r="B73" s="346"/>
      <c r="C73" s="35"/>
      <c r="D73" s="12"/>
      <c r="E73" s="35"/>
      <c r="F73" s="39"/>
      <c r="G73" s="39"/>
      <c r="H73" s="39"/>
      <c r="I73" s="39"/>
      <c r="J73" s="51"/>
      <c r="K73" s="39"/>
      <c r="L73" s="39"/>
      <c r="M73" s="19"/>
      <c r="N73"/>
    </row>
    <row r="74" spans="1:14" s="11" customFormat="1" ht="30.95" customHeight="1" x14ac:dyDescent="0.3">
      <c r="A74" s="18">
        <v>18</v>
      </c>
      <c r="B74" s="346"/>
      <c r="C74" s="35"/>
      <c r="D74" s="12"/>
      <c r="E74" s="35"/>
      <c r="F74" s="39"/>
      <c r="G74" s="39"/>
      <c r="H74" s="39"/>
      <c r="I74" s="39"/>
      <c r="J74" s="51"/>
      <c r="K74" s="39"/>
      <c r="L74" s="39"/>
      <c r="M74" s="19"/>
      <c r="N74"/>
    </row>
    <row r="75" spans="1:14" s="11" customFormat="1" ht="30.95" customHeight="1" x14ac:dyDescent="0.3">
      <c r="A75" s="18">
        <v>19</v>
      </c>
      <c r="B75" s="346"/>
      <c r="C75" s="35"/>
      <c r="D75" s="12"/>
      <c r="E75" s="35"/>
      <c r="F75" s="39"/>
      <c r="G75" s="39"/>
      <c r="H75" s="39"/>
      <c r="I75" s="39"/>
      <c r="J75" s="51"/>
      <c r="K75" s="39"/>
      <c r="L75" s="39"/>
      <c r="M75" s="19"/>
      <c r="N75"/>
    </row>
    <row r="76" spans="1:14" s="11" customFormat="1" ht="30.95" customHeight="1" x14ac:dyDescent="0.3">
      <c r="A76" s="18">
        <v>20</v>
      </c>
      <c r="B76" s="346"/>
      <c r="C76" s="35"/>
      <c r="D76" s="12"/>
      <c r="E76" s="35"/>
      <c r="F76" s="39"/>
      <c r="G76" s="39"/>
      <c r="H76" s="39"/>
      <c r="I76" s="39"/>
      <c r="J76" s="51"/>
      <c r="K76" s="39"/>
      <c r="L76" s="39"/>
      <c r="M76" s="19"/>
      <c r="N76"/>
    </row>
    <row r="77" spans="1:14" s="11" customFormat="1" ht="30.95" customHeight="1" x14ac:dyDescent="0.3">
      <c r="A77" s="18">
        <v>21</v>
      </c>
      <c r="B77" s="346"/>
      <c r="C77" s="35"/>
      <c r="D77" s="12"/>
      <c r="E77" s="35"/>
      <c r="F77" s="39"/>
      <c r="G77" s="39"/>
      <c r="H77" s="39"/>
      <c r="I77" s="39"/>
      <c r="J77" s="51"/>
      <c r="K77" s="39"/>
      <c r="L77" s="39"/>
      <c r="M77" s="19"/>
      <c r="N77"/>
    </row>
    <row r="78" spans="1:14" s="11" customFormat="1" ht="30.95" customHeight="1" x14ac:dyDescent="0.3">
      <c r="A78" s="18">
        <v>22</v>
      </c>
      <c r="B78" s="346"/>
      <c r="C78" s="35"/>
      <c r="D78" s="12"/>
      <c r="E78" s="35"/>
      <c r="F78" s="39"/>
      <c r="G78" s="39"/>
      <c r="H78" s="39"/>
      <c r="I78" s="39"/>
      <c r="J78" s="51"/>
      <c r="K78" s="39"/>
      <c r="L78" s="39"/>
      <c r="M78" s="19"/>
      <c r="N78"/>
    </row>
    <row r="79" spans="1:14" s="11" customFormat="1" ht="30.95" customHeight="1" x14ac:dyDescent="0.3">
      <c r="A79" s="18">
        <v>23</v>
      </c>
      <c r="B79" s="346"/>
      <c r="C79" s="35" t="s">
        <v>361</v>
      </c>
      <c r="D79" s="12" t="s">
        <v>268</v>
      </c>
      <c r="E79" s="35"/>
      <c r="F79" s="39"/>
      <c r="G79" s="39"/>
      <c r="H79" s="39"/>
      <c r="I79" s="39"/>
      <c r="J79" s="51"/>
      <c r="K79" s="39"/>
      <c r="L79" s="39"/>
      <c r="M79" s="19"/>
      <c r="N79"/>
    </row>
    <row r="80" spans="1:14" s="11" customFormat="1" ht="30.95" customHeight="1" thickBot="1" x14ac:dyDescent="0.35">
      <c r="A80" s="21">
        <v>24</v>
      </c>
      <c r="B80" s="347"/>
      <c r="C80" s="40" t="s">
        <v>361</v>
      </c>
      <c r="D80" s="22" t="s">
        <v>269</v>
      </c>
      <c r="E80" s="40"/>
      <c r="F80" s="23"/>
      <c r="G80" s="23"/>
      <c r="H80" s="23"/>
      <c r="I80" s="23"/>
      <c r="J80" s="52"/>
      <c r="K80" s="23"/>
      <c r="L80" s="23"/>
      <c r="M80" s="24"/>
      <c r="N80"/>
    </row>
    <row r="81" spans="1:14" s="11" customFormat="1" ht="30.95" customHeight="1" x14ac:dyDescent="0.3">
      <c r="A81" s="25">
        <v>1</v>
      </c>
      <c r="B81" s="409" t="s">
        <v>440</v>
      </c>
      <c r="C81" s="41" t="s">
        <v>359</v>
      </c>
      <c r="D81" s="26" t="s">
        <v>253</v>
      </c>
      <c r="E81" s="41"/>
      <c r="F81" s="27"/>
      <c r="G81" s="27"/>
      <c r="H81" s="27"/>
      <c r="I81" s="27"/>
      <c r="J81" s="50"/>
      <c r="K81" s="27"/>
      <c r="L81" s="27"/>
      <c r="M81" s="28"/>
      <c r="N81"/>
    </row>
    <row r="82" spans="1:14" s="11" customFormat="1" ht="30.95" customHeight="1" x14ac:dyDescent="0.3">
      <c r="A82" s="18">
        <v>2</v>
      </c>
      <c r="B82" s="346"/>
      <c r="C82" s="35" t="s">
        <v>359</v>
      </c>
      <c r="D82" s="12" t="s">
        <v>254</v>
      </c>
      <c r="E82" s="35"/>
      <c r="F82" s="39"/>
      <c r="G82" s="39"/>
      <c r="H82" s="39"/>
      <c r="I82" s="39"/>
      <c r="J82" s="51"/>
      <c r="K82" s="39"/>
      <c r="L82" s="39"/>
      <c r="M82" s="19"/>
      <c r="N82"/>
    </row>
    <row r="83" spans="1:14" s="11" customFormat="1" ht="30.95" customHeight="1" x14ac:dyDescent="0.3">
      <c r="A83" s="18">
        <v>3</v>
      </c>
      <c r="B83" s="346"/>
      <c r="C83" s="35"/>
      <c r="D83" s="12"/>
      <c r="E83" s="35"/>
      <c r="F83" s="39"/>
      <c r="G83" s="39"/>
      <c r="H83" s="39"/>
      <c r="I83" s="39"/>
      <c r="J83" s="51"/>
      <c r="K83" s="39"/>
      <c r="L83" s="39"/>
      <c r="M83" s="19"/>
      <c r="N83"/>
    </row>
    <row r="84" spans="1:14" s="11" customFormat="1" ht="30.95" customHeight="1" x14ac:dyDescent="0.3">
      <c r="A84" s="18">
        <v>4</v>
      </c>
      <c r="B84" s="346"/>
      <c r="C84" s="35"/>
      <c r="D84" s="12"/>
      <c r="E84" s="35"/>
      <c r="F84" s="39"/>
      <c r="G84" s="39"/>
      <c r="H84" s="39"/>
      <c r="I84" s="39"/>
      <c r="J84" s="51"/>
      <c r="K84" s="39"/>
      <c r="L84" s="39"/>
      <c r="M84" s="19"/>
      <c r="N84"/>
    </row>
    <row r="85" spans="1:14" s="11" customFormat="1" ht="30.95" customHeight="1" x14ac:dyDescent="0.3">
      <c r="A85" s="18">
        <v>5</v>
      </c>
      <c r="B85" s="346"/>
      <c r="C85" s="35"/>
      <c r="D85" s="12"/>
      <c r="E85" s="35"/>
      <c r="F85" s="39"/>
      <c r="G85" s="39"/>
      <c r="H85" s="39"/>
      <c r="I85" s="39"/>
      <c r="J85" s="51"/>
      <c r="K85" s="39"/>
      <c r="L85" s="39"/>
      <c r="M85" s="19"/>
      <c r="N85"/>
    </row>
    <row r="86" spans="1:14" s="11" customFormat="1" ht="30.95" customHeight="1" x14ac:dyDescent="0.3">
      <c r="A86" s="18">
        <v>6</v>
      </c>
      <c r="B86" s="346"/>
      <c r="C86" s="35"/>
      <c r="D86" s="12"/>
      <c r="E86" s="35"/>
      <c r="F86" s="39"/>
      <c r="G86" s="39"/>
      <c r="H86" s="39"/>
      <c r="I86" s="39"/>
      <c r="J86" s="51"/>
      <c r="K86" s="39"/>
      <c r="L86" s="39"/>
      <c r="M86" s="19"/>
      <c r="N86"/>
    </row>
    <row r="87" spans="1:14" s="11" customFormat="1" ht="30.95" customHeight="1" x14ac:dyDescent="0.3">
      <c r="A87" s="18">
        <v>7</v>
      </c>
      <c r="B87" s="346"/>
      <c r="C87" s="35"/>
      <c r="D87" s="12"/>
      <c r="E87" s="35"/>
      <c r="F87" s="39"/>
      <c r="G87" s="39"/>
      <c r="H87" s="39"/>
      <c r="I87" s="39"/>
      <c r="J87" s="51"/>
      <c r="K87" s="39"/>
      <c r="L87" s="39"/>
      <c r="M87" s="19"/>
      <c r="N87"/>
    </row>
    <row r="88" spans="1:14" s="11" customFormat="1" ht="30.95" customHeight="1" x14ac:dyDescent="0.3">
      <c r="A88" s="18">
        <v>8</v>
      </c>
      <c r="B88" s="346"/>
      <c r="C88" s="35"/>
      <c r="D88" s="12"/>
      <c r="E88" s="35"/>
      <c r="F88" s="39"/>
      <c r="G88" s="39"/>
      <c r="H88" s="39"/>
      <c r="I88" s="39"/>
      <c r="J88" s="51"/>
      <c r="K88" s="39"/>
      <c r="L88" s="39"/>
      <c r="M88" s="19"/>
      <c r="N88"/>
    </row>
    <row r="89" spans="1:14" s="11" customFormat="1" ht="30.95" customHeight="1" x14ac:dyDescent="0.3">
      <c r="A89" s="18">
        <v>9</v>
      </c>
      <c r="B89" s="346"/>
      <c r="C89" s="35"/>
      <c r="D89" s="12"/>
      <c r="E89" s="35"/>
      <c r="F89" s="39"/>
      <c r="G89" s="39"/>
      <c r="H89" s="39"/>
      <c r="I89" s="39"/>
      <c r="J89" s="51"/>
      <c r="K89" s="39"/>
      <c r="L89" s="39"/>
      <c r="M89" s="19"/>
      <c r="N89"/>
    </row>
    <row r="90" spans="1:14" s="11" customFormat="1" ht="30.95" customHeight="1" x14ac:dyDescent="0.3">
      <c r="A90" s="18">
        <v>10</v>
      </c>
      <c r="B90" s="346"/>
      <c r="C90" s="35"/>
      <c r="D90" s="12"/>
      <c r="E90" s="35"/>
      <c r="F90" s="39"/>
      <c r="G90" s="39"/>
      <c r="H90" s="39"/>
      <c r="I90" s="39"/>
      <c r="J90" s="51"/>
      <c r="K90" s="39"/>
      <c r="L90" s="39"/>
      <c r="M90" s="19"/>
      <c r="N90"/>
    </row>
    <row r="91" spans="1:14" s="11" customFormat="1" ht="30.95" customHeight="1" x14ac:dyDescent="0.3">
      <c r="A91" s="18">
        <v>11</v>
      </c>
      <c r="B91" s="346"/>
      <c r="C91" s="35"/>
      <c r="D91" s="12"/>
      <c r="E91" s="35"/>
      <c r="F91" s="39"/>
      <c r="G91" s="39"/>
      <c r="H91" s="39"/>
      <c r="I91" s="39"/>
      <c r="J91" s="51"/>
      <c r="K91" s="39"/>
      <c r="L91" s="39"/>
      <c r="M91" s="19"/>
      <c r="N91"/>
    </row>
    <row r="92" spans="1:14" s="11" customFormat="1" ht="30.95" customHeight="1" x14ac:dyDescent="0.3">
      <c r="A92" s="18">
        <v>12</v>
      </c>
      <c r="B92" s="346"/>
      <c r="C92" s="35"/>
      <c r="D92" s="12"/>
      <c r="E92" s="35"/>
      <c r="F92" s="39"/>
      <c r="G92" s="39"/>
      <c r="H92" s="39"/>
      <c r="I92" s="39"/>
      <c r="J92" s="51"/>
      <c r="K92" s="39"/>
      <c r="L92" s="39"/>
      <c r="M92" s="19"/>
      <c r="N92"/>
    </row>
    <row r="93" spans="1:14" s="11" customFormat="1" ht="30.95" customHeight="1" x14ac:dyDescent="0.3">
      <c r="A93" s="18">
        <v>13</v>
      </c>
      <c r="B93" s="346"/>
      <c r="C93" s="35"/>
      <c r="D93" s="12"/>
      <c r="E93" s="35"/>
      <c r="F93" s="39"/>
      <c r="G93" s="39"/>
      <c r="H93" s="39"/>
      <c r="I93" s="39"/>
      <c r="J93" s="51"/>
      <c r="K93" s="39"/>
      <c r="L93" s="39"/>
      <c r="M93" s="19"/>
      <c r="N93"/>
    </row>
    <row r="94" spans="1:14" s="11" customFormat="1" ht="30.95" customHeight="1" x14ac:dyDescent="0.3">
      <c r="A94" s="18">
        <v>14</v>
      </c>
      <c r="B94" s="346"/>
      <c r="C94" s="35"/>
      <c r="D94" s="12"/>
      <c r="E94" s="35"/>
      <c r="F94" s="39"/>
      <c r="G94" s="39"/>
      <c r="H94" s="39"/>
      <c r="I94" s="39"/>
      <c r="J94" s="51"/>
      <c r="K94" s="39"/>
      <c r="L94" s="39"/>
      <c r="M94" s="19"/>
      <c r="N94"/>
    </row>
    <row r="95" spans="1:14" s="11" customFormat="1" ht="30.95" customHeight="1" x14ac:dyDescent="0.3">
      <c r="A95" s="18">
        <v>15</v>
      </c>
      <c r="B95" s="346"/>
      <c r="C95" s="35"/>
      <c r="D95" s="12"/>
      <c r="E95" s="35"/>
      <c r="F95" s="39"/>
      <c r="G95" s="39"/>
      <c r="H95" s="39"/>
      <c r="I95" s="39"/>
      <c r="J95" s="51"/>
      <c r="K95" s="39"/>
      <c r="L95" s="39"/>
      <c r="M95" s="19"/>
      <c r="N95"/>
    </row>
    <row r="96" spans="1:14" s="11" customFormat="1" ht="30.95" customHeight="1" x14ac:dyDescent="0.3">
      <c r="A96" s="18">
        <v>16</v>
      </c>
      <c r="B96" s="346"/>
      <c r="C96" s="35"/>
      <c r="D96" s="12"/>
      <c r="E96" s="35"/>
      <c r="F96" s="39"/>
      <c r="G96" s="39"/>
      <c r="H96" s="39"/>
      <c r="I96" s="39"/>
      <c r="J96" s="51"/>
      <c r="K96" s="39"/>
      <c r="L96" s="39"/>
      <c r="M96" s="19"/>
      <c r="N96"/>
    </row>
    <row r="97" spans="1:14" s="11" customFormat="1" ht="30.95" customHeight="1" x14ac:dyDescent="0.3">
      <c r="A97" s="18">
        <v>17</v>
      </c>
      <c r="B97" s="346"/>
      <c r="C97" s="35"/>
      <c r="D97" s="12"/>
      <c r="E97" s="35"/>
      <c r="F97" s="39"/>
      <c r="G97" s="39"/>
      <c r="H97" s="39"/>
      <c r="I97" s="39"/>
      <c r="J97" s="51"/>
      <c r="K97" s="39"/>
      <c r="L97" s="39"/>
      <c r="M97" s="19"/>
      <c r="N97"/>
    </row>
    <row r="98" spans="1:14" s="11" customFormat="1" ht="30.95" customHeight="1" x14ac:dyDescent="0.3">
      <c r="A98" s="18">
        <v>18</v>
      </c>
      <c r="B98" s="346"/>
      <c r="C98" s="35"/>
      <c r="D98" s="12"/>
      <c r="E98" s="35"/>
      <c r="F98" s="39"/>
      <c r="G98" s="39"/>
      <c r="H98" s="39"/>
      <c r="I98" s="39"/>
      <c r="J98" s="51"/>
      <c r="K98" s="39"/>
      <c r="L98" s="39"/>
      <c r="M98" s="19"/>
      <c r="N98"/>
    </row>
    <row r="99" spans="1:14" s="11" customFormat="1" ht="30.95" customHeight="1" x14ac:dyDescent="0.3">
      <c r="A99" s="18">
        <v>19</v>
      </c>
      <c r="B99" s="346"/>
      <c r="C99" s="35"/>
      <c r="D99" s="12"/>
      <c r="E99" s="35"/>
      <c r="F99" s="39"/>
      <c r="G99" s="39"/>
      <c r="H99" s="39"/>
      <c r="I99" s="39"/>
      <c r="J99" s="51"/>
      <c r="K99" s="39"/>
      <c r="L99" s="39"/>
      <c r="M99" s="19"/>
      <c r="N99"/>
    </row>
    <row r="100" spans="1:14" s="11" customFormat="1" ht="30.95" customHeight="1" x14ac:dyDescent="0.3">
      <c r="A100" s="18">
        <v>20</v>
      </c>
      <c r="B100" s="346"/>
      <c r="C100" s="35"/>
      <c r="D100" s="12"/>
      <c r="E100" s="35"/>
      <c r="F100" s="39"/>
      <c r="G100" s="39"/>
      <c r="H100" s="39"/>
      <c r="I100" s="39"/>
      <c r="J100" s="51"/>
      <c r="K100" s="39"/>
      <c r="L100" s="39"/>
      <c r="M100" s="19"/>
      <c r="N100"/>
    </row>
    <row r="101" spans="1:14" s="11" customFormat="1" ht="30.95" customHeight="1" x14ac:dyDescent="0.3">
      <c r="A101" s="18">
        <v>21</v>
      </c>
      <c r="B101" s="346"/>
      <c r="C101" s="35"/>
      <c r="D101" s="12"/>
      <c r="E101" s="35"/>
      <c r="F101" s="39"/>
      <c r="G101" s="39"/>
      <c r="H101" s="39"/>
      <c r="I101" s="39"/>
      <c r="J101" s="51"/>
      <c r="K101" s="39"/>
      <c r="L101" s="39"/>
      <c r="M101" s="19"/>
      <c r="N101"/>
    </row>
    <row r="102" spans="1:14" s="11" customFormat="1" ht="30.95" customHeight="1" x14ac:dyDescent="0.3">
      <c r="A102" s="18">
        <v>22</v>
      </c>
      <c r="B102" s="346"/>
      <c r="C102" s="35"/>
      <c r="D102" s="12"/>
      <c r="E102" s="35"/>
      <c r="F102" s="39"/>
      <c r="G102" s="39"/>
      <c r="H102" s="39"/>
      <c r="I102" s="39"/>
      <c r="J102" s="51"/>
      <c r="K102" s="39"/>
      <c r="L102" s="39"/>
      <c r="M102" s="19"/>
      <c r="N102"/>
    </row>
    <row r="103" spans="1:14" s="11" customFormat="1" ht="30.95" customHeight="1" x14ac:dyDescent="0.3">
      <c r="A103" s="18">
        <v>23</v>
      </c>
      <c r="B103" s="346"/>
      <c r="C103" s="35" t="s">
        <v>361</v>
      </c>
      <c r="D103" s="12" t="s">
        <v>268</v>
      </c>
      <c r="E103" s="35"/>
      <c r="F103" s="39"/>
      <c r="G103" s="39"/>
      <c r="H103" s="39"/>
      <c r="I103" s="39"/>
      <c r="J103" s="51"/>
      <c r="K103" s="39"/>
      <c r="L103" s="39"/>
      <c r="M103" s="19"/>
      <c r="N103"/>
    </row>
    <row r="104" spans="1:14" s="11" customFormat="1" ht="30.95" customHeight="1" thickBot="1" x14ac:dyDescent="0.35">
      <c r="A104" s="21">
        <v>24</v>
      </c>
      <c r="B104" s="347"/>
      <c r="C104" s="40" t="s">
        <v>361</v>
      </c>
      <c r="D104" s="22" t="s">
        <v>269</v>
      </c>
      <c r="E104" s="40"/>
      <c r="F104" s="23"/>
      <c r="G104" s="23"/>
      <c r="H104" s="23"/>
      <c r="I104" s="23"/>
      <c r="J104" s="52"/>
      <c r="K104" s="23"/>
      <c r="L104" s="23"/>
      <c r="M104" s="24"/>
      <c r="N104"/>
    </row>
    <row r="105" spans="1:14" s="11" customFormat="1" ht="32.1" customHeight="1" x14ac:dyDescent="0.3">
      <c r="D105" s="13"/>
      <c r="F105"/>
      <c r="G105"/>
      <c r="H105"/>
      <c r="I105"/>
      <c r="J105"/>
      <c r="K105" s="1"/>
      <c r="L105" s="1"/>
      <c r="M105" s="1"/>
    </row>
    <row r="106" spans="1:14" s="11" customFormat="1" ht="32.1" customHeight="1" x14ac:dyDescent="0.3">
      <c r="D106" s="13"/>
      <c r="F106"/>
      <c r="G106"/>
      <c r="H106"/>
      <c r="I106"/>
      <c r="J106"/>
      <c r="K106" s="1"/>
      <c r="L106" s="1"/>
      <c r="M106" s="1"/>
    </row>
    <row r="107" spans="1:14" s="11" customFormat="1" ht="32.1" customHeight="1" x14ac:dyDescent="0.3">
      <c r="D107" s="13"/>
      <c r="F107"/>
      <c r="G107"/>
      <c r="H107"/>
      <c r="I107"/>
      <c r="J107"/>
      <c r="K107" s="1"/>
      <c r="L107" s="1"/>
      <c r="M107" s="1"/>
    </row>
    <row r="108" spans="1:14" s="11" customFormat="1" ht="32.1" customHeight="1" x14ac:dyDescent="0.3">
      <c r="D108" s="13"/>
      <c r="F108"/>
      <c r="G108"/>
      <c r="H108"/>
      <c r="I108"/>
      <c r="J108"/>
      <c r="K108" s="1"/>
      <c r="L108" s="1"/>
      <c r="M108" s="1"/>
    </row>
    <row r="109" spans="1:14" s="11" customFormat="1" ht="32.1" customHeight="1" x14ac:dyDescent="0.3">
      <c r="D109" s="13"/>
      <c r="F109"/>
      <c r="G109"/>
      <c r="H109"/>
      <c r="I109"/>
      <c r="J109"/>
      <c r="K109" s="1"/>
      <c r="L109" s="1"/>
      <c r="M109" s="1"/>
    </row>
    <row r="110" spans="1:14" s="11" customFormat="1" ht="32.1" customHeight="1" x14ac:dyDescent="0.3">
      <c r="D110" s="13"/>
      <c r="F110"/>
      <c r="G110"/>
      <c r="H110"/>
      <c r="I110"/>
      <c r="J110"/>
      <c r="K110" s="1"/>
      <c r="L110" s="1"/>
      <c r="M110" s="1"/>
    </row>
    <row r="111" spans="1:14" s="11" customFormat="1" ht="32.1" customHeight="1" x14ac:dyDescent="0.3">
      <c r="D111" s="13"/>
      <c r="F111"/>
      <c r="G111"/>
      <c r="H111"/>
      <c r="I111"/>
      <c r="J111"/>
      <c r="K111" s="1"/>
      <c r="L111" s="1"/>
      <c r="M111" s="1"/>
    </row>
    <row r="112" spans="1:14" s="11" customFormat="1" ht="32.1" customHeight="1" x14ac:dyDescent="0.3">
      <c r="D112" s="13"/>
      <c r="F112"/>
      <c r="G112"/>
      <c r="H112"/>
      <c r="I112"/>
      <c r="J112"/>
      <c r="K112" s="1"/>
      <c r="L112" s="1"/>
      <c r="M112" s="1"/>
    </row>
    <row r="113" spans="4:13" s="11" customFormat="1" ht="32.1" customHeight="1" x14ac:dyDescent="0.3">
      <c r="D113" s="13"/>
      <c r="F113"/>
      <c r="G113"/>
      <c r="H113"/>
      <c r="I113"/>
      <c r="J113"/>
      <c r="K113" s="1"/>
      <c r="L113" s="1"/>
      <c r="M113" s="1"/>
    </row>
    <row r="114" spans="4:13" s="11" customFormat="1" ht="32.1" customHeight="1" x14ac:dyDescent="0.3">
      <c r="D114" s="13"/>
      <c r="F114"/>
      <c r="G114"/>
      <c r="H114"/>
      <c r="I114"/>
      <c r="J114"/>
      <c r="K114" s="1"/>
      <c r="L114" s="1"/>
      <c r="M114" s="1"/>
    </row>
    <row r="115" spans="4:13" s="11" customFormat="1" ht="32.1" customHeight="1" x14ac:dyDescent="0.3">
      <c r="D115" s="13"/>
      <c r="F115"/>
      <c r="G115"/>
      <c r="H115"/>
      <c r="I115"/>
      <c r="J115"/>
      <c r="K115" s="1"/>
      <c r="L115" s="1"/>
      <c r="M115" s="1"/>
    </row>
  </sheetData>
  <mergeCells count="32">
    <mergeCell ref="B81:B104"/>
    <mergeCell ref="M5:M28"/>
    <mergeCell ref="M33:M56"/>
    <mergeCell ref="K33:K56"/>
    <mergeCell ref="L33:L56"/>
    <mergeCell ref="F29:J29"/>
    <mergeCell ref="K29:K32"/>
    <mergeCell ref="L29:L32"/>
    <mergeCell ref="M29:M32"/>
    <mergeCell ref="B5:B28"/>
    <mergeCell ref="K5:K28"/>
    <mergeCell ref="L5:L28"/>
    <mergeCell ref="A30:C31"/>
    <mergeCell ref="D30:D31"/>
    <mergeCell ref="E30:E31"/>
    <mergeCell ref="F30:G30"/>
    <mergeCell ref="B33:B56"/>
    <mergeCell ref="B57:B80"/>
    <mergeCell ref="A29:C29"/>
    <mergeCell ref="M1:M4"/>
    <mergeCell ref="F2:G2"/>
    <mergeCell ref="H2:I2"/>
    <mergeCell ref="J2:J4"/>
    <mergeCell ref="K1:K4"/>
    <mergeCell ref="L1:L4"/>
    <mergeCell ref="A2:C3"/>
    <mergeCell ref="D2:D3"/>
    <mergeCell ref="E2:E3"/>
    <mergeCell ref="A1:C1"/>
    <mergeCell ref="F1:J1"/>
    <mergeCell ref="H30:I30"/>
    <mergeCell ref="J30:J32"/>
  </mergeCells>
  <phoneticPr fontId="1" type="noConversion"/>
  <pageMargins left="0.25" right="0.25" top="0.75" bottom="0.75" header="0.3" footer="0.3"/>
  <pageSetup paperSize="9" scale="56" fitToHeight="0" orientation="landscape" r:id="rId1"/>
  <rowBreaks count="3" manualBreakCount="3">
    <brk id="28" max="12" man="1"/>
    <brk id="56" max="14" man="1"/>
    <brk id="80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Views>
    <sheetView view="pageBreakPreview" zoomScale="70" zoomScaleNormal="100" zoomScaleSheetLayoutView="70" workbookViewId="0">
      <pane ySplit="4" topLeftCell="A28" activePane="bottomLeft" state="frozen"/>
      <selection activeCell="E28" sqref="E28"/>
      <selection pane="bottomLeft" activeCell="E28" sqref="E28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  <col min="16" max="16" width="9.5" bestFit="1" customWidth="1"/>
  </cols>
  <sheetData>
    <row r="1" spans="1:17" ht="30" customHeight="1" x14ac:dyDescent="0.3">
      <c r="A1" s="374" t="s">
        <v>8</v>
      </c>
      <c r="B1" s="325"/>
      <c r="C1" s="325"/>
      <c r="D1" s="110" t="s">
        <v>11</v>
      </c>
      <c r="E1" s="110" t="s">
        <v>12</v>
      </c>
      <c r="F1" s="338" t="s">
        <v>723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COUNTIF(N5:N502,0)/COUNT(A:A)</f>
        <v>0.26041666666666669</v>
      </c>
    </row>
    <row r="2" spans="1:17" ht="30" customHeight="1" x14ac:dyDescent="0.3">
      <c r="A2" s="336" t="s">
        <v>9</v>
      </c>
      <c r="B2" s="337"/>
      <c r="C2" s="337"/>
      <c r="D2" s="368" t="s">
        <v>647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7" ht="30" customHeight="1" x14ac:dyDescent="0.3">
      <c r="A3" s="336"/>
      <c r="B3" s="337"/>
      <c r="C3" s="337"/>
      <c r="D3" s="368"/>
      <c r="E3" s="337"/>
      <c r="F3" s="201" t="s">
        <v>638</v>
      </c>
      <c r="G3" s="214">
        <f>전송손실!M21</f>
        <v>-11.017603999999999</v>
      </c>
      <c r="H3" s="201" t="s">
        <v>638</v>
      </c>
      <c r="I3" s="214">
        <f>전송손실!M47</f>
        <v>-7.2957579999999993</v>
      </c>
      <c r="J3" s="369"/>
      <c r="K3" s="332"/>
      <c r="L3" s="332"/>
      <c r="M3" s="332"/>
    </row>
    <row r="4" spans="1:17" ht="30" customHeight="1" thickBot="1" x14ac:dyDescent="0.35">
      <c r="A4" s="203" t="s">
        <v>0</v>
      </c>
      <c r="B4" s="203" t="s">
        <v>1</v>
      </c>
      <c r="C4" s="203" t="s">
        <v>23</v>
      </c>
      <c r="D4" s="203" t="s">
        <v>2</v>
      </c>
      <c r="E4" s="203" t="s">
        <v>3</v>
      </c>
      <c r="F4" s="203" t="s">
        <v>4</v>
      </c>
      <c r="G4" s="203" t="s">
        <v>506</v>
      </c>
      <c r="H4" s="203" t="s">
        <v>4</v>
      </c>
      <c r="I4" s="203" t="s">
        <v>506</v>
      </c>
      <c r="J4" s="370"/>
      <c r="K4" s="367"/>
      <c r="L4" s="367"/>
      <c r="M4" s="367"/>
    </row>
    <row r="5" spans="1:17" ht="30" customHeight="1" x14ac:dyDescent="0.3">
      <c r="A5" s="64">
        <v>1</v>
      </c>
      <c r="B5" s="394" t="s">
        <v>246</v>
      </c>
      <c r="C5" s="85" t="s">
        <v>63</v>
      </c>
      <c r="D5" s="86" t="s">
        <v>497</v>
      </c>
      <c r="E5" s="62"/>
      <c r="F5" s="108"/>
      <c r="G5" s="108"/>
      <c r="H5" s="108"/>
      <c r="I5" s="108"/>
      <c r="J5" s="109"/>
      <c r="K5" s="355" t="s">
        <v>427</v>
      </c>
      <c r="L5" s="355"/>
      <c r="M5" s="359"/>
      <c r="N5">
        <f>IF(C5="",0,1)</f>
        <v>1</v>
      </c>
    </row>
    <row r="6" spans="1:17" ht="30" customHeight="1" x14ac:dyDescent="0.3">
      <c r="A6" s="18">
        <v>2</v>
      </c>
      <c r="B6" s="394"/>
      <c r="C6" s="85" t="s">
        <v>63</v>
      </c>
      <c r="D6" s="86" t="s">
        <v>498</v>
      </c>
      <c r="E6" s="35"/>
      <c r="F6" s="102"/>
      <c r="G6" s="102"/>
      <c r="H6" s="102"/>
      <c r="I6" s="102"/>
      <c r="J6" s="103"/>
      <c r="K6" s="355"/>
      <c r="L6" s="355"/>
      <c r="M6" s="359"/>
      <c r="N6">
        <f t="shared" ref="N6:N56" si="0">IF(C6="",0,1)</f>
        <v>1</v>
      </c>
    </row>
    <row r="7" spans="1:17" ht="30" customHeight="1" x14ac:dyDescent="0.3">
      <c r="A7" s="18">
        <v>3</v>
      </c>
      <c r="B7" s="394"/>
      <c r="C7" s="98" t="s">
        <v>26</v>
      </c>
      <c r="D7" s="12" t="s">
        <v>692</v>
      </c>
      <c r="E7" s="35"/>
      <c r="F7" s="102"/>
      <c r="G7" s="102"/>
      <c r="H7" s="102"/>
      <c r="I7" s="102"/>
      <c r="J7" s="103"/>
      <c r="K7" s="355"/>
      <c r="L7" s="355"/>
      <c r="M7" s="359"/>
      <c r="N7">
        <f t="shared" si="0"/>
        <v>1</v>
      </c>
    </row>
    <row r="8" spans="1:17" ht="30" customHeight="1" x14ac:dyDescent="0.3">
      <c r="A8" s="18">
        <v>4</v>
      </c>
      <c r="B8" s="394"/>
      <c r="C8" s="98" t="s">
        <v>26</v>
      </c>
      <c r="D8" s="12" t="s">
        <v>693</v>
      </c>
      <c r="E8" s="35"/>
      <c r="F8" s="102"/>
      <c r="G8" s="102"/>
      <c r="H8" s="102"/>
      <c r="I8" s="102"/>
      <c r="J8" s="103"/>
      <c r="K8" s="355"/>
      <c r="L8" s="355"/>
      <c r="M8" s="359"/>
      <c r="N8">
        <f>IF(C8="",0,1)</f>
        <v>1</v>
      </c>
    </row>
    <row r="9" spans="1:17" ht="30" customHeight="1" x14ac:dyDescent="0.3">
      <c r="A9" s="18">
        <v>5</v>
      </c>
      <c r="B9" s="394"/>
      <c r="C9" s="76"/>
      <c r="D9" s="77"/>
      <c r="E9" s="76"/>
      <c r="F9" s="118">
        <v>-16.515999999999998</v>
      </c>
      <c r="G9" s="101">
        <v>18.794499999999999</v>
      </c>
      <c r="H9" s="101">
        <v>-18.265000000000001</v>
      </c>
      <c r="I9" s="101">
        <v>18.7941</v>
      </c>
      <c r="J9" s="101"/>
      <c r="K9" s="355"/>
      <c r="L9" s="355"/>
      <c r="M9" s="359"/>
      <c r="N9">
        <f>IF(C9="",0,1)</f>
        <v>0</v>
      </c>
    </row>
    <row r="10" spans="1:17" ht="30" customHeight="1" x14ac:dyDescent="0.3">
      <c r="A10" s="18">
        <v>6</v>
      </c>
      <c r="B10" s="394"/>
      <c r="C10" s="76"/>
      <c r="D10" s="77"/>
      <c r="E10" s="76"/>
      <c r="F10" s="118">
        <v>-14.438000000000001</v>
      </c>
      <c r="G10" s="101">
        <v>18.7958</v>
      </c>
      <c r="H10" s="101">
        <v>-17.216000000000001</v>
      </c>
      <c r="I10" s="101">
        <v>18.7941</v>
      </c>
      <c r="J10" s="101"/>
      <c r="K10" s="355"/>
      <c r="L10" s="355"/>
      <c r="M10" s="359"/>
      <c r="N10">
        <f t="shared" si="0"/>
        <v>0</v>
      </c>
    </row>
    <row r="11" spans="1:17" ht="30" customHeight="1" x14ac:dyDescent="0.3">
      <c r="A11" s="18">
        <v>7</v>
      </c>
      <c r="B11" s="394"/>
      <c r="C11" s="76"/>
      <c r="D11" s="77"/>
      <c r="E11" s="76"/>
      <c r="F11" s="118">
        <v>-17.751000000000001</v>
      </c>
      <c r="G11" s="101">
        <v>18.7958</v>
      </c>
      <c r="H11" s="101">
        <v>-21.975000000000001</v>
      </c>
      <c r="I11" s="101">
        <v>18.7941</v>
      </c>
      <c r="J11" s="273"/>
      <c r="K11" s="355"/>
      <c r="L11" s="355"/>
      <c r="M11" s="359"/>
      <c r="N11">
        <f t="shared" si="0"/>
        <v>0</v>
      </c>
    </row>
    <row r="12" spans="1:17" ht="30" customHeight="1" x14ac:dyDescent="0.3">
      <c r="A12" s="18">
        <v>8</v>
      </c>
      <c r="B12" s="394"/>
      <c r="C12" s="76"/>
      <c r="D12" s="77"/>
      <c r="E12" s="76"/>
      <c r="F12" s="118">
        <v>-8.0559999999999992</v>
      </c>
      <c r="G12" s="101">
        <v>18.793199999999999</v>
      </c>
      <c r="H12" s="101">
        <v>-5.8529999999999998</v>
      </c>
      <c r="I12" s="101">
        <v>18.790299999999998</v>
      </c>
      <c r="J12" s="273"/>
      <c r="K12" s="355"/>
      <c r="L12" s="355"/>
      <c r="M12" s="359"/>
      <c r="N12">
        <f t="shared" si="0"/>
        <v>0</v>
      </c>
    </row>
    <row r="13" spans="1:17" ht="30" customHeight="1" x14ac:dyDescent="0.3">
      <c r="A13" s="18">
        <v>9</v>
      </c>
      <c r="B13" s="394"/>
      <c r="C13" s="76"/>
      <c r="D13" s="77"/>
      <c r="E13" s="76"/>
      <c r="F13" s="118">
        <v>-14.686999999999999</v>
      </c>
      <c r="G13" s="101">
        <v>18.793199999999999</v>
      </c>
      <c r="H13" s="101">
        <v>-16.57</v>
      </c>
      <c r="I13" s="101">
        <v>18.791599999999999</v>
      </c>
      <c r="J13" s="101"/>
      <c r="K13" s="355"/>
      <c r="L13" s="355"/>
      <c r="M13" s="359"/>
      <c r="N13">
        <f t="shared" si="0"/>
        <v>0</v>
      </c>
      <c r="Q13" t="s">
        <v>167</v>
      </c>
    </row>
    <row r="14" spans="1:17" ht="30" customHeight="1" x14ac:dyDescent="0.3">
      <c r="A14" s="18">
        <v>10</v>
      </c>
      <c r="B14" s="394"/>
      <c r="C14" s="76"/>
      <c r="D14" s="77"/>
      <c r="E14" s="76"/>
      <c r="F14" s="118">
        <v>-12.33</v>
      </c>
      <c r="G14" s="101">
        <v>18.794499999999999</v>
      </c>
      <c r="H14" s="101">
        <v>-12.904999999999999</v>
      </c>
      <c r="I14" s="101">
        <v>18.791599999999999</v>
      </c>
      <c r="J14" s="101"/>
      <c r="K14" s="355"/>
      <c r="L14" s="355"/>
      <c r="M14" s="359"/>
      <c r="N14">
        <f t="shared" si="0"/>
        <v>0</v>
      </c>
    </row>
    <row r="15" spans="1:17" ht="30" customHeight="1" x14ac:dyDescent="0.3">
      <c r="A15" s="18">
        <v>11</v>
      </c>
      <c r="B15" s="394"/>
      <c r="C15" s="98" t="s">
        <v>25</v>
      </c>
      <c r="D15" s="12" t="s">
        <v>272</v>
      </c>
      <c r="E15" s="35"/>
      <c r="F15" s="116"/>
      <c r="G15" s="102"/>
      <c r="H15" s="102"/>
      <c r="I15" s="102"/>
      <c r="J15" s="103"/>
      <c r="K15" s="355"/>
      <c r="L15" s="355"/>
      <c r="M15" s="359"/>
      <c r="N15">
        <f t="shared" si="0"/>
        <v>1</v>
      </c>
    </row>
    <row r="16" spans="1:17" ht="30" customHeight="1" x14ac:dyDescent="0.3">
      <c r="A16" s="18">
        <v>12</v>
      </c>
      <c r="B16" s="394"/>
      <c r="C16" s="98" t="s">
        <v>25</v>
      </c>
      <c r="D16" s="12" t="s">
        <v>271</v>
      </c>
      <c r="E16" s="35"/>
      <c r="F16" s="116"/>
      <c r="G16" s="102"/>
      <c r="H16" s="102"/>
      <c r="I16" s="102"/>
      <c r="J16" s="103"/>
      <c r="K16" s="355"/>
      <c r="L16" s="355"/>
      <c r="M16" s="359"/>
      <c r="N16">
        <f t="shared" si="0"/>
        <v>1</v>
      </c>
    </row>
    <row r="17" spans="1:16" ht="30" customHeight="1" x14ac:dyDescent="0.3">
      <c r="A17" s="18">
        <v>13</v>
      </c>
      <c r="B17" s="394"/>
      <c r="C17" s="98" t="s">
        <v>25</v>
      </c>
      <c r="D17" s="12" t="s">
        <v>293</v>
      </c>
      <c r="E17" s="35"/>
      <c r="F17" s="116"/>
      <c r="G17" s="102"/>
      <c r="H17" s="102"/>
      <c r="I17" s="102"/>
      <c r="J17" s="103"/>
      <c r="K17" s="355"/>
      <c r="L17" s="355"/>
      <c r="M17" s="359"/>
      <c r="N17">
        <f t="shared" si="0"/>
        <v>1</v>
      </c>
    </row>
    <row r="18" spans="1:16" ht="30" customHeight="1" x14ac:dyDescent="0.3">
      <c r="A18" s="18">
        <v>14</v>
      </c>
      <c r="B18" s="394"/>
      <c r="C18" s="98" t="s">
        <v>25</v>
      </c>
      <c r="D18" s="12" t="s">
        <v>293</v>
      </c>
      <c r="E18" s="35"/>
      <c r="F18" s="116"/>
      <c r="G18" s="102"/>
      <c r="H18" s="102"/>
      <c r="I18" s="102"/>
      <c r="J18" s="103"/>
      <c r="K18" s="355"/>
      <c r="L18" s="355"/>
      <c r="M18" s="359"/>
      <c r="N18">
        <f t="shared" si="0"/>
        <v>1</v>
      </c>
    </row>
    <row r="19" spans="1:16" ht="30" customHeight="1" x14ac:dyDescent="0.3">
      <c r="A19" s="18">
        <v>15</v>
      </c>
      <c r="B19" s="394"/>
      <c r="C19" s="98" t="s">
        <v>27</v>
      </c>
      <c r="D19" s="12" t="s">
        <v>252</v>
      </c>
      <c r="E19" s="35"/>
      <c r="F19" s="116"/>
      <c r="G19" s="102"/>
      <c r="H19" s="102"/>
      <c r="I19" s="102"/>
      <c r="J19" s="103"/>
      <c r="K19" s="355"/>
      <c r="L19" s="355"/>
      <c r="M19" s="359"/>
      <c r="N19">
        <f t="shared" si="0"/>
        <v>1</v>
      </c>
    </row>
    <row r="20" spans="1:16" ht="30" customHeight="1" x14ac:dyDescent="0.3">
      <c r="A20" s="18">
        <v>16</v>
      </c>
      <c r="B20" s="394"/>
      <c r="C20" s="98" t="s">
        <v>27</v>
      </c>
      <c r="D20" s="12" t="s">
        <v>252</v>
      </c>
      <c r="E20" s="35"/>
      <c r="F20" s="116"/>
      <c r="G20" s="102"/>
      <c r="H20" s="102"/>
      <c r="I20" s="102"/>
      <c r="J20" s="103"/>
      <c r="K20" s="355"/>
      <c r="L20" s="355"/>
      <c r="M20" s="359"/>
      <c r="N20">
        <f t="shared" si="0"/>
        <v>1</v>
      </c>
    </row>
    <row r="21" spans="1:16" ht="30" customHeight="1" x14ac:dyDescent="0.3">
      <c r="A21" s="18">
        <v>17</v>
      </c>
      <c r="B21" s="394"/>
      <c r="C21" s="76"/>
      <c r="D21" s="77"/>
      <c r="E21" s="76"/>
      <c r="F21" s="118">
        <v>-13.781000000000001</v>
      </c>
      <c r="G21" s="101">
        <v>18.7881</v>
      </c>
      <c r="H21" s="101">
        <v>-16.523</v>
      </c>
      <c r="I21" s="101">
        <v>18.7865</v>
      </c>
      <c r="J21" s="101"/>
      <c r="K21" s="355"/>
      <c r="L21" s="355"/>
      <c r="M21" s="359"/>
      <c r="N21">
        <f t="shared" si="0"/>
        <v>0</v>
      </c>
    </row>
    <row r="22" spans="1:16" ht="30" customHeight="1" x14ac:dyDescent="0.3">
      <c r="A22" s="18">
        <v>18</v>
      </c>
      <c r="B22" s="394"/>
      <c r="C22" s="76"/>
      <c r="D22" s="77" t="s">
        <v>648</v>
      </c>
      <c r="E22" s="76"/>
      <c r="F22" s="118">
        <v>-14.192</v>
      </c>
      <c r="G22" s="101">
        <v>18.7881</v>
      </c>
      <c r="H22" s="101">
        <v>17.856000000000002</v>
      </c>
      <c r="I22" s="101">
        <v>18.7865</v>
      </c>
      <c r="J22" s="101"/>
      <c r="K22" s="355"/>
      <c r="L22" s="355"/>
      <c r="M22" s="359"/>
      <c r="N22">
        <f t="shared" si="0"/>
        <v>0</v>
      </c>
    </row>
    <row r="23" spans="1:16" ht="30" customHeight="1" x14ac:dyDescent="0.3">
      <c r="A23" s="18">
        <v>19</v>
      </c>
      <c r="B23" s="394"/>
      <c r="C23" s="76"/>
      <c r="D23" s="77"/>
      <c r="E23" s="76"/>
      <c r="F23" s="118">
        <v>-11.574</v>
      </c>
      <c r="G23" s="101">
        <v>18.7881</v>
      </c>
      <c r="H23" s="101">
        <v>-13.497999999999999</v>
      </c>
      <c r="I23" s="101">
        <v>18.7865</v>
      </c>
      <c r="J23" s="101"/>
      <c r="K23" s="355"/>
      <c r="L23" s="355"/>
      <c r="M23" s="359"/>
      <c r="N23">
        <f t="shared" si="0"/>
        <v>0</v>
      </c>
    </row>
    <row r="24" spans="1:16" ht="30" customHeight="1" x14ac:dyDescent="0.3">
      <c r="A24" s="18">
        <v>20</v>
      </c>
      <c r="B24" s="394"/>
      <c r="C24" s="76"/>
      <c r="D24" s="77"/>
      <c r="E24" s="76"/>
      <c r="F24" s="118">
        <v>-8.3130000000000006</v>
      </c>
      <c r="G24" s="101">
        <v>18.785499999999999</v>
      </c>
      <c r="H24" s="101">
        <v>-7.13</v>
      </c>
      <c r="I24" s="101">
        <v>18.783899999999999</v>
      </c>
      <c r="J24" s="273"/>
      <c r="K24" s="355"/>
      <c r="L24" s="355"/>
      <c r="M24" s="359"/>
      <c r="N24">
        <f t="shared" si="0"/>
        <v>0</v>
      </c>
    </row>
    <row r="25" spans="1:16" ht="30" customHeight="1" x14ac:dyDescent="0.3">
      <c r="A25" s="18">
        <v>21</v>
      </c>
      <c r="B25" s="394"/>
      <c r="C25" s="76"/>
      <c r="D25" s="77"/>
      <c r="E25" s="76"/>
      <c r="F25" s="118">
        <v>-17.446000000000002</v>
      </c>
      <c r="G25" s="101">
        <v>18.785499999999999</v>
      </c>
      <c r="H25" s="101">
        <v>-21.780999999999999</v>
      </c>
      <c r="I25" s="101">
        <v>18.783899999999999</v>
      </c>
      <c r="J25" s="273"/>
      <c r="K25" s="355"/>
      <c r="L25" s="355"/>
      <c r="M25" s="359"/>
      <c r="N25">
        <f t="shared" si="0"/>
        <v>0</v>
      </c>
    </row>
    <row r="26" spans="1:16" ht="30" customHeight="1" x14ac:dyDescent="0.3">
      <c r="A26" s="18">
        <v>22</v>
      </c>
      <c r="B26" s="394"/>
      <c r="C26" s="76"/>
      <c r="D26" s="77"/>
      <c r="E26" s="76"/>
      <c r="F26" s="118">
        <v>-17.446000000000002</v>
      </c>
      <c r="G26" s="101">
        <v>18.785499999999999</v>
      </c>
      <c r="H26" s="101">
        <v>-14.978</v>
      </c>
      <c r="I26" s="101">
        <v>18.7852</v>
      </c>
      <c r="J26" s="101"/>
      <c r="K26" s="355"/>
      <c r="L26" s="355"/>
      <c r="M26" s="359"/>
      <c r="N26">
        <f t="shared" si="0"/>
        <v>0</v>
      </c>
    </row>
    <row r="27" spans="1:16" ht="30" customHeight="1" x14ac:dyDescent="0.3">
      <c r="A27" s="20">
        <v>23</v>
      </c>
      <c r="B27" s="394"/>
      <c r="C27" s="98" t="s">
        <v>27</v>
      </c>
      <c r="D27" s="12" t="s">
        <v>145</v>
      </c>
      <c r="E27" s="38"/>
      <c r="F27" s="125"/>
      <c r="G27" s="104"/>
      <c r="H27" s="104"/>
      <c r="I27" s="104"/>
      <c r="J27" s="105"/>
      <c r="K27" s="355"/>
      <c r="L27" s="355"/>
      <c r="M27" s="359"/>
      <c r="N27">
        <f t="shared" si="0"/>
        <v>1</v>
      </c>
    </row>
    <row r="28" spans="1:16" ht="30" customHeight="1" thickBot="1" x14ac:dyDescent="0.35">
      <c r="A28" s="21">
        <v>24</v>
      </c>
      <c r="B28" s="395"/>
      <c r="C28" s="98" t="s">
        <v>27</v>
      </c>
      <c r="D28" s="12" t="s">
        <v>145</v>
      </c>
      <c r="E28" s="40" t="s">
        <v>735</v>
      </c>
      <c r="F28" s="106"/>
      <c r="G28" s="106"/>
      <c r="H28" s="106"/>
      <c r="I28" s="106"/>
      <c r="J28" s="107"/>
      <c r="K28" s="356"/>
      <c r="L28" s="356"/>
      <c r="M28" s="360"/>
      <c r="N28">
        <f t="shared" si="0"/>
        <v>1</v>
      </c>
      <c r="O28">
        <f>SUM(F9,F11,F12,F22,F24,F25,F10,F13,F14,F21,F23,F26)/12</f>
        <v>-13.8775</v>
      </c>
      <c r="P28">
        <f>SUM(H9,H25,H24,H22,H12,H11,H10,H13,H14,H21,H23,H26)/12</f>
        <v>-12.403166666666666</v>
      </c>
    </row>
    <row r="29" spans="1:16" ht="30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723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647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01" t="s">
        <v>638</v>
      </c>
      <c r="G31" s="214">
        <f>전송손실!M15</f>
        <v>-3.1999999999999997</v>
      </c>
      <c r="H31" s="201" t="s">
        <v>638</v>
      </c>
      <c r="I31" s="214">
        <f>전송손실!M41</f>
        <v>-2.66</v>
      </c>
      <c r="J31" s="369"/>
      <c r="K31" s="332"/>
      <c r="L31" s="332"/>
      <c r="M31" s="332"/>
    </row>
    <row r="32" spans="1:16" ht="30.95" customHeight="1" thickBot="1" x14ac:dyDescent="0.35">
      <c r="A32" s="203" t="s">
        <v>0</v>
      </c>
      <c r="B32" s="203" t="s">
        <v>1</v>
      </c>
      <c r="C32" s="203" t="s">
        <v>23</v>
      </c>
      <c r="D32" s="203" t="s">
        <v>2</v>
      </c>
      <c r="E32" s="203" t="s">
        <v>3</v>
      </c>
      <c r="F32" s="203" t="s">
        <v>4</v>
      </c>
      <c r="G32" s="203" t="s">
        <v>506</v>
      </c>
      <c r="H32" s="203" t="s">
        <v>4</v>
      </c>
      <c r="I32" s="203" t="s">
        <v>506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64">
        <v>1</v>
      </c>
      <c r="B33" s="376" t="s">
        <v>270</v>
      </c>
      <c r="C33" s="132" t="s">
        <v>357</v>
      </c>
      <c r="D33" s="133" t="s">
        <v>275</v>
      </c>
      <c r="E33" s="132"/>
      <c r="F33" s="134"/>
      <c r="G33" s="134"/>
      <c r="H33" s="134"/>
      <c r="I33" s="134"/>
      <c r="J33" s="135"/>
      <c r="K33" s="355" t="s">
        <v>428</v>
      </c>
      <c r="L33" s="355"/>
      <c r="M33" s="359"/>
      <c r="N33">
        <f t="shared" si="0"/>
        <v>1</v>
      </c>
    </row>
    <row r="34" spans="1:14" ht="30.95" customHeight="1" x14ac:dyDescent="0.3">
      <c r="A34" s="18">
        <v>2</v>
      </c>
      <c r="B34" s="376"/>
      <c r="C34" s="136" t="s">
        <v>357</v>
      </c>
      <c r="D34" s="137" t="s">
        <v>276</v>
      </c>
      <c r="E34" s="136"/>
      <c r="F34" s="138"/>
      <c r="G34" s="138"/>
      <c r="H34" s="138"/>
      <c r="I34" s="138"/>
      <c r="J34" s="139"/>
      <c r="K34" s="355"/>
      <c r="L34" s="355"/>
      <c r="M34" s="359"/>
      <c r="N34">
        <f t="shared" si="0"/>
        <v>1</v>
      </c>
    </row>
    <row r="35" spans="1:14" ht="30.95" customHeight="1" x14ac:dyDescent="0.3">
      <c r="A35" s="18">
        <v>3</v>
      </c>
      <c r="B35" s="376"/>
      <c r="C35" s="140"/>
      <c r="D35" s="141"/>
      <c r="E35" s="140"/>
      <c r="F35" s="142">
        <v>-14.491</v>
      </c>
      <c r="G35" s="142">
        <v>38.764699999999998</v>
      </c>
      <c r="H35" s="142">
        <v>-13.214</v>
      </c>
      <c r="I35" s="142">
        <v>38.762300000000003</v>
      </c>
      <c r="J35" s="267"/>
      <c r="K35" s="355"/>
      <c r="L35" s="355"/>
      <c r="M35" s="359"/>
      <c r="N35">
        <f t="shared" si="0"/>
        <v>0</v>
      </c>
    </row>
    <row r="36" spans="1:14" ht="30.95" customHeight="1" x14ac:dyDescent="0.3">
      <c r="A36" s="18">
        <v>4</v>
      </c>
      <c r="B36" s="376"/>
      <c r="C36" s="140"/>
      <c r="D36" s="141"/>
      <c r="E36" s="140"/>
      <c r="F36" s="142">
        <v>-14.627000000000001</v>
      </c>
      <c r="G36" s="142">
        <v>38.763399999999997</v>
      </c>
      <c r="H36" s="268">
        <v>-1.204</v>
      </c>
      <c r="I36" s="268">
        <v>1.9140999999999999</v>
      </c>
      <c r="J36" s="267"/>
      <c r="K36" s="355"/>
      <c r="L36" s="355"/>
      <c r="M36" s="359"/>
      <c r="N36">
        <f t="shared" si="0"/>
        <v>0</v>
      </c>
    </row>
    <row r="37" spans="1:14" ht="30.95" customHeight="1" x14ac:dyDescent="0.3">
      <c r="A37" s="18">
        <v>5</v>
      </c>
      <c r="B37" s="376"/>
      <c r="C37" s="140"/>
      <c r="D37" s="141"/>
      <c r="E37" s="140"/>
      <c r="F37" s="142">
        <v>-14.818</v>
      </c>
      <c r="G37" s="142">
        <v>38.764699999999998</v>
      </c>
      <c r="H37" s="268">
        <v>-1.6639999999999999</v>
      </c>
      <c r="I37" s="268">
        <v>1.9179999999999999</v>
      </c>
      <c r="J37" s="142"/>
      <c r="K37" s="355"/>
      <c r="L37" s="355"/>
      <c r="M37" s="359"/>
      <c r="N37">
        <f t="shared" si="0"/>
        <v>0</v>
      </c>
    </row>
    <row r="38" spans="1:14" ht="30.95" customHeight="1" x14ac:dyDescent="0.3">
      <c r="A38" s="18">
        <v>6</v>
      </c>
      <c r="B38" s="376"/>
      <c r="C38" s="140"/>
      <c r="D38" s="141"/>
      <c r="E38" s="140"/>
      <c r="F38" s="142">
        <v>-14.192</v>
      </c>
      <c r="G38" s="142">
        <v>38.764699999999998</v>
      </c>
      <c r="H38" s="142">
        <v>-13.645</v>
      </c>
      <c r="I38" s="142">
        <v>38.762300000000003</v>
      </c>
      <c r="J38" s="142"/>
      <c r="K38" s="355"/>
      <c r="L38" s="355"/>
      <c r="M38" s="359"/>
      <c r="N38">
        <f t="shared" si="0"/>
        <v>0</v>
      </c>
    </row>
    <row r="39" spans="1:14" ht="30.95" customHeight="1" x14ac:dyDescent="0.3">
      <c r="A39" s="18">
        <v>7</v>
      </c>
      <c r="B39" s="376"/>
      <c r="C39" s="143" t="s">
        <v>63</v>
      </c>
      <c r="D39" s="144" t="s">
        <v>511</v>
      </c>
      <c r="E39" s="143"/>
      <c r="F39" s="145"/>
      <c r="G39" s="145"/>
      <c r="H39" s="145"/>
      <c r="I39" s="145"/>
      <c r="J39" s="146"/>
      <c r="K39" s="355"/>
      <c r="L39" s="355"/>
      <c r="M39" s="359"/>
      <c r="N39">
        <f t="shared" si="0"/>
        <v>1</v>
      </c>
    </row>
    <row r="40" spans="1:14" ht="30.95" customHeight="1" x14ac:dyDescent="0.3">
      <c r="A40" s="18">
        <v>8</v>
      </c>
      <c r="B40" s="376"/>
      <c r="C40" s="143" t="s">
        <v>358</v>
      </c>
      <c r="D40" s="144" t="s">
        <v>274</v>
      </c>
      <c r="E40" s="143"/>
      <c r="F40" s="145"/>
      <c r="G40" s="145"/>
      <c r="H40" s="145"/>
      <c r="I40" s="145"/>
      <c r="J40" s="146"/>
      <c r="K40" s="355"/>
      <c r="L40" s="355"/>
      <c r="M40" s="359"/>
      <c r="N40">
        <f t="shared" si="0"/>
        <v>1</v>
      </c>
    </row>
    <row r="41" spans="1:14" ht="30.95" customHeight="1" x14ac:dyDescent="0.3">
      <c r="A41" s="18">
        <v>9</v>
      </c>
      <c r="B41" s="376"/>
      <c r="C41" s="143" t="s">
        <v>357</v>
      </c>
      <c r="D41" s="144" t="s">
        <v>277</v>
      </c>
      <c r="E41" s="143"/>
      <c r="F41" s="145"/>
      <c r="G41" s="145"/>
      <c r="H41" s="145"/>
      <c r="I41" s="145"/>
      <c r="J41" s="146"/>
      <c r="K41" s="355"/>
      <c r="L41" s="355"/>
      <c r="M41" s="359"/>
      <c r="N41">
        <f t="shared" si="0"/>
        <v>1</v>
      </c>
    </row>
    <row r="42" spans="1:14" ht="30.95" customHeight="1" x14ac:dyDescent="0.3">
      <c r="A42" s="18">
        <v>10</v>
      </c>
      <c r="B42" s="376"/>
      <c r="C42" s="143" t="s">
        <v>357</v>
      </c>
      <c r="D42" s="144" t="s">
        <v>278</v>
      </c>
      <c r="E42" s="143"/>
      <c r="F42" s="145"/>
      <c r="G42" s="145"/>
      <c r="H42" s="145"/>
      <c r="I42" s="145"/>
      <c r="J42" s="146"/>
      <c r="K42" s="355"/>
      <c r="L42" s="355"/>
      <c r="M42" s="359"/>
      <c r="N42">
        <f t="shared" si="0"/>
        <v>1</v>
      </c>
    </row>
    <row r="43" spans="1:14" ht="30.95" customHeight="1" x14ac:dyDescent="0.3">
      <c r="A43" s="18">
        <v>11</v>
      </c>
      <c r="B43" s="376"/>
      <c r="C43" s="143" t="s">
        <v>27</v>
      </c>
      <c r="D43" s="144" t="s">
        <v>273</v>
      </c>
      <c r="E43" s="143"/>
      <c r="F43" s="145"/>
      <c r="G43" s="145"/>
      <c r="H43" s="145"/>
      <c r="I43" s="145"/>
      <c r="J43" s="145"/>
      <c r="K43" s="355"/>
      <c r="L43" s="355"/>
      <c r="M43" s="359"/>
      <c r="N43">
        <f t="shared" si="0"/>
        <v>1</v>
      </c>
    </row>
    <row r="44" spans="1:14" ht="30.95" customHeight="1" x14ac:dyDescent="0.3">
      <c r="A44" s="18">
        <v>12</v>
      </c>
      <c r="B44" s="376"/>
      <c r="C44" s="143" t="s">
        <v>27</v>
      </c>
      <c r="D44" s="144" t="s">
        <v>273</v>
      </c>
      <c r="E44" s="143"/>
      <c r="F44" s="145"/>
      <c r="G44" s="145"/>
      <c r="H44" s="145"/>
      <c r="I44" s="145"/>
      <c r="J44" s="145"/>
      <c r="K44" s="355"/>
      <c r="L44" s="355"/>
      <c r="M44" s="359"/>
      <c r="N44">
        <f t="shared" si="0"/>
        <v>1</v>
      </c>
    </row>
    <row r="45" spans="1:14" ht="30.95" customHeight="1" x14ac:dyDescent="0.3">
      <c r="A45" s="18">
        <v>13</v>
      </c>
      <c r="B45" s="376"/>
      <c r="C45" s="143" t="s">
        <v>63</v>
      </c>
      <c r="D45" s="144" t="s">
        <v>512</v>
      </c>
      <c r="E45" s="143"/>
      <c r="F45" s="145"/>
      <c r="G45" s="145"/>
      <c r="H45" s="145"/>
      <c r="I45" s="145"/>
      <c r="J45" s="146"/>
      <c r="K45" s="355"/>
      <c r="L45" s="355"/>
      <c r="M45" s="359"/>
      <c r="N45">
        <f t="shared" si="0"/>
        <v>1</v>
      </c>
    </row>
    <row r="46" spans="1:14" s="11" customFormat="1" ht="30.95" customHeight="1" x14ac:dyDescent="0.3">
      <c r="A46" s="18">
        <v>14</v>
      </c>
      <c r="B46" s="376"/>
      <c r="C46" s="140"/>
      <c r="D46" s="141"/>
      <c r="E46" s="140"/>
      <c r="F46" s="142">
        <v>-14.396000000000001</v>
      </c>
      <c r="G46" s="142">
        <v>38.767299999999999</v>
      </c>
      <c r="H46" s="142">
        <v>-8.7129999999999992</v>
      </c>
      <c r="I46" s="142">
        <v>38.761000000000003</v>
      </c>
      <c r="J46" s="142"/>
      <c r="K46" s="355"/>
      <c r="L46" s="355"/>
      <c r="M46" s="359"/>
      <c r="N46">
        <f t="shared" si="0"/>
        <v>0</v>
      </c>
    </row>
    <row r="47" spans="1:14" s="11" customFormat="1" ht="30.95" customHeight="1" x14ac:dyDescent="0.3">
      <c r="A47" s="18">
        <v>15</v>
      </c>
      <c r="B47" s="376"/>
      <c r="C47" s="140"/>
      <c r="D47" s="141"/>
      <c r="E47" s="140"/>
      <c r="F47" s="118">
        <v>-14.345000000000001</v>
      </c>
      <c r="G47" s="118">
        <v>38.763399999999997</v>
      </c>
      <c r="H47" s="118">
        <v>-9.3829999999999991</v>
      </c>
      <c r="I47" s="118">
        <v>38.758400000000002</v>
      </c>
      <c r="J47" s="142"/>
      <c r="K47" s="355"/>
      <c r="L47" s="355"/>
      <c r="M47" s="359"/>
      <c r="N47">
        <f t="shared" si="0"/>
        <v>0</v>
      </c>
    </row>
    <row r="48" spans="1:14" s="11" customFormat="1" ht="30.95" customHeight="1" x14ac:dyDescent="0.3">
      <c r="A48" s="18">
        <v>16</v>
      </c>
      <c r="B48" s="376"/>
      <c r="C48" s="140"/>
      <c r="D48" s="141"/>
      <c r="E48" s="140"/>
      <c r="F48" s="142">
        <v>-14.486000000000001</v>
      </c>
      <c r="G48" s="142">
        <v>38.764699999999998</v>
      </c>
      <c r="H48" s="142">
        <v>-12.946999999999999</v>
      </c>
      <c r="I48" s="142">
        <v>38.763500000000001</v>
      </c>
      <c r="J48" s="142"/>
      <c r="K48" s="355"/>
      <c r="L48" s="355"/>
      <c r="M48" s="359"/>
      <c r="N48">
        <f t="shared" si="0"/>
        <v>0</v>
      </c>
    </row>
    <row r="49" spans="1:16" s="11" customFormat="1" ht="30.95" customHeight="1" x14ac:dyDescent="0.3">
      <c r="A49" s="18">
        <v>17</v>
      </c>
      <c r="B49" s="376"/>
      <c r="C49" s="143" t="s">
        <v>356</v>
      </c>
      <c r="D49" s="144" t="s">
        <v>694</v>
      </c>
      <c r="E49" s="143"/>
      <c r="F49" s="145"/>
      <c r="G49" s="145"/>
      <c r="H49" s="145"/>
      <c r="I49" s="145"/>
      <c r="J49" s="146"/>
      <c r="K49" s="355"/>
      <c r="L49" s="355"/>
      <c r="M49" s="359"/>
      <c r="N49">
        <f t="shared" si="0"/>
        <v>1</v>
      </c>
    </row>
    <row r="50" spans="1:16" s="11" customFormat="1" ht="30.95" customHeight="1" x14ac:dyDescent="0.3">
      <c r="A50" s="18">
        <v>18</v>
      </c>
      <c r="B50" s="376"/>
      <c r="C50" s="143" t="s">
        <v>356</v>
      </c>
      <c r="D50" s="144" t="s">
        <v>695</v>
      </c>
      <c r="E50" s="143"/>
      <c r="F50" s="145"/>
      <c r="G50" s="145"/>
      <c r="H50" s="145"/>
      <c r="I50" s="145"/>
      <c r="J50" s="146"/>
      <c r="K50" s="355"/>
      <c r="L50" s="355"/>
      <c r="M50" s="359"/>
      <c r="N50">
        <f t="shared" si="0"/>
        <v>1</v>
      </c>
    </row>
    <row r="51" spans="1:16" s="11" customFormat="1" ht="30.95" customHeight="1" x14ac:dyDescent="0.3">
      <c r="A51" s="18">
        <v>19</v>
      </c>
      <c r="B51" s="376"/>
      <c r="C51" s="143" t="s">
        <v>360</v>
      </c>
      <c r="D51" s="144" t="s">
        <v>255</v>
      </c>
      <c r="E51" s="143"/>
      <c r="F51" s="145"/>
      <c r="G51" s="145"/>
      <c r="H51" s="145"/>
      <c r="I51" s="145"/>
      <c r="J51" s="146"/>
      <c r="K51" s="355"/>
      <c r="L51" s="355"/>
      <c r="M51" s="359"/>
      <c r="N51">
        <f t="shared" si="0"/>
        <v>1</v>
      </c>
    </row>
    <row r="52" spans="1:16" s="11" customFormat="1" ht="30.95" customHeight="1" x14ac:dyDescent="0.3">
      <c r="A52" s="18">
        <v>20</v>
      </c>
      <c r="B52" s="376"/>
      <c r="C52" s="136" t="s">
        <v>358</v>
      </c>
      <c r="D52" s="137" t="s">
        <v>274</v>
      </c>
      <c r="E52" s="136"/>
      <c r="F52" s="138"/>
      <c r="G52" s="138"/>
      <c r="H52" s="138"/>
      <c r="I52" s="138"/>
      <c r="J52" s="139"/>
      <c r="K52" s="355"/>
      <c r="L52" s="355"/>
      <c r="M52" s="359"/>
      <c r="N52">
        <f t="shared" si="0"/>
        <v>1</v>
      </c>
    </row>
    <row r="53" spans="1:16" s="11" customFormat="1" ht="30.95" customHeight="1" x14ac:dyDescent="0.3">
      <c r="A53" s="18">
        <v>21</v>
      </c>
      <c r="B53" s="376"/>
      <c r="C53" s="140"/>
      <c r="D53" s="141"/>
      <c r="E53" s="140"/>
      <c r="F53" s="142">
        <v>-14.026</v>
      </c>
      <c r="G53" s="142">
        <v>38.7622</v>
      </c>
      <c r="H53" s="142">
        <v>-8.3529999999999998</v>
      </c>
      <c r="I53" s="142">
        <v>38.757199999999997</v>
      </c>
      <c r="J53" s="267"/>
      <c r="K53" s="355"/>
      <c r="L53" s="355"/>
      <c r="M53" s="359"/>
      <c r="N53">
        <f t="shared" si="0"/>
        <v>0</v>
      </c>
    </row>
    <row r="54" spans="1:16" s="11" customFormat="1" ht="30.95" customHeight="1" x14ac:dyDescent="0.3">
      <c r="A54" s="18">
        <v>22</v>
      </c>
      <c r="B54" s="376"/>
      <c r="C54" s="140"/>
      <c r="D54" s="141"/>
      <c r="E54" s="140"/>
      <c r="F54" s="142">
        <v>-13.981999999999999</v>
      </c>
      <c r="G54" s="142">
        <v>38.763399999999997</v>
      </c>
      <c r="H54" s="142">
        <v>-8.4030000000000005</v>
      </c>
      <c r="I54" s="142">
        <v>38.761000000000003</v>
      </c>
      <c r="J54" s="267"/>
      <c r="K54" s="355"/>
      <c r="L54" s="355"/>
      <c r="M54" s="359"/>
      <c r="N54">
        <f t="shared" si="0"/>
        <v>0</v>
      </c>
    </row>
    <row r="55" spans="1:16" s="11" customFormat="1" ht="30.95" customHeight="1" x14ac:dyDescent="0.3">
      <c r="A55" s="18">
        <v>23</v>
      </c>
      <c r="B55" s="376"/>
      <c r="C55" s="140"/>
      <c r="D55" s="141"/>
      <c r="E55" s="140"/>
      <c r="F55" s="142">
        <v>-13.977</v>
      </c>
      <c r="G55" s="142">
        <v>38.765999999999998</v>
      </c>
      <c r="H55" s="142">
        <v>-8.6460000000000008</v>
      </c>
      <c r="I55" s="142">
        <v>38.761000000000003</v>
      </c>
      <c r="J55" s="267"/>
      <c r="K55" s="355"/>
      <c r="L55" s="355"/>
      <c r="M55" s="359"/>
      <c r="N55">
        <f t="shared" si="0"/>
        <v>0</v>
      </c>
    </row>
    <row r="56" spans="1:16" s="11" customFormat="1" ht="30.95" customHeight="1" thickBot="1" x14ac:dyDescent="0.35">
      <c r="A56" s="21">
        <v>24</v>
      </c>
      <c r="B56" s="377"/>
      <c r="C56" s="269"/>
      <c r="D56" s="270"/>
      <c r="E56" s="269"/>
      <c r="F56" s="271">
        <v>-13.867000000000001</v>
      </c>
      <c r="G56" s="271">
        <v>38.763399999999997</v>
      </c>
      <c r="H56" s="271">
        <v>-8.3889999999999993</v>
      </c>
      <c r="I56" s="271">
        <v>38.759700000000002</v>
      </c>
      <c r="J56" s="272"/>
      <c r="K56" s="356"/>
      <c r="L56" s="356"/>
      <c r="M56" s="360"/>
      <c r="N56">
        <f t="shared" si="0"/>
        <v>0</v>
      </c>
      <c r="O56" s="11">
        <f>SUM(F35:F38,F53:F56,F46:F48)/11</f>
        <v>-14.291545454545455</v>
      </c>
      <c r="P56" s="221">
        <f>SUM(H35:H38,H53:H56,H46:H48)/11</f>
        <v>-8.5964545454545451</v>
      </c>
    </row>
    <row r="57" spans="1:16" s="11" customFormat="1" ht="30.95" customHeight="1" x14ac:dyDescent="0.3">
      <c r="A57" s="25">
        <v>1</v>
      </c>
      <c r="B57" s="409" t="s">
        <v>437</v>
      </c>
      <c r="C57" s="41" t="s">
        <v>359</v>
      </c>
      <c r="D57" s="26" t="s">
        <v>280</v>
      </c>
      <c r="E57" s="41"/>
      <c r="F57" s="63"/>
      <c r="G57" s="63"/>
      <c r="H57" s="63"/>
      <c r="I57" s="63"/>
      <c r="J57" s="50"/>
      <c r="K57" s="27"/>
      <c r="L57" s="27"/>
      <c r="M57" s="28"/>
      <c r="N57"/>
    </row>
    <row r="58" spans="1:16" s="11" customFormat="1" ht="30.95" customHeight="1" x14ac:dyDescent="0.3">
      <c r="A58" s="18">
        <v>2</v>
      </c>
      <c r="B58" s="346"/>
      <c r="C58" s="35" t="s">
        <v>359</v>
      </c>
      <c r="D58" s="12" t="s">
        <v>280</v>
      </c>
      <c r="E58" s="35"/>
      <c r="F58" s="60"/>
      <c r="G58" s="60"/>
      <c r="H58" s="60"/>
      <c r="I58" s="60"/>
      <c r="J58" s="51"/>
      <c r="K58" s="39"/>
      <c r="L58" s="39"/>
      <c r="M58" s="19"/>
      <c r="N58"/>
    </row>
    <row r="59" spans="1:16" s="11" customFormat="1" ht="30.95" customHeight="1" x14ac:dyDescent="0.3">
      <c r="A59" s="18">
        <v>3</v>
      </c>
      <c r="B59" s="346"/>
      <c r="C59" s="35"/>
      <c r="D59" s="12"/>
      <c r="E59" s="35"/>
      <c r="F59" s="60"/>
      <c r="G59" s="60"/>
      <c r="H59" s="60"/>
      <c r="I59" s="60"/>
      <c r="J59" s="51"/>
      <c r="K59" s="39"/>
      <c r="L59" s="39"/>
      <c r="M59" s="19"/>
      <c r="N59"/>
    </row>
    <row r="60" spans="1:16" s="11" customFormat="1" ht="30.95" customHeight="1" x14ac:dyDescent="0.3">
      <c r="A60" s="18">
        <v>4</v>
      </c>
      <c r="B60" s="346"/>
      <c r="C60" s="35"/>
      <c r="D60" s="12"/>
      <c r="E60" s="35"/>
      <c r="F60" s="60"/>
      <c r="G60" s="60"/>
      <c r="H60" s="60"/>
      <c r="I60" s="60"/>
      <c r="J60" s="51"/>
      <c r="K60" s="39"/>
      <c r="L60" s="39"/>
      <c r="M60" s="19"/>
      <c r="N60"/>
    </row>
    <row r="61" spans="1:16" s="11" customFormat="1" ht="30.95" customHeight="1" x14ac:dyDescent="0.3">
      <c r="A61" s="18">
        <v>5</v>
      </c>
      <c r="B61" s="346"/>
      <c r="C61" s="35"/>
      <c r="D61" s="12"/>
      <c r="E61" s="35"/>
      <c r="F61" s="60"/>
      <c r="G61" s="60"/>
      <c r="H61" s="60"/>
      <c r="I61" s="60"/>
      <c r="J61" s="51"/>
      <c r="K61" s="39"/>
      <c r="L61" s="39"/>
      <c r="M61" s="19"/>
      <c r="N61"/>
    </row>
    <row r="62" spans="1:16" s="11" customFormat="1" ht="30.95" customHeight="1" x14ac:dyDescent="0.3">
      <c r="A62" s="18">
        <v>6</v>
      </c>
      <c r="B62" s="346"/>
      <c r="C62" s="35"/>
      <c r="D62" s="12"/>
      <c r="E62" s="35"/>
      <c r="F62" s="60"/>
      <c r="G62" s="60"/>
      <c r="H62" s="60"/>
      <c r="I62" s="60"/>
      <c r="J62" s="51"/>
      <c r="K62" s="39"/>
      <c r="L62" s="39"/>
      <c r="M62" s="19"/>
      <c r="N62"/>
    </row>
    <row r="63" spans="1:16" s="11" customFormat="1" ht="30.95" customHeight="1" x14ac:dyDescent="0.3">
      <c r="A63" s="18">
        <v>7</v>
      </c>
      <c r="B63" s="346"/>
      <c r="C63" s="35"/>
      <c r="D63" s="12"/>
      <c r="E63" s="35"/>
      <c r="F63" s="60"/>
      <c r="G63" s="60"/>
      <c r="H63" s="60"/>
      <c r="I63" s="60"/>
      <c r="J63" s="51"/>
      <c r="K63" s="39"/>
      <c r="L63" s="39"/>
      <c r="M63" s="19"/>
      <c r="N63"/>
    </row>
    <row r="64" spans="1:16" s="11" customFormat="1" ht="30.95" customHeight="1" x14ac:dyDescent="0.3">
      <c r="A64" s="18">
        <v>8</v>
      </c>
      <c r="B64" s="346"/>
      <c r="C64" s="35"/>
      <c r="D64" s="12"/>
      <c r="E64" s="35"/>
      <c r="F64" s="60"/>
      <c r="G64" s="60"/>
      <c r="H64" s="60"/>
      <c r="I64" s="60"/>
      <c r="J64" s="51"/>
      <c r="K64" s="39"/>
      <c r="L64" s="39"/>
      <c r="M64" s="19"/>
      <c r="N64"/>
    </row>
    <row r="65" spans="1:14" s="11" customFormat="1" ht="30.95" customHeight="1" x14ac:dyDescent="0.3">
      <c r="A65" s="18">
        <v>9</v>
      </c>
      <c r="B65" s="346"/>
      <c r="C65" s="35" t="s">
        <v>358</v>
      </c>
      <c r="D65" s="12" t="s">
        <v>363</v>
      </c>
      <c r="E65" s="35"/>
      <c r="F65" s="60"/>
      <c r="G65" s="60"/>
      <c r="H65" s="60"/>
      <c r="I65" s="60"/>
      <c r="J65" s="51"/>
      <c r="K65" s="39"/>
      <c r="L65" s="39"/>
      <c r="M65" s="19"/>
      <c r="N65"/>
    </row>
    <row r="66" spans="1:14" s="11" customFormat="1" ht="30.95" customHeight="1" x14ac:dyDescent="0.3">
      <c r="A66" s="18">
        <v>10</v>
      </c>
      <c r="B66" s="346"/>
      <c r="C66" s="35" t="s">
        <v>358</v>
      </c>
      <c r="D66" s="12" t="s">
        <v>363</v>
      </c>
      <c r="E66" s="35"/>
      <c r="F66" s="60"/>
      <c r="G66" s="60"/>
      <c r="H66" s="60"/>
      <c r="I66" s="60"/>
      <c r="J66" s="51"/>
      <c r="K66" s="39"/>
      <c r="L66" s="39"/>
      <c r="M66" s="19"/>
      <c r="N66"/>
    </row>
    <row r="67" spans="1:14" s="11" customFormat="1" ht="30.95" customHeight="1" x14ac:dyDescent="0.3">
      <c r="A67" s="18">
        <v>11</v>
      </c>
      <c r="B67" s="346"/>
      <c r="C67" s="35"/>
      <c r="D67" s="12"/>
      <c r="E67" s="35"/>
      <c r="F67" s="60"/>
      <c r="G67" s="60"/>
      <c r="H67" s="60"/>
      <c r="I67" s="60"/>
      <c r="J67" s="51"/>
      <c r="K67" s="39"/>
      <c r="L67" s="39"/>
      <c r="M67" s="19"/>
      <c r="N67"/>
    </row>
    <row r="68" spans="1:14" s="11" customFormat="1" ht="30.95" customHeight="1" x14ac:dyDescent="0.3">
      <c r="A68" s="18">
        <v>12</v>
      </c>
      <c r="B68" s="346"/>
      <c r="C68" s="35"/>
      <c r="D68" s="12"/>
      <c r="E68" s="35"/>
      <c r="F68" s="60"/>
      <c r="G68" s="60"/>
      <c r="H68" s="60"/>
      <c r="I68" s="60"/>
      <c r="J68" s="51"/>
      <c r="K68" s="39"/>
      <c r="L68" s="39"/>
      <c r="M68" s="19"/>
      <c r="N68"/>
    </row>
    <row r="69" spans="1:14" s="11" customFormat="1" ht="30.95" customHeight="1" x14ac:dyDescent="0.3">
      <c r="A69" s="18">
        <v>13</v>
      </c>
      <c r="B69" s="346"/>
      <c r="C69" s="35"/>
      <c r="D69" s="12"/>
      <c r="E69" s="35"/>
      <c r="F69" s="60"/>
      <c r="G69" s="60"/>
      <c r="H69" s="60"/>
      <c r="I69" s="60"/>
      <c r="J69" s="51"/>
      <c r="K69" s="39"/>
      <c r="L69" s="39"/>
      <c r="M69" s="19"/>
      <c r="N69"/>
    </row>
    <row r="70" spans="1:14" s="11" customFormat="1" ht="30.95" customHeight="1" x14ac:dyDescent="0.3">
      <c r="A70" s="18">
        <v>14</v>
      </c>
      <c r="B70" s="346"/>
      <c r="C70" s="35"/>
      <c r="D70" s="12"/>
      <c r="E70" s="35"/>
      <c r="F70" s="60"/>
      <c r="G70" s="60"/>
      <c r="H70" s="60"/>
      <c r="I70" s="60"/>
      <c r="J70" s="51"/>
      <c r="K70" s="39"/>
      <c r="L70" s="39"/>
      <c r="M70" s="19"/>
      <c r="N70"/>
    </row>
    <row r="71" spans="1:14" s="11" customFormat="1" ht="30.95" customHeight="1" x14ac:dyDescent="0.3">
      <c r="A71" s="18">
        <v>15</v>
      </c>
      <c r="B71" s="346"/>
      <c r="C71" s="35"/>
      <c r="D71" s="12"/>
      <c r="E71" s="35"/>
      <c r="F71" s="60"/>
      <c r="G71" s="60"/>
      <c r="H71" s="60"/>
      <c r="I71" s="60"/>
      <c r="J71" s="51"/>
      <c r="K71" s="39"/>
      <c r="L71" s="39"/>
      <c r="M71" s="19"/>
      <c r="N71"/>
    </row>
    <row r="72" spans="1:14" s="11" customFormat="1" ht="30.95" customHeight="1" x14ac:dyDescent="0.3">
      <c r="A72" s="18">
        <v>16</v>
      </c>
      <c r="B72" s="346"/>
      <c r="C72" s="35"/>
      <c r="D72" s="12"/>
      <c r="E72" s="35"/>
      <c r="F72" s="60"/>
      <c r="G72" s="60"/>
      <c r="H72" s="60"/>
      <c r="I72" s="60"/>
      <c r="J72" s="51"/>
      <c r="K72" s="39"/>
      <c r="L72" s="39"/>
      <c r="M72" s="19"/>
      <c r="N72"/>
    </row>
    <row r="73" spans="1:14" s="11" customFormat="1" ht="30.95" customHeight="1" x14ac:dyDescent="0.3">
      <c r="A73" s="18">
        <v>17</v>
      </c>
      <c r="B73" s="346"/>
      <c r="C73" s="35"/>
      <c r="D73" s="12"/>
      <c r="E73" s="35"/>
      <c r="F73" s="60"/>
      <c r="G73" s="60"/>
      <c r="H73" s="60"/>
      <c r="I73" s="60"/>
      <c r="J73" s="51"/>
      <c r="K73" s="39"/>
      <c r="L73" s="39"/>
      <c r="M73" s="19"/>
      <c r="N73"/>
    </row>
    <row r="74" spans="1:14" s="11" customFormat="1" ht="30.95" customHeight="1" x14ac:dyDescent="0.3">
      <c r="A74" s="18">
        <v>18</v>
      </c>
      <c r="B74" s="346"/>
      <c r="C74" s="35"/>
      <c r="D74" s="12"/>
      <c r="E74" s="35"/>
      <c r="F74" s="60"/>
      <c r="G74" s="60"/>
      <c r="H74" s="60"/>
      <c r="I74" s="60"/>
      <c r="J74" s="51"/>
      <c r="K74" s="39"/>
      <c r="L74" s="39"/>
      <c r="M74" s="19"/>
      <c r="N74"/>
    </row>
    <row r="75" spans="1:14" s="11" customFormat="1" ht="30.95" customHeight="1" x14ac:dyDescent="0.3">
      <c r="A75" s="18">
        <v>19</v>
      </c>
      <c r="B75" s="346"/>
      <c r="C75" s="35"/>
      <c r="D75" s="12"/>
      <c r="E75" s="35"/>
      <c r="F75" s="60"/>
      <c r="G75" s="60"/>
      <c r="H75" s="60"/>
      <c r="I75" s="60"/>
      <c r="J75" s="51"/>
      <c r="K75" s="39"/>
      <c r="L75" s="39"/>
      <c r="M75" s="19"/>
      <c r="N75"/>
    </row>
    <row r="76" spans="1:14" s="11" customFormat="1" ht="30.95" customHeight="1" x14ac:dyDescent="0.3">
      <c r="A76" s="18">
        <v>20</v>
      </c>
      <c r="B76" s="346"/>
      <c r="C76" s="35"/>
      <c r="D76" s="12"/>
      <c r="E76" s="35"/>
      <c r="F76" s="60"/>
      <c r="G76" s="60"/>
      <c r="H76" s="60"/>
      <c r="I76" s="60"/>
      <c r="J76" s="51"/>
      <c r="K76" s="39"/>
      <c r="L76" s="39"/>
      <c r="M76" s="19"/>
      <c r="N76"/>
    </row>
    <row r="77" spans="1:14" s="11" customFormat="1" ht="30.95" customHeight="1" x14ac:dyDescent="0.3">
      <c r="A77" s="18">
        <v>21</v>
      </c>
      <c r="B77" s="346"/>
      <c r="C77" s="35"/>
      <c r="D77" s="12"/>
      <c r="E77" s="35"/>
      <c r="F77" s="60"/>
      <c r="G77" s="60"/>
      <c r="H77" s="60"/>
      <c r="I77" s="60"/>
      <c r="J77" s="51"/>
      <c r="K77" s="39"/>
      <c r="L77" s="39"/>
      <c r="M77" s="19"/>
      <c r="N77"/>
    </row>
    <row r="78" spans="1:14" s="11" customFormat="1" ht="30.95" customHeight="1" x14ac:dyDescent="0.3">
      <c r="A78" s="18">
        <v>22</v>
      </c>
      <c r="B78" s="346"/>
      <c r="C78" s="35"/>
      <c r="D78" s="12"/>
      <c r="E78" s="35"/>
      <c r="F78" s="60"/>
      <c r="G78" s="60"/>
      <c r="H78" s="60"/>
      <c r="I78" s="60"/>
      <c r="J78" s="51"/>
      <c r="K78" s="39"/>
      <c r="L78" s="39"/>
      <c r="M78" s="19"/>
      <c r="N78"/>
    </row>
    <row r="79" spans="1:14" s="11" customFormat="1" ht="30.95" customHeight="1" x14ac:dyDescent="0.3">
      <c r="A79" s="18">
        <v>23</v>
      </c>
      <c r="B79" s="346"/>
      <c r="C79" s="35" t="s">
        <v>361</v>
      </c>
      <c r="D79" s="12" t="s">
        <v>281</v>
      </c>
      <c r="E79" s="35"/>
      <c r="F79" s="60"/>
      <c r="G79" s="60"/>
      <c r="H79" s="60"/>
      <c r="I79" s="60"/>
      <c r="J79" s="51"/>
      <c r="K79" s="39"/>
      <c r="L79" s="39"/>
      <c r="M79" s="19"/>
      <c r="N79"/>
    </row>
    <row r="80" spans="1:14" s="11" customFormat="1" ht="30.95" customHeight="1" thickBot="1" x14ac:dyDescent="0.35">
      <c r="A80" s="21">
        <v>24</v>
      </c>
      <c r="B80" s="347"/>
      <c r="C80" s="40" t="s">
        <v>361</v>
      </c>
      <c r="D80" s="22" t="s">
        <v>281</v>
      </c>
      <c r="E80" s="40"/>
      <c r="F80" s="66"/>
      <c r="G80" s="66"/>
      <c r="H80" s="66"/>
      <c r="I80" s="66"/>
      <c r="J80" s="52"/>
      <c r="K80" s="23"/>
      <c r="L80" s="23"/>
      <c r="M80" s="24"/>
      <c r="N80"/>
    </row>
    <row r="81" spans="1:14" s="11" customFormat="1" ht="30.95" customHeight="1" x14ac:dyDescent="0.3">
      <c r="A81" s="25">
        <v>1</v>
      </c>
      <c r="B81" s="409" t="s">
        <v>438</v>
      </c>
      <c r="C81" s="41" t="s">
        <v>359</v>
      </c>
      <c r="D81" s="26" t="s">
        <v>279</v>
      </c>
      <c r="E81" s="41"/>
      <c r="F81" s="63"/>
      <c r="G81" s="63"/>
      <c r="H81" s="63"/>
      <c r="I81" s="63"/>
      <c r="J81" s="50"/>
      <c r="K81" s="27"/>
      <c r="L81" s="27"/>
      <c r="M81" s="28"/>
      <c r="N81"/>
    </row>
    <row r="82" spans="1:14" s="11" customFormat="1" ht="30.95" customHeight="1" x14ac:dyDescent="0.3">
      <c r="A82" s="18">
        <v>2</v>
      </c>
      <c r="B82" s="346"/>
      <c r="C82" s="35" t="s">
        <v>359</v>
      </c>
      <c r="D82" s="12" t="s">
        <v>279</v>
      </c>
      <c r="E82" s="35"/>
      <c r="F82" s="60"/>
      <c r="G82" s="60"/>
      <c r="H82" s="60"/>
      <c r="I82" s="60"/>
      <c r="J82" s="51"/>
      <c r="K82" s="39"/>
      <c r="L82" s="39"/>
      <c r="M82" s="19"/>
      <c r="N82"/>
    </row>
    <row r="83" spans="1:14" s="11" customFormat="1" ht="30.95" customHeight="1" x14ac:dyDescent="0.3">
      <c r="A83" s="18">
        <v>3</v>
      </c>
      <c r="B83" s="346"/>
      <c r="C83" s="35"/>
      <c r="D83" s="12"/>
      <c r="E83" s="35"/>
      <c r="F83" s="60"/>
      <c r="G83" s="60"/>
      <c r="H83" s="60"/>
      <c r="I83" s="60"/>
      <c r="J83" s="51"/>
      <c r="K83" s="39"/>
      <c r="L83" s="39"/>
      <c r="M83" s="19"/>
      <c r="N83"/>
    </row>
    <row r="84" spans="1:14" s="11" customFormat="1" ht="30.95" customHeight="1" x14ac:dyDescent="0.3">
      <c r="A84" s="18">
        <v>4</v>
      </c>
      <c r="B84" s="346"/>
      <c r="C84" s="35"/>
      <c r="D84" s="12"/>
      <c r="E84" s="35"/>
      <c r="F84" s="60"/>
      <c r="G84" s="60"/>
      <c r="H84" s="60"/>
      <c r="I84" s="60"/>
      <c r="J84" s="51"/>
      <c r="K84" s="39"/>
      <c r="L84" s="39"/>
      <c r="M84" s="19"/>
      <c r="N84"/>
    </row>
    <row r="85" spans="1:14" s="11" customFormat="1" ht="30.95" customHeight="1" x14ac:dyDescent="0.3">
      <c r="A85" s="18">
        <v>5</v>
      </c>
      <c r="B85" s="346"/>
      <c r="C85" s="35"/>
      <c r="D85" s="12"/>
      <c r="E85" s="35"/>
      <c r="F85" s="60"/>
      <c r="G85" s="60"/>
      <c r="H85" s="60"/>
      <c r="I85" s="60"/>
      <c r="J85" s="51"/>
      <c r="K85" s="39"/>
      <c r="L85" s="39"/>
      <c r="M85" s="19"/>
      <c r="N85"/>
    </row>
    <row r="86" spans="1:14" s="11" customFormat="1" ht="30.95" customHeight="1" x14ac:dyDescent="0.3">
      <c r="A86" s="18">
        <v>6</v>
      </c>
      <c r="B86" s="346"/>
      <c r="C86" s="35"/>
      <c r="D86" s="12"/>
      <c r="E86" s="35"/>
      <c r="F86" s="60"/>
      <c r="G86" s="60"/>
      <c r="H86" s="60"/>
      <c r="I86" s="60"/>
      <c r="J86" s="51"/>
      <c r="K86" s="39"/>
      <c r="L86" s="39"/>
      <c r="M86" s="19"/>
      <c r="N86"/>
    </row>
    <row r="87" spans="1:14" s="11" customFormat="1" ht="30.95" customHeight="1" x14ac:dyDescent="0.3">
      <c r="A87" s="18">
        <v>7</v>
      </c>
      <c r="B87" s="346"/>
      <c r="C87" s="35" t="s">
        <v>358</v>
      </c>
      <c r="D87" s="12" t="s">
        <v>364</v>
      </c>
      <c r="E87" s="35"/>
      <c r="F87" s="60"/>
      <c r="G87" s="60"/>
      <c r="H87" s="60"/>
      <c r="I87" s="60"/>
      <c r="J87" s="51"/>
      <c r="K87" s="39"/>
      <c r="L87" s="39"/>
      <c r="M87" s="19"/>
      <c r="N87"/>
    </row>
    <row r="88" spans="1:14" s="11" customFormat="1" ht="30.95" customHeight="1" x14ac:dyDescent="0.3">
      <c r="A88" s="18">
        <v>8</v>
      </c>
      <c r="B88" s="346"/>
      <c r="C88" s="35" t="s">
        <v>358</v>
      </c>
      <c r="D88" s="12" t="s">
        <v>364</v>
      </c>
      <c r="E88" s="35"/>
      <c r="F88" s="60"/>
      <c r="G88" s="60"/>
      <c r="H88" s="60"/>
      <c r="I88" s="60"/>
      <c r="J88" s="51"/>
      <c r="K88" s="39"/>
      <c r="L88" s="39"/>
      <c r="M88" s="19"/>
      <c r="N88"/>
    </row>
    <row r="89" spans="1:14" s="11" customFormat="1" ht="30.95" customHeight="1" x14ac:dyDescent="0.3">
      <c r="A89" s="18">
        <v>9</v>
      </c>
      <c r="B89" s="346"/>
      <c r="C89" s="35"/>
      <c r="D89" s="12"/>
      <c r="E89" s="35"/>
      <c r="F89" s="60"/>
      <c r="G89" s="60"/>
      <c r="H89" s="60"/>
      <c r="I89" s="60"/>
      <c r="J89" s="51"/>
      <c r="K89" s="39"/>
      <c r="L89" s="39"/>
      <c r="M89" s="19"/>
      <c r="N89"/>
    </row>
    <row r="90" spans="1:14" s="11" customFormat="1" ht="30.95" customHeight="1" x14ac:dyDescent="0.3">
      <c r="A90" s="18">
        <v>10</v>
      </c>
      <c r="B90" s="346"/>
      <c r="C90" s="35"/>
      <c r="D90" s="12"/>
      <c r="E90" s="35"/>
      <c r="F90" s="60"/>
      <c r="G90" s="60"/>
      <c r="H90" s="60"/>
      <c r="I90" s="60"/>
      <c r="J90" s="51"/>
      <c r="K90" s="39"/>
      <c r="L90" s="39"/>
      <c r="M90" s="19"/>
      <c r="N90"/>
    </row>
    <row r="91" spans="1:14" s="11" customFormat="1" ht="30.95" customHeight="1" x14ac:dyDescent="0.3">
      <c r="A91" s="18">
        <v>11</v>
      </c>
      <c r="B91" s="346"/>
      <c r="C91" s="35"/>
      <c r="D91" s="12"/>
      <c r="E91" s="35"/>
      <c r="F91" s="60"/>
      <c r="G91" s="60"/>
      <c r="H91" s="60"/>
      <c r="I91" s="60"/>
      <c r="J91" s="51"/>
      <c r="K91" s="39"/>
      <c r="L91" s="39"/>
      <c r="M91" s="19"/>
      <c r="N91"/>
    </row>
    <row r="92" spans="1:14" s="11" customFormat="1" ht="30.95" customHeight="1" x14ac:dyDescent="0.3">
      <c r="A92" s="18">
        <v>12</v>
      </c>
      <c r="B92" s="346"/>
      <c r="C92" s="35"/>
      <c r="D92" s="12"/>
      <c r="E92" s="35"/>
      <c r="F92" s="60"/>
      <c r="G92" s="60"/>
      <c r="H92" s="60"/>
      <c r="I92" s="60"/>
      <c r="J92" s="51"/>
      <c r="K92" s="39"/>
      <c r="L92" s="39"/>
      <c r="M92" s="19"/>
      <c r="N92"/>
    </row>
    <row r="93" spans="1:14" s="11" customFormat="1" ht="30.95" customHeight="1" x14ac:dyDescent="0.3">
      <c r="A93" s="18">
        <v>13</v>
      </c>
      <c r="B93" s="346"/>
      <c r="C93" s="35"/>
      <c r="D93" s="12"/>
      <c r="E93" s="35"/>
      <c r="F93" s="60"/>
      <c r="G93" s="60"/>
      <c r="H93" s="60"/>
      <c r="I93" s="60"/>
      <c r="J93" s="51"/>
      <c r="K93" s="39"/>
      <c r="L93" s="39"/>
      <c r="M93" s="19"/>
      <c r="N93"/>
    </row>
    <row r="94" spans="1:14" s="11" customFormat="1" ht="30.95" customHeight="1" x14ac:dyDescent="0.3">
      <c r="A94" s="18">
        <v>14</v>
      </c>
      <c r="B94" s="346"/>
      <c r="C94" s="35"/>
      <c r="D94" s="12"/>
      <c r="E94" s="35"/>
      <c r="F94" s="60"/>
      <c r="G94" s="60"/>
      <c r="H94" s="60"/>
      <c r="I94" s="60"/>
      <c r="J94" s="51"/>
      <c r="K94" s="39"/>
      <c r="L94" s="39"/>
      <c r="M94" s="19"/>
      <c r="N94"/>
    </row>
    <row r="95" spans="1:14" s="11" customFormat="1" ht="30.95" customHeight="1" x14ac:dyDescent="0.3">
      <c r="A95" s="18">
        <v>15</v>
      </c>
      <c r="B95" s="346"/>
      <c r="C95" s="35"/>
      <c r="D95" s="12"/>
      <c r="E95" s="35"/>
      <c r="F95" s="60"/>
      <c r="G95" s="60"/>
      <c r="H95" s="60"/>
      <c r="I95" s="60"/>
      <c r="J95" s="51"/>
      <c r="K95" s="39"/>
      <c r="L95" s="39"/>
      <c r="M95" s="19"/>
      <c r="N95"/>
    </row>
    <row r="96" spans="1:14" s="11" customFormat="1" ht="30.95" customHeight="1" x14ac:dyDescent="0.3">
      <c r="A96" s="18">
        <v>16</v>
      </c>
      <c r="B96" s="346"/>
      <c r="C96" s="35"/>
      <c r="D96" s="12"/>
      <c r="E96" s="35"/>
      <c r="F96" s="60"/>
      <c r="G96" s="60"/>
      <c r="H96" s="60"/>
      <c r="I96" s="60"/>
      <c r="J96" s="51"/>
      <c r="K96" s="39"/>
      <c r="L96" s="39"/>
      <c r="M96" s="19"/>
      <c r="N96"/>
    </row>
    <row r="97" spans="1:14" s="11" customFormat="1" ht="30.95" customHeight="1" x14ac:dyDescent="0.3">
      <c r="A97" s="18">
        <v>17</v>
      </c>
      <c r="B97" s="346"/>
      <c r="C97" s="35"/>
      <c r="D97" s="12"/>
      <c r="E97" s="35"/>
      <c r="F97" s="60"/>
      <c r="G97" s="60"/>
      <c r="H97" s="60"/>
      <c r="I97" s="60"/>
      <c r="J97" s="51"/>
      <c r="K97" s="39"/>
      <c r="L97" s="39"/>
      <c r="M97" s="19"/>
      <c r="N97"/>
    </row>
    <row r="98" spans="1:14" s="11" customFormat="1" ht="30.95" customHeight="1" x14ac:dyDescent="0.3">
      <c r="A98" s="18">
        <v>18</v>
      </c>
      <c r="B98" s="346"/>
      <c r="C98" s="35"/>
      <c r="D98" s="12"/>
      <c r="E98" s="35"/>
      <c r="F98" s="60"/>
      <c r="G98" s="60"/>
      <c r="H98" s="60"/>
      <c r="I98" s="60"/>
      <c r="J98" s="51"/>
      <c r="K98" s="39"/>
      <c r="L98" s="39"/>
      <c r="M98" s="19"/>
      <c r="N98"/>
    </row>
    <row r="99" spans="1:14" s="11" customFormat="1" ht="30.95" customHeight="1" x14ac:dyDescent="0.3">
      <c r="A99" s="18">
        <v>19</v>
      </c>
      <c r="B99" s="346"/>
      <c r="C99" s="35"/>
      <c r="D99" s="12"/>
      <c r="E99" s="35"/>
      <c r="F99" s="60"/>
      <c r="G99" s="60"/>
      <c r="H99" s="60"/>
      <c r="I99" s="60"/>
      <c r="J99" s="51"/>
      <c r="K99" s="39"/>
      <c r="L99" s="39"/>
      <c r="M99" s="19"/>
      <c r="N99"/>
    </row>
    <row r="100" spans="1:14" s="11" customFormat="1" ht="30.95" customHeight="1" x14ac:dyDescent="0.3">
      <c r="A100" s="18">
        <v>20</v>
      </c>
      <c r="B100" s="346"/>
      <c r="C100" s="35"/>
      <c r="D100" s="12"/>
      <c r="E100" s="35"/>
      <c r="F100" s="60"/>
      <c r="G100" s="60"/>
      <c r="H100" s="60"/>
      <c r="I100" s="60"/>
      <c r="J100" s="51"/>
      <c r="K100" s="39"/>
      <c r="L100" s="39"/>
      <c r="M100" s="19"/>
      <c r="N100"/>
    </row>
    <row r="101" spans="1:14" s="11" customFormat="1" ht="30.95" customHeight="1" x14ac:dyDescent="0.3">
      <c r="A101" s="18">
        <v>21</v>
      </c>
      <c r="B101" s="346"/>
      <c r="C101" s="35"/>
      <c r="D101" s="12"/>
      <c r="E101" s="35"/>
      <c r="F101" s="60"/>
      <c r="G101" s="60"/>
      <c r="H101" s="60"/>
      <c r="I101" s="60"/>
      <c r="J101" s="51"/>
      <c r="K101" s="39"/>
      <c r="L101" s="39"/>
      <c r="M101" s="19"/>
      <c r="N101"/>
    </row>
    <row r="102" spans="1:14" s="11" customFormat="1" ht="30.95" customHeight="1" x14ac:dyDescent="0.3">
      <c r="A102" s="18">
        <v>22</v>
      </c>
      <c r="B102" s="346"/>
      <c r="C102" s="35"/>
      <c r="D102" s="12"/>
      <c r="E102" s="35"/>
      <c r="F102" s="60"/>
      <c r="G102" s="60"/>
      <c r="H102" s="60"/>
      <c r="I102" s="60"/>
      <c r="J102" s="51"/>
      <c r="K102" s="39"/>
      <c r="L102" s="39"/>
      <c r="M102" s="19"/>
      <c r="N102"/>
    </row>
    <row r="103" spans="1:14" s="11" customFormat="1" ht="30.95" customHeight="1" x14ac:dyDescent="0.3">
      <c r="A103" s="18">
        <v>23</v>
      </c>
      <c r="B103" s="346"/>
      <c r="C103" s="35" t="s">
        <v>361</v>
      </c>
      <c r="D103" s="12" t="s">
        <v>281</v>
      </c>
      <c r="E103" s="35"/>
      <c r="F103" s="60"/>
      <c r="G103" s="60"/>
      <c r="H103" s="60"/>
      <c r="I103" s="60"/>
      <c r="J103" s="51"/>
      <c r="K103" s="39"/>
      <c r="L103" s="39"/>
      <c r="M103" s="19"/>
      <c r="N103"/>
    </row>
    <row r="104" spans="1:14" s="11" customFormat="1" ht="30.95" customHeight="1" thickBot="1" x14ac:dyDescent="0.35">
      <c r="A104" s="21">
        <v>24</v>
      </c>
      <c r="B104" s="347"/>
      <c r="C104" s="40" t="s">
        <v>361</v>
      </c>
      <c r="D104" s="22" t="s">
        <v>281</v>
      </c>
      <c r="E104" s="40"/>
      <c r="F104" s="66"/>
      <c r="G104" s="66"/>
      <c r="H104" s="66"/>
      <c r="I104" s="66"/>
      <c r="J104" s="52"/>
      <c r="K104" s="23"/>
      <c r="L104" s="23"/>
      <c r="M104" s="24"/>
      <c r="N104"/>
    </row>
    <row r="105" spans="1:14" s="11" customFormat="1" ht="32.1" customHeight="1" x14ac:dyDescent="0.3">
      <c r="D105" s="13"/>
      <c r="F105"/>
      <c r="G105"/>
      <c r="H105"/>
      <c r="I105"/>
      <c r="J105"/>
      <c r="K105" s="1"/>
      <c r="L105" s="1"/>
      <c r="M105" s="1"/>
    </row>
    <row r="106" spans="1:14" s="11" customFormat="1" ht="32.1" customHeight="1" x14ac:dyDescent="0.3">
      <c r="D106" s="13"/>
      <c r="F106"/>
      <c r="G106"/>
      <c r="H106"/>
      <c r="I106"/>
      <c r="J106"/>
      <c r="K106" s="1"/>
      <c r="L106" s="1"/>
      <c r="M106" s="1"/>
    </row>
    <row r="107" spans="1:14" s="11" customFormat="1" ht="32.1" customHeight="1" x14ac:dyDescent="0.3">
      <c r="D107" s="13"/>
      <c r="F107"/>
      <c r="G107"/>
      <c r="H107"/>
      <c r="I107"/>
      <c r="J107"/>
      <c r="K107" s="1"/>
      <c r="L107" s="1"/>
      <c r="M107" s="1"/>
    </row>
    <row r="108" spans="1:14" s="11" customFormat="1" ht="32.1" customHeight="1" x14ac:dyDescent="0.3">
      <c r="D108" s="13"/>
      <c r="F108"/>
      <c r="G108"/>
      <c r="H108"/>
      <c r="I108"/>
      <c r="J108"/>
      <c r="K108" s="1"/>
      <c r="L108" s="1"/>
      <c r="M108" s="1"/>
    </row>
    <row r="109" spans="1:14" s="11" customFormat="1" ht="32.1" customHeight="1" x14ac:dyDescent="0.3">
      <c r="D109" s="13"/>
      <c r="F109"/>
      <c r="G109"/>
      <c r="H109"/>
      <c r="I109"/>
      <c r="J109"/>
      <c r="K109" s="1"/>
      <c r="L109" s="1"/>
      <c r="M109" s="1"/>
    </row>
    <row r="110" spans="1:14" s="11" customFormat="1" ht="32.1" customHeight="1" x14ac:dyDescent="0.3">
      <c r="D110" s="13"/>
      <c r="F110"/>
      <c r="G110"/>
      <c r="H110"/>
      <c r="I110"/>
      <c r="J110"/>
      <c r="K110" s="1"/>
      <c r="L110" s="1"/>
      <c r="M110" s="1"/>
    </row>
    <row r="111" spans="1:14" s="11" customFormat="1" ht="32.1" customHeight="1" x14ac:dyDescent="0.3">
      <c r="D111" s="13"/>
      <c r="F111"/>
      <c r="G111"/>
      <c r="H111"/>
      <c r="I111"/>
      <c r="J111"/>
      <c r="K111" s="1"/>
      <c r="L111" s="1"/>
      <c r="M111" s="1"/>
    </row>
    <row r="112" spans="1:14" s="11" customFormat="1" ht="32.1" customHeight="1" x14ac:dyDescent="0.3">
      <c r="D112" s="13"/>
      <c r="F112"/>
      <c r="G112"/>
      <c r="H112"/>
      <c r="I112"/>
      <c r="J112"/>
      <c r="K112" s="1"/>
      <c r="L112" s="1"/>
      <c r="M112" s="1"/>
    </row>
    <row r="113" spans="4:13" s="11" customFormat="1" ht="32.1" customHeight="1" x14ac:dyDescent="0.3">
      <c r="D113" s="13"/>
      <c r="F113"/>
      <c r="G113"/>
      <c r="H113"/>
      <c r="I113"/>
      <c r="J113"/>
      <c r="K113" s="1"/>
      <c r="L113" s="1"/>
      <c r="M113" s="1"/>
    </row>
    <row r="114" spans="4:13" s="11" customFormat="1" ht="32.1" customHeight="1" x14ac:dyDescent="0.3">
      <c r="D114" s="13"/>
      <c r="F114"/>
      <c r="G114"/>
      <c r="H114"/>
      <c r="I114"/>
      <c r="J114"/>
      <c r="K114" s="1"/>
      <c r="L114" s="1"/>
      <c r="M114" s="1"/>
    </row>
    <row r="115" spans="4:13" s="11" customFormat="1" ht="32.1" customHeight="1" x14ac:dyDescent="0.3">
      <c r="D115" s="13"/>
      <c r="F115"/>
      <c r="G115"/>
      <c r="H115"/>
      <c r="I115"/>
      <c r="J115"/>
      <c r="K115" s="1"/>
      <c r="L115" s="1"/>
      <c r="M115" s="1"/>
    </row>
  </sheetData>
  <mergeCells count="32">
    <mergeCell ref="M33:M56"/>
    <mergeCell ref="L33:L56"/>
    <mergeCell ref="K33:K56"/>
    <mergeCell ref="B33:B56"/>
    <mergeCell ref="K29:K32"/>
    <mergeCell ref="L29:L32"/>
    <mergeCell ref="M29:M32"/>
    <mergeCell ref="F30:G30"/>
    <mergeCell ref="H30:I30"/>
    <mergeCell ref="J30:J32"/>
    <mergeCell ref="B57:B80"/>
    <mergeCell ref="B81:B104"/>
    <mergeCell ref="M1:M4"/>
    <mergeCell ref="F2:G2"/>
    <mergeCell ref="H2:I2"/>
    <mergeCell ref="J2:J4"/>
    <mergeCell ref="A1:C1"/>
    <mergeCell ref="F1:J1"/>
    <mergeCell ref="K1:K4"/>
    <mergeCell ref="L1:L4"/>
    <mergeCell ref="B5:B28"/>
    <mergeCell ref="M5:M28"/>
    <mergeCell ref="K5:K28"/>
    <mergeCell ref="A29:C29"/>
    <mergeCell ref="F29:J29"/>
    <mergeCell ref="L5:L28"/>
    <mergeCell ref="A2:C3"/>
    <mergeCell ref="D2:D3"/>
    <mergeCell ref="E2:E3"/>
    <mergeCell ref="A30:C31"/>
    <mergeCell ref="D30:D31"/>
    <mergeCell ref="E30:E31"/>
  </mergeCells>
  <phoneticPr fontId="1" type="noConversion"/>
  <pageMargins left="0.25" right="0.25" top="0.75" bottom="0.75" header="0.3" footer="0.3"/>
  <pageSetup paperSize="9" scale="55" fitToHeight="4" orientation="landscape" r:id="rId1"/>
  <rowBreaks count="3" manualBreakCount="3">
    <brk id="28" max="12" man="1"/>
    <brk id="56" max="12" man="1"/>
    <brk id="80" max="1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"/>
  <sheetViews>
    <sheetView view="pageBreakPreview" zoomScale="70" zoomScaleNormal="100" zoomScaleSheetLayoutView="70" workbookViewId="0">
      <pane ySplit="4" topLeftCell="A32" activePane="bottomLeft" state="frozen"/>
      <selection activeCell="E28" sqref="E28"/>
      <selection pane="bottomLeft" activeCell="E28" sqref="E28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0.625" style="1" customWidth="1"/>
    <col min="12" max="12" width="16.625" style="1" bestFit="1" customWidth="1"/>
    <col min="13" max="13" width="9" style="1"/>
  </cols>
  <sheetData>
    <row r="1" spans="1:17" ht="30" customHeight="1" x14ac:dyDescent="0.3">
      <c r="A1" s="374" t="s">
        <v>8</v>
      </c>
      <c r="B1" s="325"/>
      <c r="C1" s="325"/>
      <c r="D1" s="228" t="s">
        <v>11</v>
      </c>
      <c r="E1" s="228" t="s">
        <v>12</v>
      </c>
      <c r="F1" s="338" t="s">
        <v>722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COUNTIF(N5:N503,0)/COUNT(A:A)</f>
        <v>0.63888888888888884</v>
      </c>
    </row>
    <row r="2" spans="1:17" ht="30" customHeight="1" x14ac:dyDescent="0.3">
      <c r="A2" s="336" t="s">
        <v>9</v>
      </c>
      <c r="B2" s="337"/>
      <c r="C2" s="337"/>
      <c r="D2" s="368" t="s">
        <v>282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7" ht="30" customHeight="1" x14ac:dyDescent="0.3">
      <c r="A3" s="336"/>
      <c r="B3" s="337"/>
      <c r="C3" s="337"/>
      <c r="D3" s="368"/>
      <c r="E3" s="337"/>
      <c r="F3" s="226" t="s">
        <v>638</v>
      </c>
      <c r="G3" s="214">
        <f>전송손실!M21</f>
        <v>-11.017603999999999</v>
      </c>
      <c r="H3" s="226" t="s">
        <v>638</v>
      </c>
      <c r="I3" s="214">
        <f>전송손실!M47</f>
        <v>-7.2957579999999993</v>
      </c>
      <c r="J3" s="369"/>
      <c r="K3" s="332"/>
      <c r="L3" s="332"/>
      <c r="M3" s="332"/>
    </row>
    <row r="4" spans="1:17" ht="30" customHeight="1" thickBot="1" x14ac:dyDescent="0.35">
      <c r="A4" s="229" t="s">
        <v>0</v>
      </c>
      <c r="B4" s="229" t="s">
        <v>1</v>
      </c>
      <c r="C4" s="229" t="s">
        <v>23</v>
      </c>
      <c r="D4" s="229" t="s">
        <v>2</v>
      </c>
      <c r="E4" s="229" t="s">
        <v>3</v>
      </c>
      <c r="F4" s="229" t="s">
        <v>4</v>
      </c>
      <c r="G4" s="229" t="s">
        <v>506</v>
      </c>
      <c r="H4" s="229" t="s">
        <v>4</v>
      </c>
      <c r="I4" s="229" t="s">
        <v>506</v>
      </c>
      <c r="J4" s="370"/>
      <c r="K4" s="367"/>
      <c r="L4" s="367"/>
      <c r="M4" s="367"/>
    </row>
    <row r="5" spans="1:17" ht="30" customHeight="1" x14ac:dyDescent="0.3">
      <c r="A5" s="14">
        <v>1</v>
      </c>
      <c r="B5" s="411" t="s">
        <v>283</v>
      </c>
      <c r="C5" s="14" t="s">
        <v>356</v>
      </c>
      <c r="D5" s="12" t="s">
        <v>286</v>
      </c>
      <c r="E5" s="34"/>
      <c r="F5" s="116"/>
      <c r="G5" s="116"/>
      <c r="H5" s="116"/>
      <c r="I5" s="116"/>
      <c r="J5" s="119"/>
      <c r="K5" s="410" t="s">
        <v>507</v>
      </c>
      <c r="L5" s="354"/>
      <c r="M5" s="354"/>
      <c r="N5">
        <f>IF(C5="",0,1)</f>
        <v>1</v>
      </c>
    </row>
    <row r="6" spans="1:17" ht="30" customHeight="1" x14ac:dyDescent="0.3">
      <c r="A6" s="14">
        <v>2</v>
      </c>
      <c r="B6" s="394"/>
      <c r="C6" s="14" t="s">
        <v>356</v>
      </c>
      <c r="D6" s="12" t="s">
        <v>287</v>
      </c>
      <c r="E6" s="34"/>
      <c r="F6" s="116"/>
      <c r="G6" s="116"/>
      <c r="H6" s="116"/>
      <c r="I6" s="116"/>
      <c r="J6" s="119"/>
      <c r="K6" s="355"/>
      <c r="L6" s="355"/>
      <c r="M6" s="355"/>
      <c r="N6">
        <f t="shared" ref="N6:N71" si="0">IF(C6="",0,1)</f>
        <v>1</v>
      </c>
    </row>
    <row r="7" spans="1:17" ht="30" customHeight="1" x14ac:dyDescent="0.3">
      <c r="A7" s="14">
        <v>3</v>
      </c>
      <c r="B7" s="394"/>
      <c r="C7" s="76"/>
      <c r="D7" s="77"/>
      <c r="E7" s="76"/>
      <c r="F7" s="118">
        <v>-12.241</v>
      </c>
      <c r="G7" s="118">
        <v>32.313899999999997</v>
      </c>
      <c r="H7" s="118">
        <v>-8.5410000000000004</v>
      </c>
      <c r="I7" s="118">
        <v>32.317999999999998</v>
      </c>
      <c r="J7" s="118"/>
      <c r="K7" s="355"/>
      <c r="L7" s="355"/>
      <c r="M7" s="355"/>
      <c r="N7">
        <f t="shared" si="0"/>
        <v>0</v>
      </c>
    </row>
    <row r="8" spans="1:17" ht="30" customHeight="1" x14ac:dyDescent="0.3">
      <c r="A8" s="14">
        <v>4</v>
      </c>
      <c r="B8" s="394"/>
      <c r="C8" s="76"/>
      <c r="D8" s="77"/>
      <c r="E8" s="76"/>
      <c r="F8" s="118">
        <v>-12.316000000000001</v>
      </c>
      <c r="G8" s="118">
        <v>32.320300000000003</v>
      </c>
      <c r="H8" s="118">
        <v>-8.3279999999999994</v>
      </c>
      <c r="I8" s="118">
        <v>32.316800000000001</v>
      </c>
      <c r="J8" s="118"/>
      <c r="K8" s="355"/>
      <c r="L8" s="355"/>
      <c r="M8" s="355"/>
      <c r="N8">
        <f t="shared" si="0"/>
        <v>0</v>
      </c>
    </row>
    <row r="9" spans="1:17" ht="30" customHeight="1" x14ac:dyDescent="0.3">
      <c r="A9" s="14">
        <v>5</v>
      </c>
      <c r="B9" s="394"/>
      <c r="C9" s="14" t="s">
        <v>357</v>
      </c>
      <c r="D9" s="12" t="s">
        <v>288</v>
      </c>
      <c r="E9" s="34"/>
      <c r="F9" s="116"/>
      <c r="G9" s="116"/>
      <c r="H9" s="116"/>
      <c r="I9" s="116"/>
      <c r="J9" s="119"/>
      <c r="K9" s="355"/>
      <c r="L9" s="355"/>
      <c r="M9" s="355"/>
      <c r="N9">
        <f t="shared" si="0"/>
        <v>1</v>
      </c>
    </row>
    <row r="10" spans="1:17" ht="30" customHeight="1" x14ac:dyDescent="0.3">
      <c r="A10" s="14">
        <v>6</v>
      </c>
      <c r="B10" s="394"/>
      <c r="C10" s="14" t="s">
        <v>357</v>
      </c>
      <c r="D10" s="12" t="s">
        <v>289</v>
      </c>
      <c r="E10" s="34"/>
      <c r="F10" s="116"/>
      <c r="G10" s="116"/>
      <c r="H10" s="116"/>
      <c r="I10" s="116"/>
      <c r="J10" s="119"/>
      <c r="K10" s="355"/>
      <c r="L10" s="355"/>
      <c r="M10" s="355"/>
      <c r="N10">
        <f t="shared" si="0"/>
        <v>1</v>
      </c>
    </row>
    <row r="11" spans="1:17" ht="30" customHeight="1" x14ac:dyDescent="0.3">
      <c r="A11" s="14">
        <v>7</v>
      </c>
      <c r="B11" s="394"/>
      <c r="C11" s="14" t="s">
        <v>358</v>
      </c>
      <c r="D11" s="12" t="s">
        <v>274</v>
      </c>
      <c r="E11" s="34"/>
      <c r="F11" s="116"/>
      <c r="G11" s="116"/>
      <c r="H11" s="116"/>
      <c r="I11" s="116"/>
      <c r="J11" s="119"/>
      <c r="K11" s="355"/>
      <c r="L11" s="355"/>
      <c r="M11" s="355"/>
      <c r="N11">
        <f t="shared" si="0"/>
        <v>1</v>
      </c>
    </row>
    <row r="12" spans="1:17" ht="30" customHeight="1" x14ac:dyDescent="0.3">
      <c r="A12" s="14">
        <v>8</v>
      </c>
      <c r="B12" s="394"/>
      <c r="C12" s="14" t="s">
        <v>358</v>
      </c>
      <c r="D12" s="12" t="s">
        <v>274</v>
      </c>
      <c r="E12" s="34"/>
      <c r="F12" s="116"/>
      <c r="G12" s="116"/>
      <c r="H12" s="116"/>
      <c r="I12" s="116"/>
      <c r="J12" s="119"/>
      <c r="K12" s="355"/>
      <c r="L12" s="355"/>
      <c r="M12" s="355"/>
      <c r="N12">
        <f t="shared" si="0"/>
        <v>1</v>
      </c>
    </row>
    <row r="13" spans="1:17" ht="30" customHeight="1" x14ac:dyDescent="0.3">
      <c r="A13" s="14">
        <v>9</v>
      </c>
      <c r="B13" s="394"/>
      <c r="C13" s="14" t="s">
        <v>357</v>
      </c>
      <c r="D13" s="12" t="s">
        <v>290</v>
      </c>
      <c r="E13" s="34"/>
      <c r="F13" s="116"/>
      <c r="G13" s="116"/>
      <c r="H13" s="116"/>
      <c r="I13" s="116"/>
      <c r="J13" s="119"/>
      <c r="K13" s="355"/>
      <c r="L13" s="355"/>
      <c r="M13" s="355"/>
      <c r="N13">
        <f t="shared" si="0"/>
        <v>1</v>
      </c>
      <c r="Q13" t="s">
        <v>167</v>
      </c>
    </row>
    <row r="14" spans="1:17" ht="30" customHeight="1" x14ac:dyDescent="0.3">
      <c r="A14" s="14">
        <v>10</v>
      </c>
      <c r="B14" s="394"/>
      <c r="C14" s="14" t="s">
        <v>357</v>
      </c>
      <c r="D14" s="12" t="s">
        <v>290</v>
      </c>
      <c r="E14" s="34"/>
      <c r="F14" s="116"/>
      <c r="G14" s="116"/>
      <c r="H14" s="116"/>
      <c r="I14" s="116"/>
      <c r="J14" s="119"/>
      <c r="K14" s="355"/>
      <c r="L14" s="355"/>
      <c r="M14" s="355"/>
      <c r="N14">
        <f t="shared" si="0"/>
        <v>1</v>
      </c>
    </row>
    <row r="15" spans="1:17" ht="30" customHeight="1" x14ac:dyDescent="0.3">
      <c r="A15" s="14">
        <v>11</v>
      </c>
      <c r="B15" s="394"/>
      <c r="C15" s="14" t="s">
        <v>357</v>
      </c>
      <c r="D15" s="12" t="s">
        <v>291</v>
      </c>
      <c r="E15" s="34"/>
      <c r="F15" s="116"/>
      <c r="G15" s="116"/>
      <c r="H15" s="116"/>
      <c r="I15" s="116"/>
      <c r="J15" s="119"/>
      <c r="K15" s="355"/>
      <c r="L15" s="355"/>
      <c r="M15" s="355"/>
      <c r="N15">
        <f t="shared" si="0"/>
        <v>1</v>
      </c>
    </row>
    <row r="16" spans="1:17" ht="30" customHeight="1" x14ac:dyDescent="0.3">
      <c r="A16" s="14">
        <v>12</v>
      </c>
      <c r="B16" s="394"/>
      <c r="C16" s="14" t="s">
        <v>357</v>
      </c>
      <c r="D16" s="12" t="s">
        <v>292</v>
      </c>
      <c r="E16" s="34"/>
      <c r="F16" s="116"/>
      <c r="G16" s="116"/>
      <c r="H16" s="116"/>
      <c r="I16" s="116"/>
      <c r="J16" s="119"/>
      <c r="K16" s="355"/>
      <c r="L16" s="355"/>
      <c r="M16" s="355"/>
      <c r="N16">
        <f t="shared" si="0"/>
        <v>1</v>
      </c>
    </row>
    <row r="17" spans="1:16" ht="30" customHeight="1" x14ac:dyDescent="0.3">
      <c r="A17" s="30">
        <v>13</v>
      </c>
      <c r="B17" s="394"/>
      <c r="C17" s="30" t="s">
        <v>358</v>
      </c>
      <c r="D17" s="12" t="s">
        <v>252</v>
      </c>
      <c r="E17" s="34"/>
      <c r="F17" s="116"/>
      <c r="G17" s="116"/>
      <c r="H17" s="116"/>
      <c r="I17" s="116"/>
      <c r="J17" s="119"/>
      <c r="K17" s="355"/>
      <c r="L17" s="355"/>
      <c r="M17" s="355"/>
      <c r="N17">
        <f t="shared" si="0"/>
        <v>1</v>
      </c>
    </row>
    <row r="18" spans="1:16" ht="30" customHeight="1" x14ac:dyDescent="0.3">
      <c r="A18" s="30">
        <v>14</v>
      </c>
      <c r="B18" s="394"/>
      <c r="C18" s="30" t="s">
        <v>358</v>
      </c>
      <c r="D18" s="12" t="s">
        <v>252</v>
      </c>
      <c r="E18" s="34"/>
      <c r="F18" s="116"/>
      <c r="G18" s="116"/>
      <c r="H18" s="116"/>
      <c r="I18" s="116"/>
      <c r="J18" s="119"/>
      <c r="K18" s="355"/>
      <c r="L18" s="355"/>
      <c r="M18" s="355"/>
      <c r="N18">
        <f t="shared" si="0"/>
        <v>1</v>
      </c>
    </row>
    <row r="19" spans="1:16" ht="30" customHeight="1" x14ac:dyDescent="0.3">
      <c r="A19" s="30">
        <v>15</v>
      </c>
      <c r="B19" s="394"/>
      <c r="C19" s="76"/>
      <c r="D19" s="77"/>
      <c r="E19" s="76"/>
      <c r="F19" s="118">
        <v>-8.6359999999999992</v>
      </c>
      <c r="G19" s="118">
        <v>23.7988</v>
      </c>
      <c r="H19" s="118">
        <v>-5.2530000000000001</v>
      </c>
      <c r="I19" s="118">
        <v>23.7989</v>
      </c>
      <c r="J19" s="275"/>
      <c r="K19" s="355"/>
      <c r="L19" s="355"/>
      <c r="M19" s="355"/>
      <c r="N19">
        <f t="shared" si="0"/>
        <v>0</v>
      </c>
    </row>
    <row r="20" spans="1:16" ht="30" customHeight="1" x14ac:dyDescent="0.3">
      <c r="A20" s="30">
        <v>16</v>
      </c>
      <c r="B20" s="394"/>
      <c r="C20" s="76"/>
      <c r="D20" s="77"/>
      <c r="E20" s="76"/>
      <c r="F20" s="118">
        <v>-12.682</v>
      </c>
      <c r="G20" s="118">
        <v>32.316499999999998</v>
      </c>
      <c r="H20" s="118">
        <v>-8.9719999999999995</v>
      </c>
      <c r="I20" s="118">
        <v>32.317999999999998</v>
      </c>
      <c r="J20" s="275"/>
      <c r="K20" s="355"/>
      <c r="L20" s="355"/>
      <c r="M20" s="355"/>
      <c r="N20">
        <f t="shared" si="0"/>
        <v>0</v>
      </c>
    </row>
    <row r="21" spans="1:16" ht="30" customHeight="1" x14ac:dyDescent="0.3">
      <c r="A21" s="30">
        <v>17</v>
      </c>
      <c r="B21" s="394"/>
      <c r="C21" s="76"/>
      <c r="D21" s="77"/>
      <c r="E21" s="76"/>
      <c r="F21" s="118">
        <v>-12.396000000000001</v>
      </c>
      <c r="G21" s="118">
        <v>32.101999999999997</v>
      </c>
      <c r="H21" s="118">
        <v>-8.8119999999999994</v>
      </c>
      <c r="I21" s="118">
        <v>32.103700000000003</v>
      </c>
      <c r="J21" s="275"/>
      <c r="K21" s="355"/>
      <c r="L21" s="355"/>
      <c r="M21" s="355"/>
      <c r="N21">
        <f t="shared" si="0"/>
        <v>0</v>
      </c>
    </row>
    <row r="22" spans="1:16" ht="30" customHeight="1" x14ac:dyDescent="0.3">
      <c r="A22" s="30">
        <v>18</v>
      </c>
      <c r="B22" s="394"/>
      <c r="C22" s="76"/>
      <c r="D22" s="77"/>
      <c r="E22" s="76"/>
      <c r="F22" s="118">
        <v>-12.457000000000001</v>
      </c>
      <c r="G22" s="118">
        <v>32.104599999999998</v>
      </c>
      <c r="H22" s="118">
        <v>-8.8889999999999993</v>
      </c>
      <c r="I22" s="118">
        <v>32.100999999999999</v>
      </c>
      <c r="J22" s="275"/>
      <c r="K22" s="355"/>
      <c r="L22" s="355"/>
      <c r="M22" s="355"/>
      <c r="N22">
        <f t="shared" si="0"/>
        <v>0</v>
      </c>
    </row>
    <row r="23" spans="1:16" ht="30" customHeight="1" x14ac:dyDescent="0.3">
      <c r="A23" s="30">
        <v>19</v>
      </c>
      <c r="B23" s="394"/>
      <c r="C23" s="76"/>
      <c r="D23" s="77"/>
      <c r="E23" s="76"/>
      <c r="F23" s="118">
        <v>-8.77</v>
      </c>
      <c r="G23" s="118">
        <v>23.7988</v>
      </c>
      <c r="H23" s="118">
        <v>-5.1710000000000003</v>
      </c>
      <c r="I23" s="118">
        <v>23.7989</v>
      </c>
      <c r="J23" s="118"/>
      <c r="K23" s="355"/>
      <c r="L23" s="355"/>
      <c r="M23" s="355"/>
      <c r="N23">
        <f t="shared" si="0"/>
        <v>0</v>
      </c>
    </row>
    <row r="24" spans="1:16" ht="30" customHeight="1" x14ac:dyDescent="0.3">
      <c r="A24" s="30">
        <v>20</v>
      </c>
      <c r="B24" s="394"/>
      <c r="C24" s="85" t="s">
        <v>496</v>
      </c>
      <c r="D24" s="86" t="s">
        <v>497</v>
      </c>
      <c r="E24" s="85"/>
      <c r="F24" s="117"/>
      <c r="G24" s="117"/>
      <c r="H24" s="117"/>
      <c r="I24" s="117"/>
      <c r="J24" s="120"/>
      <c r="K24" s="355"/>
      <c r="L24" s="355"/>
      <c r="M24" s="355"/>
      <c r="N24">
        <f t="shared" si="0"/>
        <v>1</v>
      </c>
    </row>
    <row r="25" spans="1:16" ht="30" customHeight="1" x14ac:dyDescent="0.3">
      <c r="A25" s="30">
        <v>21</v>
      </c>
      <c r="B25" s="394"/>
      <c r="C25" s="76"/>
      <c r="D25" s="77"/>
      <c r="E25" s="76"/>
      <c r="F25" s="118">
        <v>-11.923</v>
      </c>
      <c r="G25" s="118">
        <v>32.116100000000003</v>
      </c>
      <c r="H25" s="118">
        <v>-7.4180000000000001</v>
      </c>
      <c r="I25" s="118">
        <v>32.1126</v>
      </c>
      <c r="J25" s="275"/>
      <c r="K25" s="355"/>
      <c r="L25" s="355"/>
      <c r="M25" s="355"/>
      <c r="N25">
        <f t="shared" si="0"/>
        <v>0</v>
      </c>
    </row>
    <row r="26" spans="1:16" ht="30" customHeight="1" x14ac:dyDescent="0.3">
      <c r="A26" s="30">
        <v>22</v>
      </c>
      <c r="B26" s="394"/>
      <c r="C26" s="76"/>
      <c r="D26" s="77"/>
      <c r="E26" s="76"/>
      <c r="F26" s="118">
        <v>-11.923</v>
      </c>
      <c r="G26" s="118">
        <v>32.1173</v>
      </c>
      <c r="H26" s="118">
        <v>-7.8230000000000004</v>
      </c>
      <c r="I26" s="118">
        <v>32.115200000000002</v>
      </c>
      <c r="J26" s="275"/>
      <c r="K26" s="355"/>
      <c r="L26" s="355"/>
      <c r="M26" s="355"/>
      <c r="N26">
        <f t="shared" si="0"/>
        <v>0</v>
      </c>
    </row>
    <row r="27" spans="1:16" ht="30" customHeight="1" x14ac:dyDescent="0.3">
      <c r="A27" s="30">
        <v>23</v>
      </c>
      <c r="B27" s="394"/>
      <c r="C27" s="76"/>
      <c r="D27" s="77"/>
      <c r="E27" s="76"/>
      <c r="F27" s="118">
        <v>-12.984999999999999</v>
      </c>
      <c r="G27" s="118">
        <v>32.1173</v>
      </c>
      <c r="H27" s="118">
        <v>-8.2880000000000003</v>
      </c>
      <c r="I27" s="118">
        <v>32.113900000000001</v>
      </c>
      <c r="J27" s="275"/>
      <c r="K27" s="355"/>
      <c r="L27" s="355"/>
      <c r="M27" s="355"/>
      <c r="N27">
        <f t="shared" si="0"/>
        <v>0</v>
      </c>
    </row>
    <row r="28" spans="1:16" ht="30" customHeight="1" thickBot="1" x14ac:dyDescent="0.35">
      <c r="A28" s="30">
        <v>24</v>
      </c>
      <c r="B28" s="393"/>
      <c r="C28" s="76"/>
      <c r="D28" s="77"/>
      <c r="E28" s="76"/>
      <c r="F28" s="118">
        <v>-12.401999999999999</v>
      </c>
      <c r="G28" s="118">
        <v>32.113500000000002</v>
      </c>
      <c r="H28" s="118">
        <v>-7.7089999999999996</v>
      </c>
      <c r="I28" s="118">
        <v>32.117699999999999</v>
      </c>
      <c r="J28" s="275"/>
      <c r="K28" s="363"/>
      <c r="L28" s="363"/>
      <c r="M28" s="363"/>
      <c r="N28">
        <f t="shared" si="0"/>
        <v>0</v>
      </c>
      <c r="O28">
        <f>SUM(F7:F8,F19:F23,F25:F28)/11</f>
        <v>-11.702818181818181</v>
      </c>
      <c r="P28">
        <f>SUM(H7:H8,H19:H23,H25:H28)/11</f>
        <v>-7.7458181818181808</v>
      </c>
    </row>
    <row r="29" spans="1:16" ht="30.95" customHeight="1" x14ac:dyDescent="0.3">
      <c r="A29" s="374" t="s">
        <v>8</v>
      </c>
      <c r="B29" s="325"/>
      <c r="C29" s="325"/>
      <c r="D29" s="110" t="s">
        <v>11</v>
      </c>
      <c r="E29" s="110" t="s">
        <v>12</v>
      </c>
      <c r="F29" s="338" t="s">
        <v>722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282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01" t="s">
        <v>638</v>
      </c>
      <c r="G31" s="214">
        <f>전송손실!M21</f>
        <v>-11.017603999999999</v>
      </c>
      <c r="H31" s="201" t="s">
        <v>638</v>
      </c>
      <c r="I31" s="214">
        <f>전송손실!M47</f>
        <v>-7.2957579999999993</v>
      </c>
      <c r="J31" s="369"/>
      <c r="K31" s="332"/>
      <c r="L31" s="332"/>
      <c r="M31" s="332"/>
    </row>
    <row r="32" spans="1:16" ht="30.95" customHeight="1" thickBot="1" x14ac:dyDescent="0.35">
      <c r="A32" s="203" t="s">
        <v>0</v>
      </c>
      <c r="B32" s="203" t="s">
        <v>1</v>
      </c>
      <c r="C32" s="203" t="s">
        <v>23</v>
      </c>
      <c r="D32" s="203" t="s">
        <v>2</v>
      </c>
      <c r="E32" s="203" t="s">
        <v>3</v>
      </c>
      <c r="F32" s="203" t="s">
        <v>4</v>
      </c>
      <c r="G32" s="203" t="s">
        <v>506</v>
      </c>
      <c r="H32" s="203" t="s">
        <v>4</v>
      </c>
      <c r="I32" s="203" t="s">
        <v>506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30">
        <v>1</v>
      </c>
      <c r="B33" s="385" t="s">
        <v>284</v>
      </c>
      <c r="C33" s="85" t="s">
        <v>496</v>
      </c>
      <c r="D33" s="86" t="s">
        <v>497</v>
      </c>
      <c r="E33" s="85"/>
      <c r="F33" s="117"/>
      <c r="G33" s="117"/>
      <c r="H33" s="117"/>
      <c r="I33" s="117"/>
      <c r="J33" s="121"/>
      <c r="K33" s="410" t="s">
        <v>459</v>
      </c>
      <c r="L33" s="410"/>
      <c r="M33" s="354"/>
      <c r="N33">
        <f t="shared" si="0"/>
        <v>1</v>
      </c>
    </row>
    <row r="34" spans="1:14" ht="30.95" customHeight="1" x14ac:dyDescent="0.3">
      <c r="A34" s="30">
        <v>2</v>
      </c>
      <c r="B34" s="376"/>
      <c r="C34" s="85" t="s">
        <v>496</v>
      </c>
      <c r="D34" s="86" t="s">
        <v>498</v>
      </c>
      <c r="E34" s="85"/>
      <c r="F34" s="117"/>
      <c r="G34" s="117"/>
      <c r="H34" s="117"/>
      <c r="I34" s="117"/>
      <c r="J34" s="121"/>
      <c r="K34" s="355"/>
      <c r="L34" s="355"/>
      <c r="M34" s="355"/>
      <c r="N34">
        <f t="shared" si="0"/>
        <v>1</v>
      </c>
    </row>
    <row r="35" spans="1:14" ht="30.95" customHeight="1" x14ac:dyDescent="0.3">
      <c r="A35" s="30">
        <v>3</v>
      </c>
      <c r="B35" s="376"/>
      <c r="C35" s="30" t="s">
        <v>356</v>
      </c>
      <c r="D35" s="12" t="s">
        <v>696</v>
      </c>
      <c r="E35" s="34"/>
      <c r="F35" s="116"/>
      <c r="G35" s="116"/>
      <c r="H35" s="116"/>
      <c r="I35" s="116"/>
      <c r="J35" s="122"/>
      <c r="K35" s="355"/>
      <c r="L35" s="355"/>
      <c r="M35" s="355"/>
      <c r="N35">
        <f t="shared" si="0"/>
        <v>1</v>
      </c>
    </row>
    <row r="36" spans="1:14" ht="30.95" customHeight="1" x14ac:dyDescent="0.3">
      <c r="A36" s="30">
        <v>4</v>
      </c>
      <c r="B36" s="376"/>
      <c r="C36" s="30" t="s">
        <v>356</v>
      </c>
      <c r="D36" s="12" t="s">
        <v>697</v>
      </c>
      <c r="E36" s="34"/>
      <c r="F36" s="116"/>
      <c r="G36" s="116"/>
      <c r="H36" s="116"/>
      <c r="I36" s="116"/>
      <c r="J36" s="122"/>
      <c r="K36" s="355"/>
      <c r="L36" s="355"/>
      <c r="M36" s="355"/>
      <c r="N36">
        <f t="shared" si="0"/>
        <v>1</v>
      </c>
    </row>
    <row r="37" spans="1:14" ht="30.95" customHeight="1" x14ac:dyDescent="0.3">
      <c r="A37" s="30">
        <v>5</v>
      </c>
      <c r="B37" s="376"/>
      <c r="C37" s="76"/>
      <c r="D37" s="77"/>
      <c r="E37" s="76"/>
      <c r="F37" s="118">
        <v>-15.241</v>
      </c>
      <c r="G37" s="118">
        <v>18.794499999999999</v>
      </c>
      <c r="H37" s="118">
        <v>-18.331</v>
      </c>
      <c r="I37" s="118">
        <v>18.792899999999999</v>
      </c>
      <c r="J37" s="118"/>
      <c r="K37" s="355"/>
      <c r="L37" s="355"/>
      <c r="M37" s="355"/>
      <c r="N37">
        <f t="shared" si="0"/>
        <v>0</v>
      </c>
    </row>
    <row r="38" spans="1:14" ht="30.95" customHeight="1" x14ac:dyDescent="0.3">
      <c r="A38" s="30">
        <v>6</v>
      </c>
      <c r="B38" s="376"/>
      <c r="C38" s="76"/>
      <c r="D38" s="77"/>
      <c r="E38" s="76"/>
      <c r="F38" s="118">
        <v>-14.013</v>
      </c>
      <c r="G38" s="118">
        <v>18.794499999999999</v>
      </c>
      <c r="H38" s="118">
        <v>-17.678000000000001</v>
      </c>
      <c r="I38" s="118">
        <v>18.792899999999999</v>
      </c>
      <c r="J38" s="118"/>
      <c r="K38" s="355"/>
      <c r="L38" s="355"/>
      <c r="M38" s="355"/>
      <c r="N38">
        <f t="shared" si="0"/>
        <v>0</v>
      </c>
    </row>
    <row r="39" spans="1:14" ht="30.95" customHeight="1" x14ac:dyDescent="0.3">
      <c r="A39" s="30">
        <v>7</v>
      </c>
      <c r="B39" s="376"/>
      <c r="C39" s="76"/>
      <c r="D39" s="77"/>
      <c r="E39" s="76"/>
      <c r="F39" s="118">
        <v>-17.347000000000001</v>
      </c>
      <c r="G39" s="118">
        <v>18.797000000000001</v>
      </c>
      <c r="H39" s="118">
        <v>-21.963000000000001</v>
      </c>
      <c r="I39" s="118">
        <v>18.796700000000001</v>
      </c>
      <c r="J39" s="274"/>
      <c r="K39" s="355"/>
      <c r="L39" s="355"/>
      <c r="M39" s="355"/>
      <c r="N39">
        <f t="shared" si="0"/>
        <v>0</v>
      </c>
    </row>
    <row r="40" spans="1:14" ht="30.95" customHeight="1" x14ac:dyDescent="0.3">
      <c r="A40" s="30">
        <v>8</v>
      </c>
      <c r="B40" s="376"/>
      <c r="C40" s="76"/>
      <c r="D40" s="77"/>
      <c r="E40" s="76"/>
      <c r="F40" s="118">
        <v>-8.1430000000000007</v>
      </c>
      <c r="G40" s="118">
        <v>18.794499999999999</v>
      </c>
      <c r="H40" s="118">
        <v>-5.84</v>
      </c>
      <c r="I40" s="118">
        <v>18.792899999999999</v>
      </c>
      <c r="J40" s="274"/>
      <c r="K40" s="355"/>
      <c r="L40" s="355"/>
      <c r="M40" s="355"/>
      <c r="N40">
        <f t="shared" si="0"/>
        <v>0</v>
      </c>
    </row>
    <row r="41" spans="1:14" ht="30.95" customHeight="1" x14ac:dyDescent="0.3">
      <c r="A41" s="30">
        <v>9</v>
      </c>
      <c r="B41" s="376"/>
      <c r="C41" s="76"/>
      <c r="D41" s="77"/>
      <c r="E41" s="76"/>
      <c r="F41" s="118">
        <v>-14.394</v>
      </c>
      <c r="G41" s="118">
        <v>18.793199999999999</v>
      </c>
      <c r="H41" s="118">
        <v>-16.527999999999999</v>
      </c>
      <c r="I41" s="118">
        <v>18.792899999999999</v>
      </c>
      <c r="J41" s="118"/>
      <c r="K41" s="355"/>
      <c r="L41" s="355"/>
      <c r="M41" s="355"/>
      <c r="N41">
        <f t="shared" si="0"/>
        <v>0</v>
      </c>
    </row>
    <row r="42" spans="1:14" ht="30.95" customHeight="1" x14ac:dyDescent="0.3">
      <c r="A42" s="30">
        <v>10</v>
      </c>
      <c r="B42" s="376"/>
      <c r="C42" s="76"/>
      <c r="D42" s="77"/>
      <c r="E42" s="76"/>
      <c r="F42" s="118">
        <v>-12.406000000000001</v>
      </c>
      <c r="G42" s="118">
        <v>18.791899999999998</v>
      </c>
      <c r="H42" s="118">
        <v>-13.961</v>
      </c>
      <c r="I42" s="118">
        <v>18.791599999999999</v>
      </c>
      <c r="J42" s="118"/>
      <c r="K42" s="355"/>
      <c r="L42" s="355"/>
      <c r="M42" s="355"/>
      <c r="N42">
        <f t="shared" si="0"/>
        <v>0</v>
      </c>
    </row>
    <row r="43" spans="1:14" ht="30.95" customHeight="1" x14ac:dyDescent="0.3">
      <c r="A43" s="30">
        <v>11</v>
      </c>
      <c r="B43" s="376"/>
      <c r="C43" s="30" t="s">
        <v>357</v>
      </c>
      <c r="D43" s="12" t="s">
        <v>272</v>
      </c>
      <c r="E43" s="34"/>
      <c r="F43" s="116"/>
      <c r="G43" s="116"/>
      <c r="H43" s="116"/>
      <c r="I43" s="116"/>
      <c r="J43" s="122"/>
      <c r="K43" s="355"/>
      <c r="L43" s="355"/>
      <c r="M43" s="355"/>
      <c r="N43">
        <f t="shared" si="0"/>
        <v>1</v>
      </c>
    </row>
    <row r="44" spans="1:14" ht="30.95" customHeight="1" x14ac:dyDescent="0.3">
      <c r="A44" s="30">
        <v>12</v>
      </c>
      <c r="B44" s="376"/>
      <c r="C44" s="30" t="s">
        <v>357</v>
      </c>
      <c r="D44" s="12" t="s">
        <v>271</v>
      </c>
      <c r="E44" s="34"/>
      <c r="F44" s="116"/>
      <c r="G44" s="116"/>
      <c r="H44" s="116"/>
      <c r="I44" s="116"/>
      <c r="J44" s="122"/>
      <c r="K44" s="355"/>
      <c r="L44" s="355"/>
      <c r="M44" s="355"/>
      <c r="N44">
        <f t="shared" si="0"/>
        <v>1</v>
      </c>
    </row>
    <row r="45" spans="1:14" ht="30.95" customHeight="1" x14ac:dyDescent="0.3">
      <c r="A45" s="30">
        <v>13</v>
      </c>
      <c r="B45" s="376"/>
      <c r="C45" s="30" t="s">
        <v>357</v>
      </c>
      <c r="D45" s="12" t="s">
        <v>293</v>
      </c>
      <c r="E45" s="34"/>
      <c r="F45" s="116"/>
      <c r="G45" s="116"/>
      <c r="H45" s="116"/>
      <c r="I45" s="116"/>
      <c r="J45" s="122"/>
      <c r="K45" s="355"/>
      <c r="L45" s="355"/>
      <c r="M45" s="355"/>
      <c r="N45">
        <f t="shared" si="0"/>
        <v>1</v>
      </c>
    </row>
    <row r="46" spans="1:14" s="11" customFormat="1" ht="30.95" customHeight="1" x14ac:dyDescent="0.3">
      <c r="A46" s="30">
        <v>14</v>
      </c>
      <c r="B46" s="376"/>
      <c r="C46" s="30" t="s">
        <v>357</v>
      </c>
      <c r="D46" s="12" t="s">
        <v>293</v>
      </c>
      <c r="E46" s="34"/>
      <c r="F46" s="116"/>
      <c r="G46" s="116"/>
      <c r="H46" s="116"/>
      <c r="I46" s="116"/>
      <c r="J46" s="122"/>
      <c r="K46" s="355"/>
      <c r="L46" s="355"/>
      <c r="M46" s="355"/>
      <c r="N46">
        <f t="shared" si="0"/>
        <v>1</v>
      </c>
    </row>
    <row r="47" spans="1:14" s="11" customFormat="1" ht="30.95" customHeight="1" x14ac:dyDescent="0.3">
      <c r="A47" s="30">
        <v>15</v>
      </c>
      <c r="B47" s="376"/>
      <c r="C47" s="30" t="s">
        <v>358</v>
      </c>
      <c r="D47" s="12" t="s">
        <v>252</v>
      </c>
      <c r="E47" s="34"/>
      <c r="F47" s="116"/>
      <c r="G47" s="116"/>
      <c r="H47" s="116"/>
      <c r="I47" s="116"/>
      <c r="J47" s="122"/>
      <c r="K47" s="355"/>
      <c r="L47" s="355"/>
      <c r="M47" s="355"/>
      <c r="N47">
        <f t="shared" si="0"/>
        <v>1</v>
      </c>
    </row>
    <row r="48" spans="1:14" s="11" customFormat="1" ht="30.95" customHeight="1" x14ac:dyDescent="0.3">
      <c r="A48" s="30">
        <v>16</v>
      </c>
      <c r="B48" s="376"/>
      <c r="C48" s="30" t="s">
        <v>358</v>
      </c>
      <c r="D48" s="12" t="s">
        <v>252</v>
      </c>
      <c r="E48" s="34"/>
      <c r="F48" s="116"/>
      <c r="G48" s="116"/>
      <c r="H48" s="116"/>
      <c r="I48" s="116"/>
      <c r="J48" s="122"/>
      <c r="K48" s="355"/>
      <c r="L48" s="355"/>
      <c r="M48" s="355"/>
      <c r="N48">
        <f t="shared" si="0"/>
        <v>1</v>
      </c>
    </row>
    <row r="49" spans="1:16" s="11" customFormat="1" ht="30.95" customHeight="1" x14ac:dyDescent="0.3">
      <c r="A49" s="30">
        <v>17</v>
      </c>
      <c r="B49" s="376"/>
      <c r="C49" s="76"/>
      <c r="D49" s="77"/>
      <c r="E49" s="76"/>
      <c r="F49" s="118">
        <v>-12.353</v>
      </c>
      <c r="G49" s="118">
        <v>18.7881</v>
      </c>
      <c r="H49" s="118">
        <v>-15.884</v>
      </c>
      <c r="I49" s="118">
        <v>18.7865</v>
      </c>
      <c r="J49" s="118"/>
      <c r="K49" s="355"/>
      <c r="L49" s="355"/>
      <c r="M49" s="355"/>
      <c r="N49">
        <f t="shared" si="0"/>
        <v>0</v>
      </c>
    </row>
    <row r="50" spans="1:16" s="11" customFormat="1" ht="30.95" customHeight="1" x14ac:dyDescent="0.3">
      <c r="A50" s="30">
        <v>18</v>
      </c>
      <c r="B50" s="376"/>
      <c r="C50" s="76"/>
      <c r="D50" s="77" t="s">
        <v>648</v>
      </c>
      <c r="E50" s="76"/>
      <c r="F50" s="118">
        <v>-14.29</v>
      </c>
      <c r="G50" s="101">
        <v>18.744700000000002</v>
      </c>
      <c r="H50" s="101">
        <v>-17.832999999999998</v>
      </c>
      <c r="I50" s="101">
        <v>18.789000000000001</v>
      </c>
      <c r="J50" s="101"/>
      <c r="K50" s="355"/>
      <c r="L50" s="355"/>
      <c r="M50" s="355"/>
      <c r="N50">
        <f t="shared" si="0"/>
        <v>0</v>
      </c>
    </row>
    <row r="51" spans="1:16" s="11" customFormat="1" ht="30.95" customHeight="1" x14ac:dyDescent="0.3">
      <c r="A51" s="30">
        <v>19</v>
      </c>
      <c r="B51" s="376"/>
      <c r="C51" s="76"/>
      <c r="D51" s="77"/>
      <c r="E51" s="76"/>
      <c r="F51" s="118">
        <v>-11.778</v>
      </c>
      <c r="G51" s="118">
        <v>18.790600000000001</v>
      </c>
      <c r="H51" s="118">
        <v>-14.64</v>
      </c>
      <c r="I51" s="118">
        <v>18.789000000000001</v>
      </c>
      <c r="J51" s="118"/>
      <c r="K51" s="355"/>
      <c r="L51" s="355"/>
      <c r="M51" s="355"/>
      <c r="N51">
        <f t="shared" si="0"/>
        <v>0</v>
      </c>
    </row>
    <row r="52" spans="1:16" s="11" customFormat="1" ht="30.95" customHeight="1" x14ac:dyDescent="0.3">
      <c r="A52" s="30">
        <v>20</v>
      </c>
      <c r="B52" s="376"/>
      <c r="C52" s="76"/>
      <c r="D52" s="77"/>
      <c r="E52" s="76"/>
      <c r="F52" s="118">
        <v>-8.2379999999999995</v>
      </c>
      <c r="G52" s="118">
        <v>18.785499999999999</v>
      </c>
      <c r="H52" s="118">
        <v>-7.0129999999999999</v>
      </c>
      <c r="I52" s="118">
        <v>18.783899999999999</v>
      </c>
      <c r="J52" s="274"/>
      <c r="K52" s="355"/>
      <c r="L52" s="355"/>
      <c r="M52" s="355"/>
      <c r="N52">
        <f t="shared" si="0"/>
        <v>0</v>
      </c>
    </row>
    <row r="53" spans="1:16" s="11" customFormat="1" ht="30.95" customHeight="1" x14ac:dyDescent="0.3">
      <c r="A53" s="30">
        <v>21</v>
      </c>
      <c r="B53" s="376"/>
      <c r="C53" s="76"/>
      <c r="D53" s="77"/>
      <c r="E53" s="76"/>
      <c r="F53" s="118">
        <v>-16.670000000000002</v>
      </c>
      <c r="G53" s="118">
        <v>18.785499999999999</v>
      </c>
      <c r="H53" s="118">
        <v>-19.058</v>
      </c>
      <c r="I53" s="118">
        <v>18.792899999999999</v>
      </c>
      <c r="J53" s="274"/>
      <c r="K53" s="355"/>
      <c r="L53" s="355"/>
      <c r="M53" s="355"/>
      <c r="N53">
        <f t="shared" si="0"/>
        <v>0</v>
      </c>
    </row>
    <row r="54" spans="1:16" s="11" customFormat="1" ht="30.95" customHeight="1" x14ac:dyDescent="0.3">
      <c r="A54" s="30">
        <v>22</v>
      </c>
      <c r="B54" s="376"/>
      <c r="C54" s="76"/>
      <c r="D54" s="77"/>
      <c r="E54" s="76"/>
      <c r="F54" s="118">
        <v>-13.882</v>
      </c>
      <c r="G54" s="118">
        <v>18.789400000000001</v>
      </c>
      <c r="H54" s="118">
        <v>-15.250999999999999</v>
      </c>
      <c r="I54" s="118">
        <v>18.7865</v>
      </c>
      <c r="J54" s="118"/>
      <c r="K54" s="355"/>
      <c r="L54" s="355"/>
      <c r="M54" s="355"/>
      <c r="N54">
        <f t="shared" si="0"/>
        <v>0</v>
      </c>
    </row>
    <row r="55" spans="1:16" s="11" customFormat="1" ht="30.95" customHeight="1" x14ac:dyDescent="0.3">
      <c r="A55" s="30">
        <v>23</v>
      </c>
      <c r="B55" s="376"/>
      <c r="C55" s="30" t="s">
        <v>358</v>
      </c>
      <c r="D55" s="12" t="s">
        <v>274</v>
      </c>
      <c r="E55" s="34"/>
      <c r="F55" s="116"/>
      <c r="G55" s="116"/>
      <c r="H55" s="116"/>
      <c r="I55" s="116"/>
      <c r="J55" s="122"/>
      <c r="K55" s="355"/>
      <c r="L55" s="355"/>
      <c r="M55" s="355"/>
      <c r="N55">
        <f t="shared" si="0"/>
        <v>1</v>
      </c>
    </row>
    <row r="56" spans="1:16" s="11" customFormat="1" ht="30.95" customHeight="1" thickBot="1" x14ac:dyDescent="0.35">
      <c r="A56" s="30">
        <v>24</v>
      </c>
      <c r="B56" s="386"/>
      <c r="C56" s="30" t="s">
        <v>358</v>
      </c>
      <c r="D56" s="12" t="s">
        <v>274</v>
      </c>
      <c r="E56" s="34"/>
      <c r="F56" s="116"/>
      <c r="G56" s="116"/>
      <c r="H56" s="116"/>
      <c r="I56" s="116"/>
      <c r="J56" s="122"/>
      <c r="K56" s="363"/>
      <c r="L56" s="363"/>
      <c r="M56" s="363"/>
      <c r="N56">
        <f t="shared" si="0"/>
        <v>1</v>
      </c>
      <c r="O56" s="11">
        <f>SUM(F37:F42,,F49:F54)/12</f>
        <v>-13.229583333333338</v>
      </c>
      <c r="P56" s="11">
        <f>SUM(H37:H42,H49:H54)/12</f>
        <v>-15.331666666666669</v>
      </c>
    </row>
    <row r="57" spans="1:16" s="11" customFormat="1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722</v>
      </c>
      <c r="G57" s="338"/>
      <c r="H57" s="338"/>
      <c r="I57" s="338"/>
      <c r="J57" s="338"/>
      <c r="K57" s="332" t="s">
        <v>10</v>
      </c>
      <c r="L57" s="331" t="s">
        <v>32</v>
      </c>
      <c r="M57" s="331" t="s">
        <v>33</v>
      </c>
      <c r="N57">
        <f t="shared" si="0"/>
        <v>0</v>
      </c>
    </row>
    <row r="58" spans="1:16" s="11" customFormat="1" ht="30.95" customHeight="1" x14ac:dyDescent="0.3">
      <c r="A58" s="336" t="s">
        <v>9</v>
      </c>
      <c r="B58" s="337"/>
      <c r="C58" s="337"/>
      <c r="D58" s="368" t="s">
        <v>282</v>
      </c>
      <c r="E58" s="337" t="s">
        <v>687</v>
      </c>
      <c r="F58" s="349" t="s">
        <v>5</v>
      </c>
      <c r="G58" s="349"/>
      <c r="H58" s="349" t="s">
        <v>7</v>
      </c>
      <c r="I58" s="349"/>
      <c r="J58" s="369" t="s">
        <v>628</v>
      </c>
      <c r="K58" s="332"/>
      <c r="L58" s="332"/>
      <c r="M58" s="332"/>
      <c r="N58">
        <f t="shared" si="0"/>
        <v>0</v>
      </c>
    </row>
    <row r="59" spans="1:16" s="11" customFormat="1" ht="30.95" customHeight="1" x14ac:dyDescent="0.3">
      <c r="A59" s="336"/>
      <c r="B59" s="337"/>
      <c r="C59" s="337"/>
      <c r="D59" s="368"/>
      <c r="E59" s="337"/>
      <c r="F59" s="226" t="s">
        <v>638</v>
      </c>
      <c r="G59" s="214">
        <f>전송손실!M24</f>
        <v>-15.492080000000001</v>
      </c>
      <c r="H59" s="226" t="s">
        <v>638</v>
      </c>
      <c r="I59" s="214">
        <f>전송손실!M50</f>
        <v>-10.03016</v>
      </c>
      <c r="J59" s="369"/>
      <c r="K59" s="332"/>
      <c r="L59" s="332"/>
      <c r="M59" s="332"/>
      <c r="N59"/>
    </row>
    <row r="60" spans="1:16" s="11" customFormat="1" ht="30.95" customHeight="1" thickBot="1" x14ac:dyDescent="0.35">
      <c r="A60" s="229" t="s">
        <v>0</v>
      </c>
      <c r="B60" s="229" t="s">
        <v>1</v>
      </c>
      <c r="C60" s="229" t="s">
        <v>23</v>
      </c>
      <c r="D60" s="229" t="s">
        <v>2</v>
      </c>
      <c r="E60" s="229" t="s">
        <v>3</v>
      </c>
      <c r="F60" s="229" t="s">
        <v>4</v>
      </c>
      <c r="G60" s="229" t="s">
        <v>506</v>
      </c>
      <c r="H60" s="229" t="s">
        <v>4</v>
      </c>
      <c r="I60" s="229" t="s">
        <v>506</v>
      </c>
      <c r="J60" s="370"/>
      <c r="K60" s="367"/>
      <c r="L60" s="367"/>
      <c r="M60" s="367"/>
      <c r="N60">
        <f t="shared" si="0"/>
        <v>1</v>
      </c>
    </row>
    <row r="61" spans="1:16" s="11" customFormat="1" ht="30.95" customHeight="1" x14ac:dyDescent="0.3">
      <c r="A61" s="30">
        <v>1</v>
      </c>
      <c r="B61" s="385" t="s">
        <v>285</v>
      </c>
      <c r="C61" s="30" t="s">
        <v>357</v>
      </c>
      <c r="D61" s="12" t="s">
        <v>698</v>
      </c>
      <c r="E61" s="34"/>
      <c r="F61" s="116"/>
      <c r="G61" s="116"/>
      <c r="H61" s="116"/>
      <c r="I61" s="116"/>
      <c r="J61" s="103"/>
      <c r="K61" s="410" t="s">
        <v>460</v>
      </c>
      <c r="L61" s="410"/>
      <c r="M61" s="354"/>
      <c r="N61">
        <f t="shared" si="0"/>
        <v>1</v>
      </c>
    </row>
    <row r="62" spans="1:16" s="11" customFormat="1" ht="30.95" customHeight="1" x14ac:dyDescent="0.3">
      <c r="A62" s="30">
        <v>2</v>
      </c>
      <c r="B62" s="376"/>
      <c r="C62" s="30" t="s">
        <v>357</v>
      </c>
      <c r="D62" s="12" t="s">
        <v>294</v>
      </c>
      <c r="E62" s="34"/>
      <c r="F62" s="116"/>
      <c r="G62" s="116"/>
      <c r="H62" s="116"/>
      <c r="I62" s="116"/>
      <c r="J62" s="103"/>
      <c r="K62" s="355"/>
      <c r="L62" s="355"/>
      <c r="M62" s="355"/>
      <c r="N62">
        <f t="shared" si="0"/>
        <v>1</v>
      </c>
    </row>
    <row r="63" spans="1:16" s="11" customFormat="1" ht="30.95" customHeight="1" x14ac:dyDescent="0.3">
      <c r="A63" s="30">
        <v>3</v>
      </c>
      <c r="B63" s="376"/>
      <c r="C63" s="85" t="s">
        <v>496</v>
      </c>
      <c r="D63" s="86" t="s">
        <v>498</v>
      </c>
      <c r="E63" s="85"/>
      <c r="F63" s="117"/>
      <c r="G63" s="117"/>
      <c r="H63" s="117"/>
      <c r="I63" s="117"/>
      <c r="J63" s="115"/>
      <c r="K63" s="355"/>
      <c r="L63" s="355"/>
      <c r="M63" s="355"/>
      <c r="N63">
        <f t="shared" si="0"/>
        <v>1</v>
      </c>
    </row>
    <row r="64" spans="1:16" s="11" customFormat="1" ht="30.95" customHeight="1" x14ac:dyDescent="0.3">
      <c r="A64" s="30">
        <v>4</v>
      </c>
      <c r="B64" s="376"/>
      <c r="C64" s="76"/>
      <c r="D64" s="77"/>
      <c r="E64" s="76"/>
      <c r="F64" s="118">
        <v>-13.592000000000001</v>
      </c>
      <c r="G64" s="118">
        <v>35.567100000000003</v>
      </c>
      <c r="H64" s="118">
        <v>-7.4210000000000003</v>
      </c>
      <c r="I64" s="118">
        <v>36.229199999999999</v>
      </c>
      <c r="J64" s="101"/>
      <c r="K64" s="355"/>
      <c r="L64" s="355"/>
      <c r="M64" s="355"/>
      <c r="N64">
        <f t="shared" si="0"/>
        <v>0</v>
      </c>
    </row>
    <row r="65" spans="1:14" s="11" customFormat="1" ht="30.95" customHeight="1" x14ac:dyDescent="0.3">
      <c r="A65" s="30">
        <v>5</v>
      </c>
      <c r="B65" s="376"/>
      <c r="C65" s="30" t="s">
        <v>356</v>
      </c>
      <c r="D65" s="12" t="s">
        <v>295</v>
      </c>
      <c r="E65" s="34"/>
      <c r="F65" s="116"/>
      <c r="G65" s="116"/>
      <c r="H65" s="116"/>
      <c r="I65" s="116"/>
      <c r="J65" s="103"/>
      <c r="K65" s="355"/>
      <c r="L65" s="355"/>
      <c r="M65" s="355"/>
      <c r="N65">
        <f t="shared" si="0"/>
        <v>1</v>
      </c>
    </row>
    <row r="66" spans="1:14" s="11" customFormat="1" ht="30.95" customHeight="1" x14ac:dyDescent="0.3">
      <c r="A66" s="30">
        <v>6</v>
      </c>
      <c r="B66" s="376"/>
      <c r="C66" s="30" t="s">
        <v>356</v>
      </c>
      <c r="D66" s="12" t="s">
        <v>296</v>
      </c>
      <c r="E66" s="34"/>
      <c r="F66" s="116"/>
      <c r="G66" s="116"/>
      <c r="H66" s="116"/>
      <c r="I66" s="116"/>
      <c r="J66" s="103"/>
      <c r="K66" s="355"/>
      <c r="L66" s="355"/>
      <c r="M66" s="355"/>
      <c r="N66">
        <f t="shared" si="0"/>
        <v>1</v>
      </c>
    </row>
    <row r="67" spans="1:14" s="11" customFormat="1" ht="30.95" customHeight="1" x14ac:dyDescent="0.3">
      <c r="A67" s="30">
        <v>7</v>
      </c>
      <c r="B67" s="376"/>
      <c r="C67" s="76"/>
      <c r="D67" s="77"/>
      <c r="E67" s="76"/>
      <c r="F67" s="118">
        <v>-12.717000000000001</v>
      </c>
      <c r="G67" s="118">
        <v>36.231900000000003</v>
      </c>
      <c r="H67" s="118">
        <v>-7.0209999999999999</v>
      </c>
      <c r="I67" s="118">
        <v>36.228900000000003</v>
      </c>
      <c r="J67" s="101"/>
      <c r="K67" s="355"/>
      <c r="L67" s="355"/>
      <c r="M67" s="355"/>
      <c r="N67">
        <f t="shared" si="0"/>
        <v>0</v>
      </c>
    </row>
    <row r="68" spans="1:14" s="11" customFormat="1" ht="30.95" customHeight="1" x14ac:dyDescent="0.3">
      <c r="A68" s="30">
        <v>8</v>
      </c>
      <c r="B68" s="376"/>
      <c r="C68" s="76"/>
      <c r="D68" s="77"/>
      <c r="E68" s="76"/>
      <c r="F68" s="118">
        <v>-12.773</v>
      </c>
      <c r="G68" s="118">
        <v>36.228099999999998</v>
      </c>
      <c r="H68" s="118">
        <v>-7.32</v>
      </c>
      <c r="I68" s="118">
        <v>36.2254</v>
      </c>
      <c r="J68" s="101"/>
      <c r="K68" s="355"/>
      <c r="L68" s="355"/>
      <c r="M68" s="355"/>
      <c r="N68">
        <f t="shared" si="0"/>
        <v>0</v>
      </c>
    </row>
    <row r="69" spans="1:14" s="11" customFormat="1" ht="30.95" customHeight="1" x14ac:dyDescent="0.3">
      <c r="A69" s="30">
        <v>9</v>
      </c>
      <c r="B69" s="376"/>
      <c r="C69" s="76"/>
      <c r="D69" s="77"/>
      <c r="E69" s="76"/>
      <c r="F69" s="118">
        <v>-12.782</v>
      </c>
      <c r="G69" s="118">
        <v>36.229300000000002</v>
      </c>
      <c r="H69" s="118">
        <v>-7.2679999999999998</v>
      </c>
      <c r="I69" s="118">
        <v>36.226700000000001</v>
      </c>
      <c r="J69" s="101"/>
      <c r="K69" s="355"/>
      <c r="L69" s="355"/>
      <c r="M69" s="355"/>
      <c r="N69">
        <f t="shared" si="0"/>
        <v>0</v>
      </c>
    </row>
    <row r="70" spans="1:14" s="11" customFormat="1" ht="30.95" customHeight="1" x14ac:dyDescent="0.3">
      <c r="A70" s="30">
        <v>10</v>
      </c>
      <c r="B70" s="376"/>
      <c r="C70" s="76"/>
      <c r="D70" s="77"/>
      <c r="E70" s="76"/>
      <c r="F70" s="118">
        <v>-12.618</v>
      </c>
      <c r="G70" s="118">
        <v>36.226799999999997</v>
      </c>
      <c r="H70" s="118">
        <v>-7.2560000000000002</v>
      </c>
      <c r="I70" s="118">
        <v>36.222900000000003</v>
      </c>
      <c r="J70" s="101"/>
      <c r="K70" s="355"/>
      <c r="L70" s="355"/>
      <c r="M70" s="355"/>
      <c r="N70">
        <f t="shared" si="0"/>
        <v>0</v>
      </c>
    </row>
    <row r="71" spans="1:14" s="11" customFormat="1" ht="30.95" customHeight="1" x14ac:dyDescent="0.3">
      <c r="A71" s="30">
        <v>11</v>
      </c>
      <c r="B71" s="376"/>
      <c r="C71" s="76"/>
      <c r="D71" s="77"/>
      <c r="E71" s="76"/>
      <c r="F71" s="118">
        <v>-12.737</v>
      </c>
      <c r="G71" s="118">
        <v>36.222999999999999</v>
      </c>
      <c r="H71" s="118">
        <v>-7.1420000000000003</v>
      </c>
      <c r="I71" s="118">
        <v>36.2241</v>
      </c>
      <c r="J71" s="101"/>
      <c r="K71" s="355"/>
      <c r="L71" s="355"/>
      <c r="M71" s="355"/>
      <c r="N71">
        <f t="shared" si="0"/>
        <v>0</v>
      </c>
    </row>
    <row r="72" spans="1:14" s="11" customFormat="1" ht="30.95" customHeight="1" x14ac:dyDescent="0.3">
      <c r="A72" s="30">
        <v>12</v>
      </c>
      <c r="B72" s="376"/>
      <c r="C72" s="76"/>
      <c r="D72" s="77"/>
      <c r="E72" s="76"/>
      <c r="F72" s="118">
        <v>-13.412000000000001</v>
      </c>
      <c r="G72" s="118">
        <v>36.234499999999997</v>
      </c>
      <c r="H72" s="118">
        <v>-7.3620000000000001</v>
      </c>
      <c r="I72" s="118">
        <v>36.228000000000002</v>
      </c>
      <c r="J72" s="101"/>
      <c r="K72" s="355"/>
      <c r="L72" s="355"/>
      <c r="M72" s="355"/>
      <c r="N72">
        <f t="shared" ref="N72:N84" si="1">IF(C72="",0,1)</f>
        <v>0</v>
      </c>
    </row>
    <row r="73" spans="1:14" s="11" customFormat="1" ht="30.95" customHeight="1" x14ac:dyDescent="0.3">
      <c r="A73" s="30">
        <v>13</v>
      </c>
      <c r="B73" s="376"/>
      <c r="C73" s="76"/>
      <c r="D73" s="77"/>
      <c r="E73" s="76"/>
      <c r="F73" s="118">
        <v>-12.592000000000001</v>
      </c>
      <c r="G73" s="118">
        <v>36.231900000000003</v>
      </c>
      <c r="H73" s="118">
        <v>-7.2210000000000001</v>
      </c>
      <c r="I73" s="118">
        <v>36.229199999999999</v>
      </c>
      <c r="J73" s="273"/>
      <c r="K73" s="355"/>
      <c r="L73" s="355"/>
      <c r="M73" s="355"/>
      <c r="N73">
        <f t="shared" si="1"/>
        <v>0</v>
      </c>
    </row>
    <row r="74" spans="1:14" s="11" customFormat="1" ht="30.95" customHeight="1" x14ac:dyDescent="0.3">
      <c r="A74" s="30">
        <v>14</v>
      </c>
      <c r="B74" s="376"/>
      <c r="C74" s="76"/>
      <c r="D74" s="77"/>
      <c r="E74" s="76"/>
      <c r="F74" s="118">
        <v>-12.54</v>
      </c>
      <c r="G74" s="118">
        <v>36.229300000000002</v>
      </c>
      <c r="H74" s="118">
        <v>-7.0919999999999996</v>
      </c>
      <c r="I74" s="118">
        <v>36.226700000000001</v>
      </c>
      <c r="J74" s="273"/>
      <c r="K74" s="355"/>
      <c r="L74" s="355"/>
      <c r="M74" s="355"/>
      <c r="N74">
        <f t="shared" si="1"/>
        <v>0</v>
      </c>
    </row>
    <row r="75" spans="1:14" s="11" customFormat="1" ht="30.95" customHeight="1" x14ac:dyDescent="0.3">
      <c r="A75" s="30">
        <v>15</v>
      </c>
      <c r="B75" s="376"/>
      <c r="C75" s="76"/>
      <c r="D75" s="77"/>
      <c r="E75" s="76"/>
      <c r="F75" s="118">
        <v>-12.885</v>
      </c>
      <c r="G75" s="118">
        <v>36.191000000000003</v>
      </c>
      <c r="H75" s="118">
        <v>-7.3209999999999997</v>
      </c>
      <c r="I75" s="118">
        <v>36.186999999999998</v>
      </c>
      <c r="J75" s="273"/>
      <c r="K75" s="355"/>
      <c r="L75" s="355"/>
      <c r="M75" s="355"/>
      <c r="N75">
        <f t="shared" si="1"/>
        <v>0</v>
      </c>
    </row>
    <row r="76" spans="1:14" s="11" customFormat="1" ht="30.95" customHeight="1" x14ac:dyDescent="0.3">
      <c r="A76" s="30">
        <v>16</v>
      </c>
      <c r="B76" s="376"/>
      <c r="C76" s="76"/>
      <c r="D76" s="77"/>
      <c r="E76" s="76"/>
      <c r="F76" s="118">
        <v>-13.007999999999999</v>
      </c>
      <c r="G76" s="118">
        <v>36.230600000000003</v>
      </c>
      <c r="H76" s="118">
        <v>-7.234</v>
      </c>
      <c r="I76" s="118">
        <v>36.228000000000002</v>
      </c>
      <c r="J76" s="273"/>
      <c r="K76" s="355"/>
      <c r="L76" s="355"/>
      <c r="M76" s="355"/>
      <c r="N76">
        <f t="shared" si="1"/>
        <v>0</v>
      </c>
    </row>
    <row r="77" spans="1:14" s="11" customFormat="1" ht="30.95" customHeight="1" x14ac:dyDescent="0.3">
      <c r="A77" s="30">
        <v>17</v>
      </c>
      <c r="B77" s="376"/>
      <c r="C77" s="76"/>
      <c r="D77" s="77"/>
      <c r="E77" s="76"/>
      <c r="F77" s="118">
        <v>-13.162000000000001</v>
      </c>
      <c r="G77" s="118">
        <v>36.230600000000003</v>
      </c>
      <c r="H77" s="118">
        <v>-7.6189999999999998</v>
      </c>
      <c r="I77" s="118">
        <v>36.228000000000002</v>
      </c>
      <c r="J77" s="101"/>
      <c r="K77" s="355"/>
      <c r="L77" s="355"/>
      <c r="M77" s="355"/>
      <c r="N77">
        <f t="shared" si="1"/>
        <v>0</v>
      </c>
    </row>
    <row r="78" spans="1:14" s="11" customFormat="1" ht="30.95" customHeight="1" x14ac:dyDescent="0.3">
      <c r="A78" s="30">
        <v>18</v>
      </c>
      <c r="B78" s="376"/>
      <c r="C78" s="76"/>
      <c r="D78" s="77"/>
      <c r="E78" s="76"/>
      <c r="F78" s="118">
        <v>-12.749000000000001</v>
      </c>
      <c r="G78" s="118">
        <v>36.229300000000002</v>
      </c>
      <c r="H78" s="118">
        <v>-7.3150000000000004</v>
      </c>
      <c r="I78" s="118">
        <v>36.228000000000002</v>
      </c>
      <c r="J78" s="101"/>
      <c r="K78" s="355"/>
      <c r="L78" s="355"/>
      <c r="M78" s="355"/>
      <c r="N78">
        <f t="shared" si="1"/>
        <v>0</v>
      </c>
    </row>
    <row r="79" spans="1:14" s="11" customFormat="1" ht="30.95" customHeight="1" x14ac:dyDescent="0.3">
      <c r="A79" s="30">
        <v>19</v>
      </c>
      <c r="B79" s="376"/>
      <c r="C79" s="76"/>
      <c r="D79" s="77"/>
      <c r="E79" s="76"/>
      <c r="F79" s="118">
        <v>-12.851000000000001</v>
      </c>
      <c r="G79" s="118">
        <v>36.229300000000002</v>
      </c>
      <c r="H79" s="118">
        <v>-7.3049999999999997</v>
      </c>
      <c r="I79" s="118">
        <v>36.226700000000001</v>
      </c>
      <c r="J79" s="101"/>
      <c r="K79" s="355"/>
      <c r="L79" s="355"/>
      <c r="M79" s="355"/>
      <c r="N79">
        <f t="shared" si="1"/>
        <v>0</v>
      </c>
    </row>
    <row r="80" spans="1:14" s="11" customFormat="1" ht="30.95" customHeight="1" x14ac:dyDescent="0.3">
      <c r="A80" s="30">
        <v>20</v>
      </c>
      <c r="B80" s="376"/>
      <c r="C80" s="76"/>
      <c r="D80" s="77"/>
      <c r="E80" s="76"/>
      <c r="F80" s="118">
        <v>-12.590999999999999</v>
      </c>
      <c r="G80" s="118">
        <v>36.225499999999997</v>
      </c>
      <c r="H80" s="118">
        <v>-7.2060000000000004</v>
      </c>
      <c r="I80" s="118">
        <v>36.221600000000002</v>
      </c>
      <c r="J80" s="101"/>
      <c r="K80" s="355"/>
      <c r="L80" s="355"/>
      <c r="M80" s="355"/>
      <c r="N80">
        <f t="shared" si="1"/>
        <v>0</v>
      </c>
    </row>
    <row r="81" spans="1:16" s="11" customFormat="1" ht="30.95" customHeight="1" x14ac:dyDescent="0.3">
      <c r="A81" s="30">
        <v>21</v>
      </c>
      <c r="B81" s="376"/>
      <c r="C81" s="76"/>
      <c r="D81" s="77"/>
      <c r="E81" s="76"/>
      <c r="F81" s="118">
        <v>-12.472</v>
      </c>
      <c r="G81" s="118">
        <v>36.228099999999998</v>
      </c>
      <c r="H81" s="118">
        <v>-7.2290000000000001</v>
      </c>
      <c r="I81" s="118">
        <v>36.2241</v>
      </c>
      <c r="J81" s="101"/>
      <c r="K81" s="355"/>
      <c r="L81" s="355"/>
      <c r="M81" s="355"/>
      <c r="N81">
        <f t="shared" si="1"/>
        <v>0</v>
      </c>
    </row>
    <row r="82" spans="1:16" s="11" customFormat="1" ht="30.95" customHeight="1" x14ac:dyDescent="0.3">
      <c r="A82" s="30">
        <v>22</v>
      </c>
      <c r="B82" s="376"/>
      <c r="C82" s="76"/>
      <c r="D82" s="77"/>
      <c r="E82" s="76"/>
      <c r="F82" s="118">
        <v>-12.518000000000001</v>
      </c>
      <c r="G82" s="118">
        <v>36.229300000000002</v>
      </c>
      <c r="H82" s="118">
        <v>-7.1130000000000004</v>
      </c>
      <c r="I82" s="118">
        <v>36.228000000000002</v>
      </c>
      <c r="J82" s="101"/>
      <c r="K82" s="355"/>
      <c r="L82" s="355"/>
      <c r="M82" s="355"/>
      <c r="N82">
        <f t="shared" si="1"/>
        <v>0</v>
      </c>
    </row>
    <row r="83" spans="1:16" s="11" customFormat="1" ht="30.95" customHeight="1" x14ac:dyDescent="0.3">
      <c r="A83" s="30">
        <v>23</v>
      </c>
      <c r="B83" s="376"/>
      <c r="C83" s="76"/>
      <c r="D83" s="77"/>
      <c r="E83" s="76"/>
      <c r="F83" s="118">
        <v>-12.669</v>
      </c>
      <c r="G83" s="118">
        <v>36.228099999999998</v>
      </c>
      <c r="H83" s="118">
        <v>-7.375</v>
      </c>
      <c r="I83" s="118">
        <v>36.188400000000001</v>
      </c>
      <c r="J83" s="101"/>
      <c r="K83" s="355"/>
      <c r="L83" s="355"/>
      <c r="M83" s="355"/>
      <c r="N83">
        <f t="shared" si="1"/>
        <v>0</v>
      </c>
    </row>
    <row r="84" spans="1:16" s="11" customFormat="1" ht="30.95" customHeight="1" x14ac:dyDescent="0.3">
      <c r="A84" s="30">
        <v>24</v>
      </c>
      <c r="B84" s="386"/>
      <c r="C84" s="76"/>
      <c r="D84" s="77"/>
      <c r="E84" s="76"/>
      <c r="F84" s="118">
        <v>-12.755000000000001</v>
      </c>
      <c r="G84" s="118">
        <v>36.228099999999998</v>
      </c>
      <c r="H84" s="118">
        <v>-7.423</v>
      </c>
      <c r="I84" s="118">
        <v>36.2254</v>
      </c>
      <c r="J84" s="101"/>
      <c r="K84" s="363"/>
      <c r="L84" s="363"/>
      <c r="M84" s="363"/>
      <c r="N84">
        <f t="shared" si="1"/>
        <v>0</v>
      </c>
      <c r="O84" s="11">
        <f>SUM(F64,F67:F84)/19</f>
        <v>-12.811736842105265</v>
      </c>
      <c r="P84" s="11">
        <f>SUM(H64,H67:H84)/19</f>
        <v>-7.2759473684210523</v>
      </c>
    </row>
    <row r="85" spans="1:16" s="11" customFormat="1" ht="32.1" customHeight="1" x14ac:dyDescent="0.3">
      <c r="D85" s="13"/>
      <c r="F85"/>
      <c r="G85"/>
      <c r="H85"/>
      <c r="I85"/>
      <c r="J85"/>
      <c r="K85" s="1"/>
      <c r="L85" s="1"/>
      <c r="M85" s="1"/>
    </row>
    <row r="86" spans="1:16" s="11" customFormat="1" ht="32.1" customHeight="1" x14ac:dyDescent="0.3">
      <c r="D86" s="13"/>
      <c r="F86"/>
      <c r="G86"/>
      <c r="H86"/>
      <c r="I86"/>
      <c r="J86"/>
      <c r="K86" s="1"/>
      <c r="L86" s="1"/>
      <c r="M86" s="1"/>
    </row>
    <row r="87" spans="1:16" s="11" customFormat="1" ht="32.1" customHeight="1" x14ac:dyDescent="0.3">
      <c r="D87" s="13"/>
      <c r="F87"/>
      <c r="G87"/>
      <c r="H87"/>
      <c r="I87"/>
      <c r="J87"/>
      <c r="K87" s="1"/>
      <c r="L87" s="1"/>
      <c r="M87" s="1"/>
    </row>
    <row r="88" spans="1:16" s="11" customFormat="1" ht="32.1" customHeight="1" x14ac:dyDescent="0.3">
      <c r="D88" s="13"/>
      <c r="F88"/>
      <c r="G88"/>
      <c r="H88"/>
      <c r="I88"/>
      <c r="J88"/>
      <c r="K88" s="1"/>
      <c r="L88" s="1"/>
      <c r="M88" s="1"/>
    </row>
    <row r="89" spans="1:16" s="11" customFormat="1" ht="32.1" customHeight="1" x14ac:dyDescent="0.3">
      <c r="D89" s="13"/>
      <c r="F89"/>
      <c r="G89"/>
      <c r="H89"/>
      <c r="I89"/>
      <c r="J89"/>
      <c r="K89" s="1"/>
      <c r="L89" s="1"/>
      <c r="M89" s="1"/>
    </row>
    <row r="90" spans="1:16" s="11" customFormat="1" ht="32.1" customHeight="1" x14ac:dyDescent="0.3">
      <c r="D90" s="13"/>
      <c r="F90"/>
      <c r="G90"/>
      <c r="H90"/>
      <c r="I90"/>
      <c r="J90"/>
      <c r="K90" s="1"/>
      <c r="L90" s="1"/>
      <c r="M90" s="1"/>
    </row>
    <row r="91" spans="1:16" s="11" customFormat="1" ht="32.1" customHeight="1" x14ac:dyDescent="0.3">
      <c r="D91" s="13"/>
      <c r="F91"/>
      <c r="G91"/>
      <c r="H91"/>
      <c r="I91"/>
      <c r="J91"/>
      <c r="K91" s="1"/>
      <c r="L91" s="1"/>
      <c r="M91" s="1"/>
    </row>
    <row r="92" spans="1:16" s="11" customFormat="1" ht="32.1" customHeight="1" x14ac:dyDescent="0.3">
      <c r="D92" s="13"/>
      <c r="F92"/>
      <c r="G92"/>
      <c r="H92"/>
      <c r="I92"/>
      <c r="J92"/>
      <c r="K92" s="1"/>
      <c r="L92" s="1"/>
      <c r="M92" s="1"/>
    </row>
    <row r="93" spans="1:16" s="11" customFormat="1" ht="32.1" customHeight="1" x14ac:dyDescent="0.3">
      <c r="D93" s="13"/>
      <c r="F93"/>
      <c r="G93"/>
      <c r="H93"/>
      <c r="I93"/>
      <c r="J93"/>
      <c r="K93" s="1"/>
      <c r="L93" s="1"/>
      <c r="M93" s="1"/>
    </row>
    <row r="94" spans="1:16" s="11" customFormat="1" ht="32.1" customHeight="1" x14ac:dyDescent="0.3">
      <c r="D94" s="13"/>
      <c r="F94"/>
      <c r="G94"/>
      <c r="H94"/>
      <c r="I94"/>
      <c r="J94"/>
      <c r="K94" s="1"/>
      <c r="L94" s="1"/>
      <c r="M94" s="1"/>
    </row>
    <row r="95" spans="1:16" s="11" customFormat="1" ht="32.1" customHeight="1" x14ac:dyDescent="0.3">
      <c r="D95" s="13"/>
      <c r="F95"/>
      <c r="G95"/>
      <c r="H95"/>
      <c r="I95"/>
      <c r="J95"/>
      <c r="K95" s="1"/>
      <c r="L95" s="1"/>
      <c r="M95" s="1"/>
    </row>
    <row r="96" spans="1:16" s="11" customFormat="1" ht="32.1" customHeight="1" x14ac:dyDescent="0.3">
      <c r="D96" s="13"/>
      <c r="F96"/>
      <c r="G96"/>
      <c r="H96"/>
      <c r="I96"/>
      <c r="J96"/>
      <c r="K96" s="1"/>
      <c r="L96" s="1"/>
      <c r="M96" s="1"/>
    </row>
    <row r="97" spans="4:13" s="11" customFormat="1" ht="32.1" customHeight="1" x14ac:dyDescent="0.3">
      <c r="D97" s="13"/>
      <c r="F97"/>
      <c r="G97"/>
      <c r="H97"/>
      <c r="I97"/>
      <c r="J97"/>
      <c r="K97" s="1"/>
      <c r="L97" s="1"/>
      <c r="M97" s="1"/>
    </row>
    <row r="98" spans="4:13" s="11" customFormat="1" ht="32.1" customHeight="1" x14ac:dyDescent="0.3">
      <c r="D98" s="13"/>
      <c r="F98"/>
      <c r="G98"/>
      <c r="H98"/>
      <c r="I98"/>
      <c r="J98"/>
      <c r="K98" s="1"/>
      <c r="L98" s="1"/>
      <c r="M98" s="1"/>
    </row>
    <row r="99" spans="4:13" s="11" customFormat="1" ht="32.1" customHeight="1" x14ac:dyDescent="0.3">
      <c r="D99" s="13"/>
      <c r="F99"/>
      <c r="G99"/>
      <c r="H99"/>
      <c r="I99"/>
      <c r="J99"/>
      <c r="K99" s="1"/>
      <c r="L99" s="1"/>
      <c r="M99" s="1"/>
    </row>
    <row r="100" spans="4:13" s="11" customFormat="1" ht="32.1" customHeight="1" x14ac:dyDescent="0.3">
      <c r="D100" s="13"/>
      <c r="F100"/>
      <c r="G100"/>
      <c r="H100"/>
      <c r="I100"/>
      <c r="J100"/>
      <c r="K100" s="1"/>
      <c r="L100" s="1"/>
      <c r="M100" s="1"/>
    </row>
    <row r="101" spans="4:13" s="11" customFormat="1" ht="32.1" customHeight="1" x14ac:dyDescent="0.3">
      <c r="D101" s="13"/>
      <c r="F101"/>
      <c r="G101"/>
      <c r="H101"/>
      <c r="I101"/>
      <c r="J101"/>
      <c r="K101" s="1"/>
      <c r="L101" s="1"/>
      <c r="M101" s="1"/>
    </row>
    <row r="102" spans="4:13" s="11" customFormat="1" ht="32.1" customHeight="1" x14ac:dyDescent="0.3">
      <c r="D102" s="13"/>
      <c r="F102"/>
      <c r="G102"/>
      <c r="H102"/>
      <c r="I102"/>
      <c r="J102"/>
      <c r="K102" s="1"/>
      <c r="L102" s="1"/>
      <c r="M102" s="1"/>
    </row>
    <row r="103" spans="4:13" s="11" customFormat="1" ht="32.1" customHeight="1" x14ac:dyDescent="0.3">
      <c r="D103" s="13"/>
      <c r="F103"/>
      <c r="G103"/>
      <c r="H103"/>
      <c r="I103"/>
      <c r="J103"/>
      <c r="K103" s="1"/>
      <c r="L103" s="1"/>
      <c r="M103" s="1"/>
    </row>
    <row r="104" spans="4:13" s="11" customFormat="1" ht="32.1" customHeight="1" x14ac:dyDescent="0.3">
      <c r="D104" s="13"/>
      <c r="F104"/>
      <c r="G104"/>
      <c r="H104"/>
      <c r="I104"/>
      <c r="J104"/>
      <c r="K104" s="1"/>
      <c r="L104" s="1"/>
      <c r="M104" s="1"/>
    </row>
    <row r="105" spans="4:13" s="11" customFormat="1" ht="32.1" customHeight="1" x14ac:dyDescent="0.3">
      <c r="D105" s="13"/>
      <c r="F105"/>
      <c r="G105"/>
      <c r="H105"/>
      <c r="I105"/>
      <c r="J105"/>
      <c r="K105" s="1"/>
      <c r="L105" s="1"/>
      <c r="M105" s="1"/>
    </row>
    <row r="106" spans="4:13" s="11" customFormat="1" ht="32.1" customHeight="1" x14ac:dyDescent="0.3">
      <c r="D106" s="13"/>
      <c r="F106"/>
      <c r="G106"/>
      <c r="H106"/>
      <c r="I106"/>
      <c r="J106"/>
      <c r="K106" s="1"/>
      <c r="L106" s="1"/>
      <c r="M106" s="1"/>
    </row>
    <row r="107" spans="4:13" s="11" customFormat="1" ht="32.1" customHeight="1" x14ac:dyDescent="0.3">
      <c r="D107" s="13"/>
      <c r="F107"/>
      <c r="G107"/>
      <c r="H107"/>
      <c r="I107"/>
      <c r="J107"/>
      <c r="K107" s="1"/>
      <c r="L107" s="1"/>
      <c r="M107" s="1"/>
    </row>
    <row r="108" spans="4:13" s="11" customFormat="1" ht="32.1" customHeight="1" x14ac:dyDescent="0.3">
      <c r="D108" s="13"/>
      <c r="F108"/>
      <c r="G108"/>
      <c r="H108"/>
      <c r="I108"/>
      <c r="J108"/>
      <c r="K108" s="1"/>
      <c r="L108" s="1"/>
      <c r="M108" s="1"/>
    </row>
    <row r="109" spans="4:13" s="11" customFormat="1" ht="32.1" customHeight="1" x14ac:dyDescent="0.3">
      <c r="D109" s="13"/>
      <c r="F109"/>
      <c r="G109"/>
      <c r="H109"/>
      <c r="I109"/>
      <c r="J109"/>
      <c r="K109" s="1"/>
      <c r="L109" s="1"/>
      <c r="M109" s="1"/>
    </row>
    <row r="110" spans="4:13" s="11" customFormat="1" ht="32.1" customHeight="1" x14ac:dyDescent="0.3">
      <c r="D110" s="13"/>
      <c r="F110"/>
      <c r="G110"/>
      <c r="H110"/>
      <c r="I110"/>
      <c r="J110"/>
      <c r="K110" s="1"/>
      <c r="L110" s="1"/>
      <c r="M110" s="1"/>
    </row>
    <row r="111" spans="4:13" s="11" customFormat="1" ht="32.1" customHeight="1" x14ac:dyDescent="0.3">
      <c r="D111" s="13"/>
      <c r="F111"/>
      <c r="G111"/>
      <c r="H111"/>
      <c r="I111"/>
      <c r="J111"/>
      <c r="K111" s="1"/>
      <c r="L111" s="1"/>
      <c r="M111" s="1"/>
    </row>
    <row r="112" spans="4:13" s="11" customFormat="1" ht="32.1" customHeight="1" x14ac:dyDescent="0.3">
      <c r="D112" s="13"/>
      <c r="F112"/>
      <c r="G112"/>
      <c r="H112"/>
      <c r="I112"/>
      <c r="J112"/>
      <c r="K112" s="1"/>
      <c r="L112" s="1"/>
      <c r="M112" s="1"/>
    </row>
    <row r="113" spans="4:13" s="11" customFormat="1" ht="32.1" customHeight="1" x14ac:dyDescent="0.3">
      <c r="D113" s="13"/>
      <c r="F113"/>
      <c r="G113"/>
      <c r="H113"/>
      <c r="I113"/>
      <c r="J113"/>
      <c r="K113" s="1"/>
      <c r="L113" s="1"/>
      <c r="M113" s="1"/>
    </row>
    <row r="114" spans="4:13" s="11" customFormat="1" ht="32.1" customHeight="1" x14ac:dyDescent="0.3">
      <c r="D114" s="13"/>
      <c r="F114"/>
      <c r="G114"/>
      <c r="H114"/>
      <c r="I114"/>
      <c r="J114"/>
      <c r="K114" s="1"/>
      <c r="L114" s="1"/>
      <c r="M114" s="1"/>
    </row>
    <row r="115" spans="4:13" s="11" customFormat="1" ht="32.1" customHeight="1" x14ac:dyDescent="0.3">
      <c r="D115" s="13"/>
      <c r="F115"/>
      <c r="G115"/>
      <c r="H115"/>
      <c r="I115"/>
      <c r="J115"/>
      <c r="K115" s="1"/>
      <c r="L115" s="1"/>
      <c r="M115" s="1"/>
    </row>
    <row r="116" spans="4:13" s="11" customFormat="1" ht="32.1" customHeight="1" x14ac:dyDescent="0.3">
      <c r="D116" s="13"/>
      <c r="F116"/>
      <c r="G116"/>
      <c r="H116"/>
      <c r="I116"/>
      <c r="J116"/>
      <c r="K116" s="1"/>
      <c r="L116" s="1"/>
      <c r="M116" s="1"/>
    </row>
    <row r="117" spans="4:13" s="11" customFormat="1" ht="32.1" customHeight="1" x14ac:dyDescent="0.3">
      <c r="D117" s="13"/>
      <c r="F117"/>
      <c r="G117"/>
      <c r="H117"/>
      <c r="I117"/>
      <c r="J117"/>
      <c r="K117" s="1"/>
      <c r="L117" s="1"/>
      <c r="M117" s="1"/>
    </row>
    <row r="118" spans="4:13" s="11" customFormat="1" ht="32.1" customHeight="1" x14ac:dyDescent="0.3">
      <c r="D118" s="13"/>
      <c r="F118"/>
      <c r="G118"/>
      <c r="H118"/>
      <c r="I118"/>
      <c r="J118"/>
      <c r="K118" s="1"/>
      <c r="L118" s="1"/>
      <c r="M118" s="1"/>
    </row>
    <row r="119" spans="4:13" s="11" customFormat="1" ht="32.1" customHeight="1" x14ac:dyDescent="0.3">
      <c r="D119" s="13"/>
      <c r="F119"/>
      <c r="G119"/>
      <c r="H119"/>
      <c r="I119"/>
      <c r="J119"/>
      <c r="K119" s="1"/>
      <c r="L119" s="1"/>
      <c r="M119" s="1"/>
    </row>
  </sheetData>
  <mergeCells count="45">
    <mergeCell ref="M5:M28"/>
    <mergeCell ref="M33:M56"/>
    <mergeCell ref="M61:M84"/>
    <mergeCell ref="K61:K84"/>
    <mergeCell ref="B5:B28"/>
    <mergeCell ref="K33:K56"/>
    <mergeCell ref="L33:L56"/>
    <mergeCell ref="L61:L84"/>
    <mergeCell ref="A29:C29"/>
    <mergeCell ref="K5:K28"/>
    <mergeCell ref="L5:L28"/>
    <mergeCell ref="A30:C31"/>
    <mergeCell ref="D30:D31"/>
    <mergeCell ref="E30:E31"/>
    <mergeCell ref="B33:B56"/>
    <mergeCell ref="B61:B84"/>
    <mergeCell ref="M1:M4"/>
    <mergeCell ref="F2:G2"/>
    <mergeCell ref="H2:I2"/>
    <mergeCell ref="J2:J4"/>
    <mergeCell ref="A1:C1"/>
    <mergeCell ref="F1:J1"/>
    <mergeCell ref="K1:K4"/>
    <mergeCell ref="L1:L4"/>
    <mergeCell ref="A2:C3"/>
    <mergeCell ref="D2:D3"/>
    <mergeCell ref="E2:E3"/>
    <mergeCell ref="F29:J29"/>
    <mergeCell ref="K29:K32"/>
    <mergeCell ref="L29:L32"/>
    <mergeCell ref="M29:M32"/>
    <mergeCell ref="F30:G30"/>
    <mergeCell ref="H30:I30"/>
    <mergeCell ref="J30:J32"/>
    <mergeCell ref="A57:C57"/>
    <mergeCell ref="F57:J57"/>
    <mergeCell ref="K57:K60"/>
    <mergeCell ref="L57:L60"/>
    <mergeCell ref="M57:M60"/>
    <mergeCell ref="F58:G58"/>
    <mergeCell ref="H58:I58"/>
    <mergeCell ref="J58:J60"/>
    <mergeCell ref="A58:C59"/>
    <mergeCell ref="D58:D59"/>
    <mergeCell ref="E58:E59"/>
  </mergeCells>
  <phoneticPr fontId="1" type="noConversion"/>
  <pageMargins left="0.25" right="0.25" top="0.75" bottom="0.75" header="0.3" footer="0.3"/>
  <pageSetup paperSize="9" scale="55" fitToHeight="3" orientation="landscape" r:id="rId1"/>
  <rowBreaks count="1" manualBreakCount="1">
    <brk id="28" max="1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5"/>
  <sheetViews>
    <sheetView view="pageBreakPreview" zoomScale="70" zoomScaleNormal="100" zoomScaleSheetLayoutView="70" workbookViewId="0">
      <pane ySplit="4" topLeftCell="A5" activePane="bottomLeft" state="frozen"/>
      <selection activeCell="E28" sqref="E28"/>
      <selection pane="bottomLeft" activeCell="J64" sqref="J64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10" width="13.625" customWidth="1"/>
    <col min="11" max="11" width="26.75" style="1" customWidth="1"/>
    <col min="12" max="12" width="16.625" style="1" bestFit="1" customWidth="1"/>
    <col min="13" max="13" width="9" style="1"/>
  </cols>
  <sheetData>
    <row r="1" spans="1:17" ht="32.1" customHeight="1" x14ac:dyDescent="0.3">
      <c r="A1" s="374" t="s">
        <v>8</v>
      </c>
      <c r="B1" s="325"/>
      <c r="C1" s="325"/>
      <c r="D1" s="228" t="s">
        <v>11</v>
      </c>
      <c r="E1" s="228" t="s">
        <v>12</v>
      </c>
      <c r="F1" s="338" t="s">
        <v>663</v>
      </c>
      <c r="G1" s="338"/>
      <c r="H1" s="338"/>
      <c r="I1" s="338"/>
      <c r="J1" s="338"/>
      <c r="K1" s="332" t="s">
        <v>10</v>
      </c>
      <c r="L1" s="331" t="s">
        <v>32</v>
      </c>
      <c r="M1" s="331" t="s">
        <v>33</v>
      </c>
      <c r="N1">
        <f>COUNTIF(N5:N507,0)/COUNT(A:A)</f>
        <v>0.5</v>
      </c>
    </row>
    <row r="2" spans="1:17" ht="32.1" customHeight="1" x14ac:dyDescent="0.3">
      <c r="A2" s="336" t="s">
        <v>9</v>
      </c>
      <c r="B2" s="337"/>
      <c r="C2" s="337"/>
      <c r="D2" s="368" t="s">
        <v>297</v>
      </c>
      <c r="E2" s="337" t="s">
        <v>687</v>
      </c>
      <c r="F2" s="349" t="s">
        <v>5</v>
      </c>
      <c r="G2" s="349"/>
      <c r="H2" s="349" t="s">
        <v>7</v>
      </c>
      <c r="I2" s="349"/>
      <c r="J2" s="369" t="s">
        <v>628</v>
      </c>
      <c r="K2" s="332"/>
      <c r="L2" s="332"/>
      <c r="M2" s="332"/>
    </row>
    <row r="3" spans="1:17" ht="32.1" customHeight="1" x14ac:dyDescent="0.3">
      <c r="A3" s="336"/>
      <c r="B3" s="337"/>
      <c r="C3" s="337"/>
      <c r="D3" s="368"/>
      <c r="E3" s="337"/>
      <c r="F3" s="226" t="s">
        <v>638</v>
      </c>
      <c r="G3" s="214">
        <f>전송손실!M20</f>
        <v>-14.648359999999998</v>
      </c>
      <c r="H3" s="226" t="s">
        <v>638</v>
      </c>
      <c r="I3" s="214">
        <f>전송손실!M46</f>
        <v>-9.6562200000000011</v>
      </c>
      <c r="J3" s="369"/>
      <c r="K3" s="332"/>
      <c r="L3" s="332"/>
      <c r="M3" s="332"/>
    </row>
    <row r="4" spans="1:17" ht="32.1" customHeight="1" thickBot="1" x14ac:dyDescent="0.35">
      <c r="A4" s="229" t="s">
        <v>0</v>
      </c>
      <c r="B4" s="229" t="s">
        <v>1</v>
      </c>
      <c r="C4" s="229" t="s">
        <v>23</v>
      </c>
      <c r="D4" s="229" t="s">
        <v>2</v>
      </c>
      <c r="E4" s="229" t="s">
        <v>3</v>
      </c>
      <c r="F4" s="229" t="s">
        <v>4</v>
      </c>
      <c r="G4" s="229" t="s">
        <v>506</v>
      </c>
      <c r="H4" s="229" t="s">
        <v>4</v>
      </c>
      <c r="I4" s="229" t="s">
        <v>506</v>
      </c>
      <c r="J4" s="370"/>
      <c r="K4" s="367"/>
      <c r="L4" s="367"/>
      <c r="M4" s="367"/>
    </row>
    <row r="5" spans="1:17" ht="30.95" customHeight="1" x14ac:dyDescent="0.3">
      <c r="A5" s="14">
        <v>1</v>
      </c>
      <c r="B5" s="411" t="s">
        <v>302</v>
      </c>
      <c r="C5" s="14" t="s">
        <v>357</v>
      </c>
      <c r="D5" s="12" t="s">
        <v>684</v>
      </c>
      <c r="E5" s="14"/>
      <c r="F5" s="102"/>
      <c r="G5" s="102"/>
      <c r="H5" s="102"/>
      <c r="I5" s="102"/>
      <c r="J5" s="102"/>
      <c r="K5" s="410" t="s">
        <v>430</v>
      </c>
      <c r="L5" s="354"/>
      <c r="M5" s="357"/>
      <c r="N5">
        <f>IF(C5="",0,1)</f>
        <v>1</v>
      </c>
    </row>
    <row r="6" spans="1:17" ht="30.95" customHeight="1" x14ac:dyDescent="0.3">
      <c r="A6" s="14">
        <v>2</v>
      </c>
      <c r="B6" s="394"/>
      <c r="C6" s="14" t="s">
        <v>357</v>
      </c>
      <c r="D6" s="12" t="s">
        <v>685</v>
      </c>
      <c r="E6" s="14"/>
      <c r="F6" s="102"/>
      <c r="G6" s="102"/>
      <c r="H6" s="102"/>
      <c r="I6" s="102"/>
      <c r="J6" s="102"/>
      <c r="K6" s="355"/>
      <c r="L6" s="355"/>
      <c r="M6" s="355"/>
      <c r="N6">
        <f t="shared" ref="N6:N74" si="0">IF(C6="",0,1)</f>
        <v>1</v>
      </c>
    </row>
    <row r="7" spans="1:17" ht="30.95" customHeight="1" x14ac:dyDescent="0.3">
      <c r="A7" s="14">
        <v>3</v>
      </c>
      <c r="B7" s="394"/>
      <c r="C7" s="14" t="s">
        <v>357</v>
      </c>
      <c r="D7" s="12" t="s">
        <v>304</v>
      </c>
      <c r="E7" s="14"/>
      <c r="F7" s="102"/>
      <c r="G7" s="102"/>
      <c r="H7" s="102"/>
      <c r="I7" s="102"/>
      <c r="J7" s="102"/>
      <c r="K7" s="355"/>
      <c r="L7" s="355"/>
      <c r="M7" s="355"/>
      <c r="N7">
        <f t="shared" si="0"/>
        <v>1</v>
      </c>
    </row>
    <row r="8" spans="1:17" ht="30.95" customHeight="1" x14ac:dyDescent="0.3">
      <c r="A8" s="14">
        <v>4</v>
      </c>
      <c r="B8" s="394"/>
      <c r="C8" s="14" t="s">
        <v>357</v>
      </c>
      <c r="D8" s="12" t="s">
        <v>303</v>
      </c>
      <c r="E8" s="14"/>
      <c r="F8" s="102"/>
      <c r="G8" s="102"/>
      <c r="H8" s="102"/>
      <c r="I8" s="102"/>
      <c r="J8" s="102"/>
      <c r="K8" s="355"/>
      <c r="L8" s="355"/>
      <c r="M8" s="355"/>
      <c r="N8">
        <f t="shared" si="0"/>
        <v>1</v>
      </c>
    </row>
    <row r="9" spans="1:17" ht="30.95" customHeight="1" x14ac:dyDescent="0.3">
      <c r="A9" s="14">
        <v>5</v>
      </c>
      <c r="B9" s="394"/>
      <c r="C9" s="14" t="s">
        <v>358</v>
      </c>
      <c r="D9" s="12" t="s">
        <v>305</v>
      </c>
      <c r="E9" s="14"/>
      <c r="F9" s="102"/>
      <c r="G9" s="102"/>
      <c r="H9" s="102"/>
      <c r="I9" s="102"/>
      <c r="J9" s="102"/>
      <c r="K9" s="355"/>
      <c r="L9" s="355"/>
      <c r="M9" s="355"/>
      <c r="N9">
        <f t="shared" si="0"/>
        <v>1</v>
      </c>
    </row>
    <row r="10" spans="1:17" ht="30.95" customHeight="1" x14ac:dyDescent="0.3">
      <c r="A10" s="14">
        <v>6</v>
      </c>
      <c r="B10" s="394"/>
      <c r="C10" s="14" t="s">
        <v>358</v>
      </c>
      <c r="D10" s="12" t="s">
        <v>305</v>
      </c>
      <c r="E10" s="14"/>
      <c r="F10" s="102"/>
      <c r="G10" s="102"/>
      <c r="H10" s="102"/>
      <c r="I10" s="102"/>
      <c r="J10" s="102"/>
      <c r="K10" s="355"/>
      <c r="L10" s="355"/>
      <c r="M10" s="355"/>
      <c r="N10">
        <f t="shared" si="0"/>
        <v>1</v>
      </c>
    </row>
    <row r="11" spans="1:17" ht="30.95" customHeight="1" x14ac:dyDescent="0.3">
      <c r="A11" s="14">
        <v>7</v>
      </c>
      <c r="B11" s="394"/>
      <c r="C11" s="14"/>
      <c r="D11" s="12" t="s">
        <v>686</v>
      </c>
      <c r="E11" s="14"/>
      <c r="F11" s="102"/>
      <c r="G11" s="102"/>
      <c r="H11" s="102"/>
      <c r="I11" s="102"/>
      <c r="J11" s="102"/>
      <c r="K11" s="355"/>
      <c r="L11" s="355"/>
      <c r="M11" s="355"/>
      <c r="N11">
        <f t="shared" si="0"/>
        <v>0</v>
      </c>
    </row>
    <row r="12" spans="1:17" ht="30.95" customHeight="1" x14ac:dyDescent="0.3">
      <c r="A12" s="14">
        <v>8</v>
      </c>
      <c r="B12" s="394"/>
      <c r="C12" s="14"/>
      <c r="D12" s="12" t="s">
        <v>686</v>
      </c>
      <c r="E12" s="14"/>
      <c r="F12" s="102"/>
      <c r="G12" s="102"/>
      <c r="H12" s="102"/>
      <c r="I12" s="102"/>
      <c r="J12" s="102"/>
      <c r="K12" s="355"/>
      <c r="L12" s="355"/>
      <c r="M12" s="355"/>
      <c r="N12">
        <f t="shared" si="0"/>
        <v>0</v>
      </c>
    </row>
    <row r="13" spans="1:17" ht="30.95" customHeight="1" x14ac:dyDescent="0.3">
      <c r="A13" s="14">
        <v>9</v>
      </c>
      <c r="B13" s="394"/>
      <c r="C13" s="76"/>
      <c r="D13" s="77"/>
      <c r="E13" s="76"/>
      <c r="F13" s="118">
        <v>-11.375</v>
      </c>
      <c r="G13" s="118">
        <v>31.780999999999999</v>
      </c>
      <c r="H13" s="118">
        <v>-8.657</v>
      </c>
      <c r="I13" s="118">
        <v>31.798999999999999</v>
      </c>
      <c r="J13" s="101" t="s">
        <v>664</v>
      </c>
      <c r="K13" s="355"/>
      <c r="L13" s="355"/>
      <c r="M13" s="355"/>
      <c r="N13">
        <f t="shared" si="0"/>
        <v>0</v>
      </c>
      <c r="Q13" t="s">
        <v>167</v>
      </c>
    </row>
    <row r="14" spans="1:17" ht="30.95" customHeight="1" x14ac:dyDescent="0.3">
      <c r="A14" s="14">
        <v>10</v>
      </c>
      <c r="B14" s="394"/>
      <c r="C14" s="76"/>
      <c r="D14" s="77"/>
      <c r="E14" s="76"/>
      <c r="F14" s="118">
        <v>-11.288</v>
      </c>
      <c r="G14" s="118">
        <v>31.783000000000001</v>
      </c>
      <c r="H14" s="118">
        <v>-7.1130000000000004</v>
      </c>
      <c r="I14" s="118">
        <v>31.792999999999999</v>
      </c>
      <c r="J14" s="101" t="s">
        <v>664</v>
      </c>
      <c r="K14" s="355"/>
      <c r="L14" s="355"/>
      <c r="M14" s="355"/>
      <c r="N14">
        <f t="shared" si="0"/>
        <v>0</v>
      </c>
    </row>
    <row r="15" spans="1:17" ht="30.95" customHeight="1" x14ac:dyDescent="0.3">
      <c r="A15" s="14">
        <v>11</v>
      </c>
      <c r="B15" s="394"/>
      <c r="C15" s="14"/>
      <c r="D15" s="12" t="s">
        <v>686</v>
      </c>
      <c r="E15" s="14"/>
      <c r="F15" s="116"/>
      <c r="G15" s="116"/>
      <c r="H15" s="116"/>
      <c r="I15" s="116"/>
      <c r="J15" s="102"/>
      <c r="K15" s="355"/>
      <c r="L15" s="355"/>
      <c r="M15" s="355"/>
      <c r="N15">
        <f t="shared" si="0"/>
        <v>0</v>
      </c>
    </row>
    <row r="16" spans="1:17" ht="30.95" customHeight="1" x14ac:dyDescent="0.3">
      <c r="A16" s="14">
        <v>12</v>
      </c>
      <c r="B16" s="394"/>
      <c r="C16" s="14"/>
      <c r="D16" s="12" t="s">
        <v>686</v>
      </c>
      <c r="E16" s="14"/>
      <c r="F16" s="116"/>
      <c r="G16" s="116"/>
      <c r="H16" s="116"/>
      <c r="I16" s="116"/>
      <c r="J16" s="102"/>
      <c r="K16" s="355"/>
      <c r="L16" s="355"/>
      <c r="M16" s="355"/>
      <c r="N16">
        <f t="shared" si="0"/>
        <v>0</v>
      </c>
    </row>
    <row r="17" spans="1:16" ht="30.95" customHeight="1" x14ac:dyDescent="0.3">
      <c r="A17" s="32">
        <v>13</v>
      </c>
      <c r="B17" s="394"/>
      <c r="C17" s="76"/>
      <c r="D17" s="77"/>
      <c r="E17" s="76"/>
      <c r="F17" s="118">
        <v>-11.436</v>
      </c>
      <c r="G17" s="118">
        <v>31.786000000000001</v>
      </c>
      <c r="H17" s="118">
        <v>-8.1820000000000004</v>
      </c>
      <c r="I17" s="118">
        <v>31.800999999999998</v>
      </c>
      <c r="J17" s="101" t="s">
        <v>664</v>
      </c>
      <c r="K17" s="355"/>
      <c r="L17" s="355"/>
      <c r="M17" s="355"/>
      <c r="N17">
        <f t="shared" si="0"/>
        <v>0</v>
      </c>
    </row>
    <row r="18" spans="1:16" ht="30.95" customHeight="1" x14ac:dyDescent="0.3">
      <c r="A18" s="32">
        <v>14</v>
      </c>
      <c r="B18" s="394"/>
      <c r="C18" s="76"/>
      <c r="D18" s="77"/>
      <c r="E18" s="76"/>
      <c r="F18" s="118">
        <v>-11.6</v>
      </c>
      <c r="G18" s="118">
        <v>31.777999999999999</v>
      </c>
      <c r="H18" s="118">
        <v>-9.3260000000000005</v>
      </c>
      <c r="I18" s="118">
        <v>31.798999999999999</v>
      </c>
      <c r="J18" s="101" t="s">
        <v>664</v>
      </c>
      <c r="K18" s="355"/>
      <c r="L18" s="355"/>
      <c r="M18" s="355"/>
      <c r="N18">
        <f t="shared" si="0"/>
        <v>0</v>
      </c>
    </row>
    <row r="19" spans="1:16" ht="30.95" customHeight="1" x14ac:dyDescent="0.3">
      <c r="A19" s="32">
        <v>15</v>
      </c>
      <c r="B19" s="394"/>
      <c r="C19" s="32" t="s">
        <v>356</v>
      </c>
      <c r="D19" s="12" t="s">
        <v>309</v>
      </c>
      <c r="E19" s="32"/>
      <c r="F19" s="116"/>
      <c r="G19" s="116"/>
      <c r="H19" s="116"/>
      <c r="I19" s="116"/>
      <c r="J19" s="102"/>
      <c r="K19" s="355"/>
      <c r="L19" s="355"/>
      <c r="M19" s="355"/>
      <c r="N19">
        <f t="shared" si="0"/>
        <v>1</v>
      </c>
    </row>
    <row r="20" spans="1:16" ht="30.95" customHeight="1" x14ac:dyDescent="0.3">
      <c r="A20" s="32">
        <v>16</v>
      </c>
      <c r="B20" s="394"/>
      <c r="C20" s="32" t="s">
        <v>356</v>
      </c>
      <c r="D20" s="12" t="s">
        <v>308</v>
      </c>
      <c r="E20" s="32"/>
      <c r="F20" s="116"/>
      <c r="G20" s="116"/>
      <c r="H20" s="116"/>
      <c r="I20" s="116"/>
      <c r="J20" s="102"/>
      <c r="K20" s="355"/>
      <c r="L20" s="355"/>
      <c r="M20" s="355"/>
      <c r="N20">
        <f t="shared" si="0"/>
        <v>1</v>
      </c>
    </row>
    <row r="21" spans="1:16" ht="30.95" customHeight="1" x14ac:dyDescent="0.3">
      <c r="A21" s="32">
        <v>17</v>
      </c>
      <c r="B21" s="394"/>
      <c r="C21" s="32" t="s">
        <v>356</v>
      </c>
      <c r="D21" s="12" t="s">
        <v>306</v>
      </c>
      <c r="E21" s="32"/>
      <c r="F21" s="116"/>
      <c r="G21" s="116"/>
      <c r="H21" s="116"/>
      <c r="I21" s="116"/>
      <c r="J21" s="102"/>
      <c r="K21" s="355"/>
      <c r="L21" s="355"/>
      <c r="M21" s="355"/>
      <c r="N21">
        <f t="shared" si="0"/>
        <v>1</v>
      </c>
    </row>
    <row r="22" spans="1:16" ht="30.95" customHeight="1" x14ac:dyDescent="0.3">
      <c r="A22" s="32">
        <v>18</v>
      </c>
      <c r="B22" s="394"/>
      <c r="C22" s="32" t="s">
        <v>356</v>
      </c>
      <c r="D22" s="12" t="s">
        <v>307</v>
      </c>
      <c r="E22" s="32"/>
      <c r="F22" s="116"/>
      <c r="G22" s="116"/>
      <c r="H22" s="116"/>
      <c r="I22" s="116"/>
      <c r="J22" s="102"/>
      <c r="K22" s="355"/>
      <c r="L22" s="355"/>
      <c r="M22" s="355"/>
      <c r="N22">
        <f t="shared" si="0"/>
        <v>1</v>
      </c>
    </row>
    <row r="23" spans="1:16" ht="30.95" customHeight="1" x14ac:dyDescent="0.3">
      <c r="A23" s="32">
        <v>19</v>
      </c>
      <c r="B23" s="394"/>
      <c r="C23" s="32" t="s">
        <v>356</v>
      </c>
      <c r="D23" s="12" t="s">
        <v>310</v>
      </c>
      <c r="E23" s="32"/>
      <c r="F23" s="116"/>
      <c r="G23" s="116"/>
      <c r="H23" s="116"/>
      <c r="I23" s="116"/>
      <c r="J23" s="102"/>
      <c r="K23" s="355"/>
      <c r="L23" s="355"/>
      <c r="M23" s="355"/>
      <c r="N23">
        <f t="shared" si="0"/>
        <v>1</v>
      </c>
    </row>
    <row r="24" spans="1:16" ht="30.95" customHeight="1" x14ac:dyDescent="0.3">
      <c r="A24" s="32">
        <v>20</v>
      </c>
      <c r="B24" s="394"/>
      <c r="C24" s="32" t="s">
        <v>356</v>
      </c>
      <c r="D24" s="12" t="s">
        <v>311</v>
      </c>
      <c r="E24" s="32"/>
      <c r="F24" s="116"/>
      <c r="G24" s="116"/>
      <c r="H24" s="116"/>
      <c r="I24" s="116"/>
      <c r="J24" s="102"/>
      <c r="K24" s="355"/>
      <c r="L24" s="355"/>
      <c r="M24" s="355"/>
      <c r="N24">
        <f t="shared" si="0"/>
        <v>1</v>
      </c>
    </row>
    <row r="25" spans="1:16" ht="30.95" customHeight="1" x14ac:dyDescent="0.3">
      <c r="A25" s="32">
        <v>21</v>
      </c>
      <c r="B25" s="394"/>
      <c r="C25" s="32" t="s">
        <v>356</v>
      </c>
      <c r="D25" s="12" t="s">
        <v>312</v>
      </c>
      <c r="E25" s="32"/>
      <c r="F25" s="116"/>
      <c r="G25" s="116"/>
      <c r="H25" s="116"/>
      <c r="I25" s="116"/>
      <c r="J25" s="102"/>
      <c r="K25" s="355"/>
      <c r="L25" s="355"/>
      <c r="M25" s="355"/>
      <c r="N25">
        <f t="shared" si="0"/>
        <v>1</v>
      </c>
    </row>
    <row r="26" spans="1:16" ht="30.95" customHeight="1" x14ac:dyDescent="0.3">
      <c r="A26" s="32">
        <v>22</v>
      </c>
      <c r="B26" s="394"/>
      <c r="C26" s="32" t="s">
        <v>356</v>
      </c>
      <c r="D26" s="12" t="s">
        <v>313</v>
      </c>
      <c r="E26" s="32"/>
      <c r="F26" s="116"/>
      <c r="G26" s="116"/>
      <c r="H26" s="116"/>
      <c r="I26" s="116"/>
      <c r="J26" s="102"/>
      <c r="K26" s="355"/>
      <c r="L26" s="355"/>
      <c r="M26" s="355"/>
      <c r="N26">
        <f t="shared" si="0"/>
        <v>1</v>
      </c>
    </row>
    <row r="27" spans="1:16" ht="30.95" customHeight="1" x14ac:dyDescent="0.3">
      <c r="A27" s="32">
        <v>23</v>
      </c>
      <c r="B27" s="394"/>
      <c r="C27" s="76"/>
      <c r="D27" s="77"/>
      <c r="E27" s="76"/>
      <c r="F27" s="118">
        <v>-11.061999999999999</v>
      </c>
      <c r="G27" s="118">
        <v>31.768000000000001</v>
      </c>
      <c r="H27" s="118">
        <v>-7.0149999999999997</v>
      </c>
      <c r="I27" s="118">
        <v>31.798999999999999</v>
      </c>
      <c r="J27" s="101" t="s">
        <v>664</v>
      </c>
      <c r="K27" s="355"/>
      <c r="L27" s="355"/>
      <c r="M27" s="355"/>
      <c r="N27">
        <f t="shared" si="0"/>
        <v>0</v>
      </c>
    </row>
    <row r="28" spans="1:16" ht="30.95" customHeight="1" thickBot="1" x14ac:dyDescent="0.35">
      <c r="A28" s="32">
        <v>24</v>
      </c>
      <c r="B28" s="393"/>
      <c r="C28" s="76"/>
      <c r="D28" s="77"/>
      <c r="E28" s="76"/>
      <c r="F28" s="118">
        <v>-11.476000000000001</v>
      </c>
      <c r="G28" s="118">
        <v>31.786000000000001</v>
      </c>
      <c r="H28" s="118">
        <v>-7.3739999999999997</v>
      </c>
      <c r="I28" s="118">
        <v>31.788</v>
      </c>
      <c r="J28" s="101" t="s">
        <v>664</v>
      </c>
      <c r="K28" s="363"/>
      <c r="L28" s="363"/>
      <c r="M28" s="363"/>
      <c r="N28">
        <f t="shared" si="0"/>
        <v>0</v>
      </c>
      <c r="O28">
        <f>SUM(F13,F14,F17,F18,F27,F28)/6</f>
        <v>-11.372833333333334</v>
      </c>
      <c r="P28">
        <f>SUM(H13,H14,H17,H18,H27,H28)/6</f>
        <v>-7.9445000000000006</v>
      </c>
    </row>
    <row r="29" spans="1:16" ht="30.95" customHeight="1" x14ac:dyDescent="0.3">
      <c r="A29" s="374" t="s">
        <v>8</v>
      </c>
      <c r="B29" s="325"/>
      <c r="C29" s="325"/>
      <c r="D29" s="228" t="s">
        <v>11</v>
      </c>
      <c r="E29" s="228" t="s">
        <v>12</v>
      </c>
      <c r="F29" s="338" t="s">
        <v>663</v>
      </c>
      <c r="G29" s="338"/>
      <c r="H29" s="338"/>
      <c r="I29" s="338"/>
      <c r="J29" s="338"/>
      <c r="K29" s="332" t="s">
        <v>10</v>
      </c>
      <c r="L29" s="331" t="s">
        <v>32</v>
      </c>
      <c r="M29" s="331" t="s">
        <v>33</v>
      </c>
      <c r="N29">
        <f t="shared" si="0"/>
        <v>0</v>
      </c>
    </row>
    <row r="30" spans="1:16" ht="30.95" customHeight="1" x14ac:dyDescent="0.3">
      <c r="A30" s="336" t="s">
        <v>9</v>
      </c>
      <c r="B30" s="337"/>
      <c r="C30" s="337"/>
      <c r="D30" s="368" t="s">
        <v>297</v>
      </c>
      <c r="E30" s="337" t="s">
        <v>687</v>
      </c>
      <c r="F30" s="349" t="s">
        <v>5</v>
      </c>
      <c r="G30" s="349"/>
      <c r="H30" s="349" t="s">
        <v>7</v>
      </c>
      <c r="I30" s="349"/>
      <c r="J30" s="369" t="s">
        <v>628</v>
      </c>
      <c r="K30" s="332"/>
      <c r="L30" s="332"/>
      <c r="M30" s="332"/>
      <c r="N30">
        <f t="shared" si="0"/>
        <v>0</v>
      </c>
    </row>
    <row r="31" spans="1:16" ht="30.95" customHeight="1" x14ac:dyDescent="0.3">
      <c r="A31" s="336"/>
      <c r="B31" s="337"/>
      <c r="C31" s="337"/>
      <c r="D31" s="368"/>
      <c r="E31" s="337"/>
      <c r="F31" s="226" t="s">
        <v>638</v>
      </c>
      <c r="G31" s="214">
        <f>전송손실!M21</f>
        <v>-11.017603999999999</v>
      </c>
      <c r="H31" s="226" t="s">
        <v>638</v>
      </c>
      <c r="I31" s="214">
        <f>전송손실!M47</f>
        <v>-7.2957579999999993</v>
      </c>
      <c r="J31" s="369"/>
      <c r="K31" s="332"/>
      <c r="L31" s="332"/>
      <c r="M31" s="332"/>
    </row>
    <row r="32" spans="1:16" ht="30.95" customHeight="1" thickBot="1" x14ac:dyDescent="0.35">
      <c r="A32" s="229" t="s">
        <v>0</v>
      </c>
      <c r="B32" s="229" t="s">
        <v>1</v>
      </c>
      <c r="C32" s="229" t="s">
        <v>23</v>
      </c>
      <c r="D32" s="229" t="s">
        <v>2</v>
      </c>
      <c r="E32" s="229" t="s">
        <v>3</v>
      </c>
      <c r="F32" s="229" t="s">
        <v>4</v>
      </c>
      <c r="G32" s="229" t="s">
        <v>506</v>
      </c>
      <c r="H32" s="229" t="s">
        <v>4</v>
      </c>
      <c r="I32" s="229" t="s">
        <v>506</v>
      </c>
      <c r="J32" s="370"/>
      <c r="K32" s="367"/>
      <c r="L32" s="367"/>
      <c r="M32" s="367"/>
      <c r="N32">
        <f t="shared" si="0"/>
        <v>1</v>
      </c>
    </row>
    <row r="33" spans="1:14" ht="30.95" customHeight="1" x14ac:dyDescent="0.3">
      <c r="A33" s="98">
        <v>1</v>
      </c>
      <c r="B33" s="411" t="s">
        <v>246</v>
      </c>
      <c r="C33" s="98" t="s">
        <v>26</v>
      </c>
      <c r="D33" s="12" t="s">
        <v>286</v>
      </c>
      <c r="E33" s="98" t="s">
        <v>688</v>
      </c>
      <c r="F33" s="102"/>
      <c r="G33" s="102"/>
      <c r="H33" s="102"/>
      <c r="I33" s="102"/>
      <c r="J33" s="51"/>
      <c r="K33" s="410" t="s">
        <v>507</v>
      </c>
      <c r="L33" s="354"/>
      <c r="M33" s="354"/>
      <c r="N33">
        <f t="shared" si="0"/>
        <v>1</v>
      </c>
    </row>
    <row r="34" spans="1:14" ht="30.95" customHeight="1" x14ac:dyDescent="0.3">
      <c r="A34" s="98">
        <v>2</v>
      </c>
      <c r="B34" s="394"/>
      <c r="C34" s="98" t="s">
        <v>26</v>
      </c>
      <c r="D34" s="12" t="s">
        <v>287</v>
      </c>
      <c r="E34" s="98" t="s">
        <v>688</v>
      </c>
      <c r="F34" s="102"/>
      <c r="G34" s="102"/>
      <c r="H34" s="102"/>
      <c r="I34" s="102"/>
      <c r="J34" s="51"/>
      <c r="K34" s="355"/>
      <c r="L34" s="355"/>
      <c r="M34" s="355"/>
      <c r="N34">
        <f t="shared" si="0"/>
        <v>1</v>
      </c>
    </row>
    <row r="35" spans="1:14" ht="30.95" customHeight="1" x14ac:dyDescent="0.3">
      <c r="A35" s="98">
        <v>3</v>
      </c>
      <c r="B35" s="394"/>
      <c r="C35" s="76"/>
      <c r="D35" s="77"/>
      <c r="E35" s="76"/>
      <c r="F35" s="101">
        <v>-8.1349999999999998</v>
      </c>
      <c r="G35" s="101">
        <v>23.923999999999999</v>
      </c>
      <c r="H35" s="101">
        <v>-4.9809999999999999</v>
      </c>
      <c r="I35" s="101">
        <v>23.933</v>
      </c>
      <c r="J35" s="101" t="s">
        <v>664</v>
      </c>
      <c r="K35" s="355"/>
      <c r="L35" s="355"/>
      <c r="M35" s="355"/>
      <c r="N35">
        <f t="shared" si="0"/>
        <v>0</v>
      </c>
    </row>
    <row r="36" spans="1:14" ht="30.95" customHeight="1" x14ac:dyDescent="0.3">
      <c r="A36" s="98">
        <v>4</v>
      </c>
      <c r="B36" s="394"/>
      <c r="C36" s="76"/>
      <c r="D36" s="77"/>
      <c r="E36" s="76"/>
      <c r="F36" s="101">
        <v>-8.0980000000000008</v>
      </c>
      <c r="G36" s="101">
        <v>23.920999999999999</v>
      </c>
      <c r="H36" s="101">
        <v>-5.069</v>
      </c>
      <c r="I36" s="101">
        <v>23.931000000000001</v>
      </c>
      <c r="J36" s="101" t="s">
        <v>664</v>
      </c>
      <c r="K36" s="355"/>
      <c r="L36" s="355"/>
      <c r="M36" s="355"/>
      <c r="N36">
        <f t="shared" si="0"/>
        <v>0</v>
      </c>
    </row>
    <row r="37" spans="1:14" ht="30.95" customHeight="1" x14ac:dyDescent="0.3">
      <c r="A37" s="98">
        <v>5</v>
      </c>
      <c r="B37" s="394"/>
      <c r="C37" s="98" t="s">
        <v>25</v>
      </c>
      <c r="D37" s="12" t="s">
        <v>689</v>
      </c>
      <c r="E37" s="98"/>
      <c r="F37" s="102"/>
      <c r="G37" s="102"/>
      <c r="H37" s="102"/>
      <c r="I37" s="102"/>
      <c r="J37" s="51"/>
      <c r="K37" s="355"/>
      <c r="L37" s="355"/>
      <c r="M37" s="355"/>
      <c r="N37">
        <f t="shared" si="0"/>
        <v>1</v>
      </c>
    </row>
    <row r="38" spans="1:14" ht="30.95" customHeight="1" x14ac:dyDescent="0.3">
      <c r="A38" s="98">
        <v>6</v>
      </c>
      <c r="B38" s="394"/>
      <c r="C38" s="98" t="s">
        <v>25</v>
      </c>
      <c r="D38" s="12" t="s">
        <v>690</v>
      </c>
      <c r="E38" s="98"/>
      <c r="F38" s="102"/>
      <c r="G38" s="102"/>
      <c r="H38" s="102"/>
      <c r="I38" s="102"/>
      <c r="J38" s="51"/>
      <c r="K38" s="355"/>
      <c r="L38" s="355"/>
      <c r="M38" s="355"/>
      <c r="N38">
        <f t="shared" si="0"/>
        <v>1</v>
      </c>
    </row>
    <row r="39" spans="1:14" ht="30.95" customHeight="1" x14ac:dyDescent="0.3">
      <c r="A39" s="98">
        <v>7</v>
      </c>
      <c r="B39" s="394"/>
      <c r="C39" s="98" t="s">
        <v>27</v>
      </c>
      <c r="D39" s="12" t="s">
        <v>145</v>
      </c>
      <c r="E39" s="98"/>
      <c r="F39" s="102"/>
      <c r="G39" s="102"/>
      <c r="H39" s="102"/>
      <c r="I39" s="102"/>
      <c r="J39" s="51"/>
      <c r="K39" s="355"/>
      <c r="L39" s="355"/>
      <c r="M39" s="355"/>
      <c r="N39">
        <f t="shared" si="0"/>
        <v>1</v>
      </c>
    </row>
    <row r="40" spans="1:14" ht="30.95" customHeight="1" x14ac:dyDescent="0.3">
      <c r="A40" s="98">
        <v>8</v>
      </c>
      <c r="B40" s="394"/>
      <c r="C40" s="98" t="s">
        <v>27</v>
      </c>
      <c r="D40" s="12" t="s">
        <v>145</v>
      </c>
      <c r="E40" s="98"/>
      <c r="F40" s="102"/>
      <c r="G40" s="102"/>
      <c r="H40" s="102"/>
      <c r="I40" s="102"/>
      <c r="J40" s="51"/>
      <c r="K40" s="355"/>
      <c r="L40" s="355"/>
      <c r="M40" s="355"/>
      <c r="N40">
        <f t="shared" si="0"/>
        <v>1</v>
      </c>
    </row>
    <row r="41" spans="1:14" ht="30.95" customHeight="1" x14ac:dyDescent="0.3">
      <c r="A41" s="98">
        <v>9</v>
      </c>
      <c r="B41" s="394"/>
      <c r="C41" s="98" t="s">
        <v>25</v>
      </c>
      <c r="D41" s="12" t="s">
        <v>290</v>
      </c>
      <c r="E41" s="98"/>
      <c r="F41" s="102"/>
      <c r="G41" s="102"/>
      <c r="H41" s="102"/>
      <c r="I41" s="102"/>
      <c r="J41" s="51"/>
      <c r="K41" s="355"/>
      <c r="L41" s="355"/>
      <c r="M41" s="355"/>
      <c r="N41">
        <f t="shared" si="0"/>
        <v>1</v>
      </c>
    </row>
    <row r="42" spans="1:14" ht="30.95" customHeight="1" x14ac:dyDescent="0.3">
      <c r="A42" s="98">
        <v>10</v>
      </c>
      <c r="B42" s="394"/>
      <c r="C42" s="98" t="s">
        <v>25</v>
      </c>
      <c r="D42" s="12" t="s">
        <v>290</v>
      </c>
      <c r="E42" s="98"/>
      <c r="F42" s="102"/>
      <c r="G42" s="102"/>
      <c r="H42" s="102"/>
      <c r="I42" s="102"/>
      <c r="J42" s="51"/>
      <c r="K42" s="355"/>
      <c r="L42" s="355"/>
      <c r="M42" s="355"/>
      <c r="N42">
        <f t="shared" si="0"/>
        <v>1</v>
      </c>
    </row>
    <row r="43" spans="1:14" ht="30.95" customHeight="1" x14ac:dyDescent="0.3">
      <c r="A43" s="98">
        <v>11</v>
      </c>
      <c r="B43" s="394"/>
      <c r="C43" s="98" t="s">
        <v>25</v>
      </c>
      <c r="D43" s="12" t="s">
        <v>291</v>
      </c>
      <c r="E43" s="98"/>
      <c r="F43" s="102"/>
      <c r="G43" s="102"/>
      <c r="H43" s="102"/>
      <c r="I43" s="102"/>
      <c r="J43" s="51"/>
      <c r="K43" s="355"/>
      <c r="L43" s="355"/>
      <c r="M43" s="355"/>
      <c r="N43">
        <f t="shared" si="0"/>
        <v>1</v>
      </c>
    </row>
    <row r="44" spans="1:14" ht="30.95" customHeight="1" x14ac:dyDescent="0.3">
      <c r="A44" s="98">
        <v>12</v>
      </c>
      <c r="B44" s="394"/>
      <c r="C44" s="98" t="s">
        <v>25</v>
      </c>
      <c r="D44" s="12" t="s">
        <v>292</v>
      </c>
      <c r="E44" s="98"/>
      <c r="F44" s="102"/>
      <c r="G44" s="102"/>
      <c r="H44" s="102"/>
      <c r="I44" s="102"/>
      <c r="J44" s="51"/>
      <c r="K44" s="355"/>
      <c r="L44" s="355"/>
      <c r="M44" s="355"/>
      <c r="N44">
        <f t="shared" si="0"/>
        <v>1</v>
      </c>
    </row>
    <row r="45" spans="1:14" ht="30.95" customHeight="1" x14ac:dyDescent="0.3">
      <c r="A45" s="98">
        <v>13</v>
      </c>
      <c r="B45" s="394"/>
      <c r="C45" s="98" t="s">
        <v>27</v>
      </c>
      <c r="D45" s="12" t="s">
        <v>252</v>
      </c>
      <c r="E45" s="98"/>
      <c r="F45" s="102"/>
      <c r="G45" s="102"/>
      <c r="H45" s="102"/>
      <c r="I45" s="102"/>
      <c r="J45" s="51"/>
      <c r="K45" s="355"/>
      <c r="L45" s="355"/>
      <c r="M45" s="355"/>
      <c r="N45">
        <f t="shared" si="0"/>
        <v>1</v>
      </c>
    </row>
    <row r="46" spans="1:14" s="11" customFormat="1" ht="30.95" customHeight="1" x14ac:dyDescent="0.3">
      <c r="A46" s="98">
        <v>14</v>
      </c>
      <c r="B46" s="394"/>
      <c r="C46" s="98" t="s">
        <v>27</v>
      </c>
      <c r="D46" s="12" t="s">
        <v>252</v>
      </c>
      <c r="E46" s="98"/>
      <c r="F46" s="102"/>
      <c r="G46" s="102"/>
      <c r="H46" s="102"/>
      <c r="I46" s="102"/>
      <c r="J46" s="51"/>
      <c r="K46" s="355"/>
      <c r="L46" s="355"/>
      <c r="M46" s="355"/>
      <c r="N46">
        <f t="shared" si="0"/>
        <v>1</v>
      </c>
    </row>
    <row r="47" spans="1:14" s="11" customFormat="1" ht="30.95" customHeight="1" x14ac:dyDescent="0.3">
      <c r="A47" s="98">
        <v>15</v>
      </c>
      <c r="B47" s="394"/>
      <c r="C47" s="98"/>
      <c r="D47" s="12"/>
      <c r="E47" s="98"/>
      <c r="F47" s="102"/>
      <c r="G47" s="102"/>
      <c r="H47" s="102"/>
      <c r="I47" s="102"/>
      <c r="J47" s="51"/>
      <c r="K47" s="355"/>
      <c r="L47" s="355"/>
      <c r="M47" s="355"/>
      <c r="N47">
        <f t="shared" si="0"/>
        <v>0</v>
      </c>
    </row>
    <row r="48" spans="1:14" s="11" customFormat="1" ht="30.95" customHeight="1" x14ac:dyDescent="0.3">
      <c r="A48" s="98">
        <v>16</v>
      </c>
      <c r="B48" s="394"/>
      <c r="C48" s="98"/>
      <c r="D48" s="12"/>
      <c r="E48" s="98"/>
      <c r="F48" s="102"/>
      <c r="G48" s="102"/>
      <c r="H48" s="102"/>
      <c r="I48" s="102"/>
      <c r="J48" s="51"/>
      <c r="K48" s="355"/>
      <c r="L48" s="355"/>
      <c r="M48" s="355"/>
      <c r="N48">
        <f t="shared" si="0"/>
        <v>0</v>
      </c>
    </row>
    <row r="49" spans="1:16" s="11" customFormat="1" ht="30.95" customHeight="1" x14ac:dyDescent="0.3">
      <c r="A49" s="98">
        <v>17</v>
      </c>
      <c r="B49" s="394"/>
      <c r="C49" s="98"/>
      <c r="D49" s="12"/>
      <c r="E49" s="98"/>
      <c r="F49" s="102"/>
      <c r="G49" s="102"/>
      <c r="H49" s="102"/>
      <c r="I49" s="102"/>
      <c r="J49" s="51"/>
      <c r="K49" s="355"/>
      <c r="L49" s="355"/>
      <c r="M49" s="355"/>
      <c r="N49">
        <f t="shared" si="0"/>
        <v>0</v>
      </c>
    </row>
    <row r="50" spans="1:16" s="11" customFormat="1" ht="30.95" customHeight="1" x14ac:dyDescent="0.3">
      <c r="A50" s="98">
        <v>18</v>
      </c>
      <c r="B50" s="394"/>
      <c r="C50" s="98"/>
      <c r="D50" s="12"/>
      <c r="E50" s="98"/>
      <c r="F50" s="102"/>
      <c r="G50" s="102"/>
      <c r="H50" s="102"/>
      <c r="I50" s="102"/>
      <c r="J50" s="51"/>
      <c r="K50" s="355"/>
      <c r="L50" s="355"/>
      <c r="M50" s="355"/>
      <c r="N50">
        <f t="shared" si="0"/>
        <v>0</v>
      </c>
    </row>
    <row r="51" spans="1:16" s="11" customFormat="1" ht="30.95" customHeight="1" x14ac:dyDescent="0.3">
      <c r="A51" s="98">
        <v>19</v>
      </c>
      <c r="B51" s="394"/>
      <c r="C51" s="76"/>
      <c r="D51" s="77"/>
      <c r="E51" s="76"/>
      <c r="F51" s="101">
        <v>-8.0559999999999992</v>
      </c>
      <c r="G51" s="101">
        <v>23.923999999999999</v>
      </c>
      <c r="H51" s="101">
        <v>-4.931</v>
      </c>
      <c r="I51" s="101">
        <v>23.934000000000001</v>
      </c>
      <c r="J51" s="101" t="s">
        <v>664</v>
      </c>
      <c r="K51" s="355"/>
      <c r="L51" s="355"/>
      <c r="M51" s="355"/>
      <c r="N51">
        <f t="shared" si="0"/>
        <v>0</v>
      </c>
    </row>
    <row r="52" spans="1:16" s="11" customFormat="1" ht="30.95" customHeight="1" x14ac:dyDescent="0.3">
      <c r="A52" s="98">
        <v>20</v>
      </c>
      <c r="B52" s="394"/>
      <c r="C52" s="85" t="s">
        <v>63</v>
      </c>
      <c r="D52" s="86" t="s">
        <v>497</v>
      </c>
      <c r="E52" s="85"/>
      <c r="F52" s="114"/>
      <c r="G52" s="114"/>
      <c r="H52" s="114"/>
      <c r="I52" s="114"/>
      <c r="J52" s="88"/>
      <c r="K52" s="355"/>
      <c r="L52" s="355"/>
      <c r="M52" s="355"/>
      <c r="N52">
        <f t="shared" si="0"/>
        <v>1</v>
      </c>
    </row>
    <row r="53" spans="1:16" s="11" customFormat="1" ht="30.95" customHeight="1" x14ac:dyDescent="0.3">
      <c r="A53" s="98">
        <v>21</v>
      </c>
      <c r="B53" s="394"/>
      <c r="C53" s="98"/>
      <c r="D53" s="12"/>
      <c r="E53" s="98"/>
      <c r="F53" s="102"/>
      <c r="G53" s="102"/>
      <c r="H53" s="102"/>
      <c r="I53" s="102"/>
      <c r="J53" s="51"/>
      <c r="K53" s="355"/>
      <c r="L53" s="355"/>
      <c r="M53" s="355"/>
      <c r="N53">
        <f t="shared" si="0"/>
        <v>0</v>
      </c>
    </row>
    <row r="54" spans="1:16" s="11" customFormat="1" ht="30.95" customHeight="1" x14ac:dyDescent="0.3">
      <c r="A54" s="98">
        <v>22</v>
      </c>
      <c r="B54" s="394"/>
      <c r="C54" s="98"/>
      <c r="D54" s="12"/>
      <c r="E54" s="98"/>
      <c r="F54" s="102"/>
      <c r="G54" s="102"/>
      <c r="H54" s="102"/>
      <c r="I54" s="102"/>
      <c r="J54" s="51"/>
      <c r="K54" s="355"/>
      <c r="L54" s="355"/>
      <c r="M54" s="355"/>
      <c r="N54">
        <f t="shared" si="0"/>
        <v>0</v>
      </c>
    </row>
    <row r="55" spans="1:16" s="11" customFormat="1" ht="30.95" customHeight="1" x14ac:dyDescent="0.3">
      <c r="A55" s="98">
        <v>23</v>
      </c>
      <c r="B55" s="394"/>
      <c r="C55" s="98"/>
      <c r="D55" s="12"/>
      <c r="E55" s="98"/>
      <c r="F55" s="102"/>
      <c r="G55" s="102"/>
      <c r="H55" s="102"/>
      <c r="I55" s="102"/>
      <c r="J55" s="51"/>
      <c r="K55" s="355"/>
      <c r="L55" s="355"/>
      <c r="M55" s="355"/>
      <c r="N55">
        <f t="shared" si="0"/>
        <v>0</v>
      </c>
    </row>
    <row r="56" spans="1:16" s="11" customFormat="1" ht="30.95" customHeight="1" thickBot="1" x14ac:dyDescent="0.35">
      <c r="A56" s="98">
        <v>24</v>
      </c>
      <c r="B56" s="393"/>
      <c r="C56" s="98"/>
      <c r="D56" s="12"/>
      <c r="E56" s="98"/>
      <c r="F56" s="102"/>
      <c r="G56" s="102"/>
      <c r="H56" s="102"/>
      <c r="I56" s="102"/>
      <c r="J56" s="51"/>
      <c r="K56" s="363"/>
      <c r="L56" s="363"/>
      <c r="M56" s="363"/>
      <c r="N56">
        <f t="shared" si="0"/>
        <v>0</v>
      </c>
      <c r="O56" s="11">
        <f>SUM(F35,F36,F51)/3</f>
        <v>-8.0963333333333338</v>
      </c>
      <c r="P56" s="11">
        <f>SUM(H35,H36,H51)/3</f>
        <v>-4.9936666666666669</v>
      </c>
    </row>
    <row r="57" spans="1:16" s="11" customFormat="1" ht="30.95" customHeight="1" x14ac:dyDescent="0.3">
      <c r="A57" s="374" t="s">
        <v>8</v>
      </c>
      <c r="B57" s="325"/>
      <c r="C57" s="325"/>
      <c r="D57" s="228" t="s">
        <v>11</v>
      </c>
      <c r="E57" s="228" t="s">
        <v>12</v>
      </c>
      <c r="F57" s="338" t="s">
        <v>663</v>
      </c>
      <c r="G57" s="338"/>
      <c r="H57" s="338"/>
      <c r="I57" s="338"/>
      <c r="J57" s="338"/>
      <c r="K57" s="332" t="s">
        <v>10</v>
      </c>
      <c r="L57" s="331" t="s">
        <v>32</v>
      </c>
      <c r="M57" s="331" t="s">
        <v>33</v>
      </c>
      <c r="N57"/>
    </row>
    <row r="58" spans="1:16" s="11" customFormat="1" ht="30.95" customHeight="1" x14ac:dyDescent="0.3">
      <c r="A58" s="336" t="s">
        <v>9</v>
      </c>
      <c r="B58" s="337"/>
      <c r="C58" s="337"/>
      <c r="D58" s="368" t="s">
        <v>297</v>
      </c>
      <c r="E58" s="337" t="s">
        <v>687</v>
      </c>
      <c r="F58" s="349" t="s">
        <v>5</v>
      </c>
      <c r="G58" s="349"/>
      <c r="H58" s="349" t="s">
        <v>7</v>
      </c>
      <c r="I58" s="349"/>
      <c r="J58" s="369" t="s">
        <v>628</v>
      </c>
      <c r="K58" s="332"/>
      <c r="L58" s="332"/>
      <c r="M58" s="332"/>
      <c r="N58"/>
    </row>
    <row r="59" spans="1:16" s="11" customFormat="1" ht="30.95" customHeight="1" x14ac:dyDescent="0.3">
      <c r="A59" s="336"/>
      <c r="B59" s="337"/>
      <c r="C59" s="337"/>
      <c r="D59" s="368"/>
      <c r="E59" s="337"/>
      <c r="F59" s="226" t="s">
        <v>638</v>
      </c>
      <c r="G59" s="214">
        <f>전송손실!M19</f>
        <v>-4.4909599999999994</v>
      </c>
      <c r="H59" s="226" t="s">
        <v>638</v>
      </c>
      <c r="I59" s="214">
        <f>전송손실!M45</f>
        <v>-3.1089200000000003</v>
      </c>
      <c r="J59" s="369"/>
      <c r="K59" s="332"/>
      <c r="L59" s="332"/>
      <c r="M59" s="332"/>
      <c r="N59"/>
    </row>
    <row r="60" spans="1:16" s="11" customFormat="1" ht="30.95" customHeight="1" thickBot="1" x14ac:dyDescent="0.35">
      <c r="A60" s="229" t="s">
        <v>0</v>
      </c>
      <c r="B60" s="229" t="s">
        <v>1</v>
      </c>
      <c r="C60" s="229" t="s">
        <v>23</v>
      </c>
      <c r="D60" s="229" t="s">
        <v>2</v>
      </c>
      <c r="E60" s="229" t="s">
        <v>3</v>
      </c>
      <c r="F60" s="229" t="s">
        <v>4</v>
      </c>
      <c r="G60" s="229" t="s">
        <v>506</v>
      </c>
      <c r="H60" s="229" t="s">
        <v>4</v>
      </c>
      <c r="I60" s="229" t="s">
        <v>506</v>
      </c>
      <c r="J60" s="370"/>
      <c r="K60" s="367"/>
      <c r="L60" s="367"/>
      <c r="M60" s="367"/>
      <c r="N60"/>
    </row>
    <row r="61" spans="1:16" s="11" customFormat="1" ht="30.95" customHeight="1" x14ac:dyDescent="0.3">
      <c r="A61" s="32">
        <v>1</v>
      </c>
      <c r="B61" s="411" t="s">
        <v>298</v>
      </c>
      <c r="C61" s="32" t="s">
        <v>356</v>
      </c>
      <c r="D61" s="12" t="s">
        <v>314</v>
      </c>
      <c r="E61" s="32"/>
      <c r="F61" s="102"/>
      <c r="G61" s="102"/>
      <c r="H61" s="102"/>
      <c r="I61" s="102"/>
      <c r="J61" s="103"/>
      <c r="K61" s="355" t="s">
        <v>461</v>
      </c>
      <c r="L61" s="355"/>
      <c r="M61" s="357"/>
      <c r="N61">
        <f t="shared" si="0"/>
        <v>1</v>
      </c>
    </row>
    <row r="62" spans="1:16" s="11" customFormat="1" ht="30.95" customHeight="1" x14ac:dyDescent="0.3">
      <c r="A62" s="32">
        <v>2</v>
      </c>
      <c r="B62" s="376"/>
      <c r="C62" s="32" t="s">
        <v>356</v>
      </c>
      <c r="D62" s="12" t="s">
        <v>315</v>
      </c>
      <c r="E62" s="32"/>
      <c r="F62" s="102"/>
      <c r="G62" s="102"/>
      <c r="H62" s="102"/>
      <c r="I62" s="102"/>
      <c r="J62" s="103"/>
      <c r="K62" s="355"/>
      <c r="L62" s="355"/>
      <c r="M62" s="355"/>
      <c r="N62">
        <f t="shared" si="0"/>
        <v>1</v>
      </c>
    </row>
    <row r="63" spans="1:16" s="11" customFormat="1" ht="30.95" customHeight="1" x14ac:dyDescent="0.3">
      <c r="A63" s="32">
        <v>3</v>
      </c>
      <c r="B63" s="376"/>
      <c r="C63" s="32" t="s">
        <v>356</v>
      </c>
      <c r="D63" s="12" t="s">
        <v>316</v>
      </c>
      <c r="E63" s="32"/>
      <c r="F63" s="102"/>
      <c r="G63" s="102"/>
      <c r="H63" s="102"/>
      <c r="I63" s="102"/>
      <c r="J63" s="103"/>
      <c r="K63" s="355"/>
      <c r="L63" s="355"/>
      <c r="M63" s="355"/>
      <c r="N63">
        <f t="shared" si="0"/>
        <v>1</v>
      </c>
    </row>
    <row r="64" spans="1:16" s="11" customFormat="1" ht="30.95" customHeight="1" x14ac:dyDescent="0.3">
      <c r="A64" s="32">
        <v>4</v>
      </c>
      <c r="B64" s="376"/>
      <c r="C64" s="32" t="s">
        <v>356</v>
      </c>
      <c r="D64" s="12" t="s">
        <v>317</v>
      </c>
      <c r="E64" s="32"/>
      <c r="F64" s="102"/>
      <c r="G64" s="102"/>
      <c r="H64" s="102"/>
      <c r="I64" s="102"/>
      <c r="J64" s="103"/>
      <c r="K64" s="355"/>
      <c r="L64" s="355"/>
      <c r="M64" s="355"/>
      <c r="N64">
        <f t="shared" si="0"/>
        <v>1</v>
      </c>
    </row>
    <row r="65" spans="1:14" s="11" customFormat="1" ht="30.95" customHeight="1" x14ac:dyDescent="0.3">
      <c r="A65" s="32">
        <v>5</v>
      </c>
      <c r="B65" s="376"/>
      <c r="C65" s="32" t="s">
        <v>360</v>
      </c>
      <c r="D65" s="12" t="s">
        <v>318</v>
      </c>
      <c r="E65" s="32"/>
      <c r="F65" s="102"/>
      <c r="G65" s="102"/>
      <c r="H65" s="102"/>
      <c r="I65" s="102"/>
      <c r="J65" s="103"/>
      <c r="K65" s="355"/>
      <c r="L65" s="355"/>
      <c r="M65" s="355"/>
      <c r="N65">
        <f t="shared" si="0"/>
        <v>1</v>
      </c>
    </row>
    <row r="66" spans="1:14" s="11" customFormat="1" ht="30.95" customHeight="1" x14ac:dyDescent="0.3">
      <c r="A66" s="32">
        <v>6</v>
      </c>
      <c r="B66" s="376"/>
      <c r="C66" s="32" t="s">
        <v>360</v>
      </c>
      <c r="D66" s="12" t="s">
        <v>319</v>
      </c>
      <c r="E66" s="32"/>
      <c r="F66" s="102"/>
      <c r="G66" s="102"/>
      <c r="H66" s="102"/>
      <c r="I66" s="102"/>
      <c r="J66" s="103"/>
      <c r="K66" s="355"/>
      <c r="L66" s="355"/>
      <c r="M66" s="355"/>
      <c r="N66">
        <f t="shared" si="0"/>
        <v>1</v>
      </c>
    </row>
    <row r="67" spans="1:14" s="11" customFormat="1" ht="30.95" customHeight="1" x14ac:dyDescent="0.3">
      <c r="A67" s="32">
        <v>7</v>
      </c>
      <c r="B67" s="376"/>
      <c r="C67" s="32" t="s">
        <v>356</v>
      </c>
      <c r="D67" s="12" t="s">
        <v>320</v>
      </c>
      <c r="E67" s="32"/>
      <c r="F67" s="102"/>
      <c r="G67" s="102"/>
      <c r="H67" s="102"/>
      <c r="I67" s="102"/>
      <c r="J67" s="103"/>
      <c r="K67" s="355"/>
      <c r="L67" s="355"/>
      <c r="M67" s="355"/>
      <c r="N67">
        <f t="shared" si="0"/>
        <v>1</v>
      </c>
    </row>
    <row r="68" spans="1:14" s="11" customFormat="1" ht="30.95" customHeight="1" x14ac:dyDescent="0.3">
      <c r="A68" s="32">
        <v>8</v>
      </c>
      <c r="B68" s="376"/>
      <c r="C68" s="32" t="s">
        <v>356</v>
      </c>
      <c r="D68" s="12" t="s">
        <v>321</v>
      </c>
      <c r="E68" s="32"/>
      <c r="F68" s="102"/>
      <c r="G68" s="102"/>
      <c r="H68" s="102"/>
      <c r="I68" s="102"/>
      <c r="J68" s="103"/>
      <c r="K68" s="355"/>
      <c r="L68" s="355"/>
      <c r="M68" s="355"/>
      <c r="N68">
        <f t="shared" si="0"/>
        <v>1</v>
      </c>
    </row>
    <row r="69" spans="1:14" s="11" customFormat="1" ht="30.95" customHeight="1" x14ac:dyDescent="0.3">
      <c r="A69" s="32">
        <v>9</v>
      </c>
      <c r="B69" s="376"/>
      <c r="C69" s="85" t="s">
        <v>63</v>
      </c>
      <c r="D69" s="86" t="s">
        <v>497</v>
      </c>
      <c r="E69" s="85"/>
      <c r="F69" s="114"/>
      <c r="G69" s="114"/>
      <c r="H69" s="114"/>
      <c r="I69" s="114"/>
      <c r="J69" s="115"/>
      <c r="K69" s="355"/>
      <c r="L69" s="355"/>
      <c r="M69" s="355"/>
      <c r="N69">
        <f t="shared" si="0"/>
        <v>1</v>
      </c>
    </row>
    <row r="70" spans="1:14" s="11" customFormat="1" ht="30.95" customHeight="1" x14ac:dyDescent="0.3">
      <c r="A70" s="32">
        <v>10</v>
      </c>
      <c r="B70" s="376"/>
      <c r="C70" s="76"/>
      <c r="D70" s="77"/>
      <c r="E70" s="76"/>
      <c r="F70" s="118">
        <v>-3.0190000000000001</v>
      </c>
      <c r="G70" s="118">
        <v>8.5660000000000007</v>
      </c>
      <c r="H70" s="118">
        <v>-3.214</v>
      </c>
      <c r="I70" s="118">
        <v>8.57</v>
      </c>
      <c r="J70" s="101" t="s">
        <v>664</v>
      </c>
      <c r="K70" s="355"/>
      <c r="L70" s="355"/>
      <c r="M70" s="355"/>
      <c r="N70">
        <f t="shared" si="0"/>
        <v>0</v>
      </c>
    </row>
    <row r="71" spans="1:14" s="11" customFormat="1" ht="30.95" customHeight="1" x14ac:dyDescent="0.3">
      <c r="A71" s="32">
        <v>11</v>
      </c>
      <c r="B71" s="376"/>
      <c r="C71" s="76"/>
      <c r="D71" s="77" t="s">
        <v>521</v>
      </c>
      <c r="E71" s="76"/>
      <c r="F71" s="118"/>
      <c r="G71" s="118"/>
      <c r="H71" s="118"/>
      <c r="I71" s="118"/>
      <c r="J71" s="159" t="s">
        <v>522</v>
      </c>
      <c r="K71" s="355"/>
      <c r="L71" s="355"/>
      <c r="M71" s="355"/>
      <c r="N71">
        <f t="shared" si="0"/>
        <v>0</v>
      </c>
    </row>
    <row r="72" spans="1:14" s="11" customFormat="1" ht="30.95" customHeight="1" x14ac:dyDescent="0.3">
      <c r="A72" s="32">
        <v>12</v>
      </c>
      <c r="B72" s="376"/>
      <c r="C72" s="76"/>
      <c r="D72" s="77" t="s">
        <v>521</v>
      </c>
      <c r="E72" s="76"/>
      <c r="F72" s="118"/>
      <c r="G72" s="118"/>
      <c r="H72" s="118"/>
      <c r="I72" s="118"/>
      <c r="J72" s="159" t="s">
        <v>522</v>
      </c>
      <c r="K72" s="355"/>
      <c r="L72" s="355"/>
      <c r="M72" s="355"/>
      <c r="N72">
        <f t="shared" si="0"/>
        <v>0</v>
      </c>
    </row>
    <row r="73" spans="1:14" s="11" customFormat="1" ht="30.95" customHeight="1" x14ac:dyDescent="0.3">
      <c r="A73" s="32">
        <v>13</v>
      </c>
      <c r="B73" s="376"/>
      <c r="C73" s="76"/>
      <c r="D73" s="77"/>
      <c r="E73" s="76"/>
      <c r="F73" s="118">
        <v>-2.9289999999999998</v>
      </c>
      <c r="G73" s="118">
        <v>8.5679999999999996</v>
      </c>
      <c r="H73" s="118">
        <v>-2.8530000000000002</v>
      </c>
      <c r="I73" s="118">
        <v>8.57</v>
      </c>
      <c r="J73" s="101" t="s">
        <v>664</v>
      </c>
      <c r="K73" s="355"/>
      <c r="L73" s="355"/>
      <c r="M73" s="355"/>
      <c r="N73">
        <f t="shared" si="0"/>
        <v>0</v>
      </c>
    </row>
    <row r="74" spans="1:14" s="11" customFormat="1" ht="30.95" customHeight="1" x14ac:dyDescent="0.3">
      <c r="A74" s="32">
        <v>14</v>
      </c>
      <c r="B74" s="376"/>
      <c r="C74" s="76"/>
      <c r="D74" s="77"/>
      <c r="E74" s="76"/>
      <c r="F74" s="118">
        <v>-2.9670000000000001</v>
      </c>
      <c r="G74" s="118">
        <v>8.5679999999999996</v>
      </c>
      <c r="H74" s="118">
        <v>-2.8410000000000002</v>
      </c>
      <c r="I74" s="118">
        <v>8.5719999999999992</v>
      </c>
      <c r="J74" s="101" t="s">
        <v>664</v>
      </c>
      <c r="K74" s="355"/>
      <c r="L74" s="355"/>
      <c r="M74" s="355"/>
      <c r="N74">
        <f t="shared" si="0"/>
        <v>0</v>
      </c>
    </row>
    <row r="75" spans="1:14" s="11" customFormat="1" ht="30.95" customHeight="1" x14ac:dyDescent="0.3">
      <c r="A75" s="32">
        <v>15</v>
      </c>
      <c r="B75" s="376"/>
      <c r="C75" s="32" t="s">
        <v>356</v>
      </c>
      <c r="D75" s="12" t="s">
        <v>323</v>
      </c>
      <c r="E75" s="32"/>
      <c r="F75" s="116"/>
      <c r="G75" s="116"/>
      <c r="H75" s="116"/>
      <c r="I75" s="116"/>
      <c r="J75" s="103"/>
      <c r="K75" s="355"/>
      <c r="L75" s="355"/>
      <c r="M75" s="355"/>
      <c r="N75">
        <f t="shared" ref="N75:N132" si="1">IF(C75="",0,1)</f>
        <v>1</v>
      </c>
    </row>
    <row r="76" spans="1:14" s="11" customFormat="1" ht="30.95" customHeight="1" x14ac:dyDescent="0.3">
      <c r="A76" s="32">
        <v>16</v>
      </c>
      <c r="B76" s="376"/>
      <c r="C76" s="32" t="s">
        <v>356</v>
      </c>
      <c r="D76" s="12" t="s">
        <v>322</v>
      </c>
      <c r="E76" s="32"/>
      <c r="F76" s="116"/>
      <c r="G76" s="116"/>
      <c r="H76" s="116"/>
      <c r="I76" s="116"/>
      <c r="J76" s="103"/>
      <c r="K76" s="355"/>
      <c r="L76" s="355"/>
      <c r="M76" s="355"/>
      <c r="N76">
        <f t="shared" si="1"/>
        <v>1</v>
      </c>
    </row>
    <row r="77" spans="1:14" s="11" customFormat="1" ht="30.95" customHeight="1" x14ac:dyDescent="0.3">
      <c r="A77" s="32">
        <v>17</v>
      </c>
      <c r="B77" s="376"/>
      <c r="C77" s="32" t="s">
        <v>360</v>
      </c>
      <c r="D77" s="12" t="s">
        <v>324</v>
      </c>
      <c r="E77" s="32"/>
      <c r="F77" s="116"/>
      <c r="G77" s="116"/>
      <c r="H77" s="116"/>
      <c r="I77" s="116"/>
      <c r="J77" s="103"/>
      <c r="K77" s="355"/>
      <c r="L77" s="355"/>
      <c r="M77" s="355"/>
      <c r="N77">
        <f t="shared" si="1"/>
        <v>1</v>
      </c>
    </row>
    <row r="78" spans="1:14" s="11" customFormat="1" ht="30.95" customHeight="1" x14ac:dyDescent="0.3">
      <c r="A78" s="32">
        <v>18</v>
      </c>
      <c r="B78" s="376"/>
      <c r="C78" s="32" t="s">
        <v>360</v>
      </c>
      <c r="D78" s="12" t="s">
        <v>325</v>
      </c>
      <c r="E78" s="32"/>
      <c r="F78" s="116"/>
      <c r="G78" s="116"/>
      <c r="H78" s="116"/>
      <c r="I78" s="116"/>
      <c r="J78" s="103"/>
      <c r="K78" s="355"/>
      <c r="L78" s="355"/>
      <c r="M78" s="355"/>
      <c r="N78">
        <f t="shared" si="1"/>
        <v>1</v>
      </c>
    </row>
    <row r="79" spans="1:14" s="11" customFormat="1" ht="30.95" customHeight="1" x14ac:dyDescent="0.3">
      <c r="A79" s="32">
        <v>19</v>
      </c>
      <c r="B79" s="376"/>
      <c r="C79" s="76"/>
      <c r="D79" s="77"/>
      <c r="E79" s="76"/>
      <c r="F79" s="118">
        <v>-2.7679999999999998</v>
      </c>
      <c r="G79" s="118">
        <v>8.5679999999999996</v>
      </c>
      <c r="H79" s="118">
        <v>-2.59</v>
      </c>
      <c r="I79" s="118">
        <v>8.57</v>
      </c>
      <c r="J79" s="101" t="s">
        <v>664</v>
      </c>
      <c r="K79" s="355"/>
      <c r="L79" s="355"/>
      <c r="M79" s="355"/>
      <c r="N79">
        <f t="shared" si="1"/>
        <v>0</v>
      </c>
    </row>
    <row r="80" spans="1:14" s="11" customFormat="1" ht="30.95" customHeight="1" x14ac:dyDescent="0.3">
      <c r="A80" s="32">
        <v>20</v>
      </c>
      <c r="B80" s="376"/>
      <c r="C80" s="76"/>
      <c r="D80" s="77"/>
      <c r="E80" s="76"/>
      <c r="F80" s="118">
        <v>-2.8450000000000002</v>
      </c>
      <c r="G80" s="118">
        <v>8.5690000000000008</v>
      </c>
      <c r="H80" s="118">
        <v>-2.2120000000000002</v>
      </c>
      <c r="I80" s="118">
        <v>8.5709999999999997</v>
      </c>
      <c r="J80" s="101" t="s">
        <v>664</v>
      </c>
      <c r="K80" s="355"/>
      <c r="L80" s="355"/>
      <c r="M80" s="355"/>
      <c r="N80">
        <f t="shared" si="1"/>
        <v>0</v>
      </c>
    </row>
    <row r="81" spans="1:16" s="11" customFormat="1" ht="30.95" customHeight="1" x14ac:dyDescent="0.3">
      <c r="A81" s="32">
        <v>21</v>
      </c>
      <c r="B81" s="376"/>
      <c r="C81" s="32"/>
      <c r="D81" s="12"/>
      <c r="E81" s="32"/>
      <c r="F81" s="116"/>
      <c r="G81" s="116"/>
      <c r="H81" s="116"/>
      <c r="I81" s="116"/>
      <c r="J81" s="103"/>
      <c r="K81" s="355"/>
      <c r="L81" s="355"/>
      <c r="M81" s="355"/>
      <c r="N81">
        <f t="shared" si="1"/>
        <v>0</v>
      </c>
    </row>
    <row r="82" spans="1:16" s="11" customFormat="1" ht="30.95" customHeight="1" x14ac:dyDescent="0.3">
      <c r="A82" s="32">
        <v>22</v>
      </c>
      <c r="B82" s="376"/>
      <c r="C82" s="32"/>
      <c r="D82" s="12"/>
      <c r="E82" s="32"/>
      <c r="F82" s="116"/>
      <c r="G82" s="116"/>
      <c r="H82" s="116"/>
      <c r="I82" s="116"/>
      <c r="J82" s="103"/>
      <c r="K82" s="355"/>
      <c r="L82" s="355"/>
      <c r="M82" s="355"/>
      <c r="N82">
        <f t="shared" si="1"/>
        <v>0</v>
      </c>
    </row>
    <row r="83" spans="1:16" s="11" customFormat="1" ht="30.95" customHeight="1" x14ac:dyDescent="0.3">
      <c r="A83" s="32">
        <v>23</v>
      </c>
      <c r="B83" s="376"/>
      <c r="C83" s="76"/>
      <c r="D83" s="77" t="s">
        <v>523</v>
      </c>
      <c r="E83" s="76"/>
      <c r="F83" s="118"/>
      <c r="G83" s="118"/>
      <c r="H83" s="118"/>
      <c r="I83" s="118"/>
      <c r="J83" s="159" t="s">
        <v>524</v>
      </c>
      <c r="K83" s="355"/>
      <c r="L83" s="355"/>
      <c r="M83" s="355"/>
      <c r="N83">
        <f t="shared" si="1"/>
        <v>0</v>
      </c>
    </row>
    <row r="84" spans="1:16" s="11" customFormat="1" ht="30.95" customHeight="1" thickBot="1" x14ac:dyDescent="0.35">
      <c r="A84" s="32">
        <v>24</v>
      </c>
      <c r="B84" s="386"/>
      <c r="C84" s="76"/>
      <c r="D84" s="77" t="s">
        <v>523</v>
      </c>
      <c r="E84" s="76"/>
      <c r="F84" s="118"/>
      <c r="G84" s="118"/>
      <c r="H84" s="118"/>
      <c r="I84" s="118"/>
      <c r="J84" s="159" t="s">
        <v>524</v>
      </c>
      <c r="K84" s="363"/>
      <c r="L84" s="363"/>
      <c r="M84" s="363"/>
      <c r="N84">
        <f t="shared" si="1"/>
        <v>0</v>
      </c>
      <c r="O84" s="11">
        <f>SUM(F70,F73:F74,F79:F80,F90:F91,F93:F96,F105:F106,F109:F112)/17</f>
        <v>-2.7572941176470587</v>
      </c>
      <c r="P84" s="11">
        <f>SUM(H70,H73:H74,H79:H80,H90:H91,H93:H96,H96,H105:H106,H109:H112)/17</f>
        <v>-2.1418235294117647</v>
      </c>
    </row>
    <row r="85" spans="1:16" s="11" customFormat="1" ht="30.95" customHeight="1" x14ac:dyDescent="0.3">
      <c r="A85" s="374" t="s">
        <v>8</v>
      </c>
      <c r="B85" s="325"/>
      <c r="C85" s="325"/>
      <c r="D85" s="228" t="s">
        <v>11</v>
      </c>
      <c r="E85" s="228" t="s">
        <v>12</v>
      </c>
      <c r="F85" s="338" t="s">
        <v>663</v>
      </c>
      <c r="G85" s="338"/>
      <c r="H85" s="338"/>
      <c r="I85" s="338"/>
      <c r="J85" s="338"/>
      <c r="K85" s="332" t="s">
        <v>10</v>
      </c>
      <c r="L85" s="331" t="s">
        <v>32</v>
      </c>
      <c r="M85" s="331" t="s">
        <v>33</v>
      </c>
      <c r="N85">
        <f t="shared" si="1"/>
        <v>0</v>
      </c>
    </row>
    <row r="86" spans="1:16" s="11" customFormat="1" ht="30.95" customHeight="1" x14ac:dyDescent="0.3">
      <c r="A86" s="336" t="s">
        <v>9</v>
      </c>
      <c r="B86" s="337"/>
      <c r="C86" s="337"/>
      <c r="D86" s="368" t="s">
        <v>297</v>
      </c>
      <c r="E86" s="337" t="s">
        <v>687</v>
      </c>
      <c r="F86" s="349" t="s">
        <v>5</v>
      </c>
      <c r="G86" s="349"/>
      <c r="H86" s="349" t="s">
        <v>7</v>
      </c>
      <c r="I86" s="349"/>
      <c r="J86" s="369" t="s">
        <v>628</v>
      </c>
      <c r="K86" s="332"/>
      <c r="L86" s="332"/>
      <c r="M86" s="332"/>
      <c r="N86">
        <f t="shared" si="1"/>
        <v>0</v>
      </c>
    </row>
    <row r="87" spans="1:16" s="11" customFormat="1" ht="30.95" customHeight="1" x14ac:dyDescent="0.3">
      <c r="A87" s="336"/>
      <c r="B87" s="337"/>
      <c r="C87" s="337"/>
      <c r="D87" s="368"/>
      <c r="E87" s="337"/>
      <c r="F87" s="226" t="s">
        <v>638</v>
      </c>
      <c r="G87" s="214">
        <f>전송손실!M19</f>
        <v>-4.4909599999999994</v>
      </c>
      <c r="H87" s="226" t="s">
        <v>638</v>
      </c>
      <c r="I87" s="214">
        <f>전송손실!M45</f>
        <v>-3.1089200000000003</v>
      </c>
      <c r="J87" s="369"/>
      <c r="K87" s="332"/>
      <c r="L87" s="332"/>
      <c r="M87" s="332"/>
      <c r="N87"/>
    </row>
    <row r="88" spans="1:16" s="11" customFormat="1" ht="30.95" customHeight="1" thickBot="1" x14ac:dyDescent="0.35">
      <c r="A88" s="229" t="s">
        <v>0</v>
      </c>
      <c r="B88" s="229" t="s">
        <v>1</v>
      </c>
      <c r="C88" s="229" t="s">
        <v>23</v>
      </c>
      <c r="D88" s="229" t="s">
        <v>2</v>
      </c>
      <c r="E88" s="229" t="s">
        <v>3</v>
      </c>
      <c r="F88" s="229" t="s">
        <v>4</v>
      </c>
      <c r="G88" s="229" t="s">
        <v>506</v>
      </c>
      <c r="H88" s="229" t="s">
        <v>4</v>
      </c>
      <c r="I88" s="229" t="s">
        <v>506</v>
      </c>
      <c r="J88" s="370"/>
      <c r="K88" s="367"/>
      <c r="L88" s="367"/>
      <c r="M88" s="367"/>
      <c r="N88">
        <f t="shared" si="1"/>
        <v>1</v>
      </c>
    </row>
    <row r="89" spans="1:16" s="11" customFormat="1" ht="30.95" customHeight="1" x14ac:dyDescent="0.3">
      <c r="A89" s="32">
        <v>1</v>
      </c>
      <c r="B89" s="411" t="s">
        <v>299</v>
      </c>
      <c r="C89" s="32" t="s">
        <v>357</v>
      </c>
      <c r="D89" s="12" t="s">
        <v>326</v>
      </c>
      <c r="E89" s="32"/>
      <c r="F89" s="116"/>
      <c r="G89" s="116"/>
      <c r="H89" s="116"/>
      <c r="I89" s="116"/>
      <c r="J89" s="116"/>
      <c r="K89" s="410" t="s">
        <v>463</v>
      </c>
      <c r="L89" s="354"/>
      <c r="M89" s="357"/>
      <c r="N89">
        <f t="shared" si="1"/>
        <v>1</v>
      </c>
    </row>
    <row r="90" spans="1:16" s="11" customFormat="1" ht="30.95" customHeight="1" x14ac:dyDescent="0.3">
      <c r="A90" s="32">
        <v>2</v>
      </c>
      <c r="B90" s="376"/>
      <c r="C90" s="76"/>
      <c r="D90" s="77"/>
      <c r="E90" s="76"/>
      <c r="F90" s="118">
        <v>-2.6949999999999998</v>
      </c>
      <c r="G90" s="118">
        <v>8.3450000000000006</v>
      </c>
      <c r="H90" s="118">
        <v>-1.8480000000000001</v>
      </c>
      <c r="I90" s="118">
        <v>8.3469999999999995</v>
      </c>
      <c r="J90" s="118" t="s">
        <v>664</v>
      </c>
      <c r="K90" s="355"/>
      <c r="L90" s="355"/>
      <c r="M90" s="355"/>
      <c r="N90">
        <f t="shared" si="1"/>
        <v>0</v>
      </c>
    </row>
    <row r="91" spans="1:16" s="11" customFormat="1" ht="30.95" customHeight="1" x14ac:dyDescent="0.3">
      <c r="A91" s="32">
        <v>3</v>
      </c>
      <c r="B91" s="376"/>
      <c r="C91" s="76"/>
      <c r="D91" s="77"/>
      <c r="E91" s="76"/>
      <c r="F91" s="118">
        <v>-2.7010000000000001</v>
      </c>
      <c r="G91" s="118">
        <v>8.3409999999999993</v>
      </c>
      <c r="H91" s="118">
        <v>-1.7949999999999999</v>
      </c>
      <c r="I91" s="118">
        <v>8.3450000000000006</v>
      </c>
      <c r="J91" s="118" t="s">
        <v>664</v>
      </c>
      <c r="K91" s="355"/>
      <c r="L91" s="355"/>
      <c r="M91" s="355"/>
      <c r="N91">
        <f t="shared" si="1"/>
        <v>0</v>
      </c>
    </row>
    <row r="92" spans="1:16" s="11" customFormat="1" ht="30.95" customHeight="1" x14ac:dyDescent="0.3">
      <c r="A92" s="32">
        <v>4</v>
      </c>
      <c r="B92" s="376"/>
      <c r="C92" s="32" t="s">
        <v>356</v>
      </c>
      <c r="D92" s="12" t="s">
        <v>327</v>
      </c>
      <c r="E92" s="32"/>
      <c r="F92" s="116"/>
      <c r="G92" s="116"/>
      <c r="H92" s="116"/>
      <c r="I92" s="116"/>
      <c r="J92" s="116"/>
      <c r="K92" s="355"/>
      <c r="L92" s="355"/>
      <c r="M92" s="355"/>
      <c r="N92">
        <f t="shared" si="1"/>
        <v>1</v>
      </c>
    </row>
    <row r="93" spans="1:16" s="11" customFormat="1" ht="30.95" customHeight="1" x14ac:dyDescent="0.3">
      <c r="A93" s="32">
        <v>5</v>
      </c>
      <c r="B93" s="376"/>
      <c r="C93" s="76"/>
      <c r="D93" s="77"/>
      <c r="E93" s="76"/>
      <c r="F93" s="118">
        <v>-2.972</v>
      </c>
      <c r="G93" s="118">
        <v>8.3469999999999995</v>
      </c>
      <c r="H93" s="118">
        <v>-2.2120000000000002</v>
      </c>
      <c r="I93" s="118">
        <v>8.3490000000000002</v>
      </c>
      <c r="J93" s="118" t="s">
        <v>664</v>
      </c>
      <c r="K93" s="355"/>
      <c r="L93" s="355"/>
      <c r="M93" s="355"/>
      <c r="N93">
        <f t="shared" si="1"/>
        <v>0</v>
      </c>
    </row>
    <row r="94" spans="1:16" s="11" customFormat="1" ht="30.95" customHeight="1" x14ac:dyDescent="0.3">
      <c r="A94" s="32">
        <v>6</v>
      </c>
      <c r="B94" s="376"/>
      <c r="C94" s="76"/>
      <c r="D94" s="77"/>
      <c r="E94" s="76"/>
      <c r="F94" s="118">
        <v>-2.5539999999999998</v>
      </c>
      <c r="G94" s="118">
        <v>8.3439999999999994</v>
      </c>
      <c r="H94" s="118">
        <v>-2.0779999999999998</v>
      </c>
      <c r="I94" s="118">
        <v>8.3480000000000008</v>
      </c>
      <c r="J94" s="118" t="s">
        <v>664</v>
      </c>
      <c r="K94" s="355"/>
      <c r="L94" s="355"/>
      <c r="M94" s="355"/>
      <c r="N94">
        <f t="shared" si="1"/>
        <v>0</v>
      </c>
    </row>
    <row r="95" spans="1:16" s="11" customFormat="1" ht="30.95" customHeight="1" x14ac:dyDescent="0.3">
      <c r="A95" s="32">
        <v>7</v>
      </c>
      <c r="B95" s="376"/>
      <c r="C95" s="76"/>
      <c r="D95" s="77"/>
      <c r="E95" s="76"/>
      <c r="F95" s="118">
        <v>-2.61</v>
      </c>
      <c r="G95" s="118">
        <v>8.3450000000000006</v>
      </c>
      <c r="H95" s="118">
        <v>-1.663</v>
      </c>
      <c r="I95" s="118">
        <v>8.3490000000000002</v>
      </c>
      <c r="J95" s="118" t="s">
        <v>664</v>
      </c>
      <c r="K95" s="355"/>
      <c r="L95" s="355"/>
      <c r="M95" s="355"/>
      <c r="N95">
        <f t="shared" si="1"/>
        <v>0</v>
      </c>
    </row>
    <row r="96" spans="1:16" s="11" customFormat="1" ht="30.95" customHeight="1" x14ac:dyDescent="0.3">
      <c r="A96" s="32">
        <v>8</v>
      </c>
      <c r="B96" s="376"/>
      <c r="C96" s="76"/>
      <c r="D96" s="77"/>
      <c r="E96" s="76"/>
      <c r="F96" s="118">
        <v>-2.7029999999999998</v>
      </c>
      <c r="G96" s="118">
        <v>8.3439999999999994</v>
      </c>
      <c r="H96" s="118">
        <v>-1.7230000000000001</v>
      </c>
      <c r="I96" s="118">
        <v>8.3469999999999995</v>
      </c>
      <c r="J96" s="118" t="s">
        <v>664</v>
      </c>
      <c r="K96" s="355"/>
      <c r="L96" s="355"/>
      <c r="M96" s="355"/>
      <c r="N96">
        <f t="shared" si="1"/>
        <v>0</v>
      </c>
    </row>
    <row r="97" spans="1:14" s="11" customFormat="1" ht="30.95" customHeight="1" x14ac:dyDescent="0.3">
      <c r="A97" s="32">
        <v>9</v>
      </c>
      <c r="B97" s="376"/>
      <c r="C97" s="32" t="s">
        <v>356</v>
      </c>
      <c r="D97" s="12" t="s">
        <v>328</v>
      </c>
      <c r="E97" s="32"/>
      <c r="F97" s="116"/>
      <c r="G97" s="116"/>
      <c r="H97" s="116"/>
      <c r="I97" s="116"/>
      <c r="J97" s="116"/>
      <c r="K97" s="355"/>
      <c r="L97" s="355"/>
      <c r="M97" s="355"/>
      <c r="N97">
        <f t="shared" si="1"/>
        <v>1</v>
      </c>
    </row>
    <row r="98" spans="1:14" s="11" customFormat="1" ht="30.95" customHeight="1" x14ac:dyDescent="0.3">
      <c r="A98" s="32">
        <v>10</v>
      </c>
      <c r="B98" s="376"/>
      <c r="C98" s="32" t="s">
        <v>356</v>
      </c>
      <c r="D98" s="12" t="s">
        <v>329</v>
      </c>
      <c r="E98" s="32"/>
      <c r="F98" s="116"/>
      <c r="G98" s="116"/>
      <c r="H98" s="116"/>
      <c r="I98" s="116"/>
      <c r="J98" s="116"/>
      <c r="K98" s="355"/>
      <c r="L98" s="355"/>
      <c r="M98" s="355"/>
      <c r="N98">
        <f t="shared" si="1"/>
        <v>1</v>
      </c>
    </row>
    <row r="99" spans="1:14" s="11" customFormat="1" ht="30.95" customHeight="1" x14ac:dyDescent="0.3">
      <c r="A99" s="32">
        <v>11</v>
      </c>
      <c r="B99" s="376"/>
      <c r="C99" s="32"/>
      <c r="D99" s="12"/>
      <c r="E99" s="32"/>
      <c r="F99" s="116"/>
      <c r="G99" s="116"/>
      <c r="H99" s="116"/>
      <c r="I99" s="116"/>
      <c r="J99" s="116"/>
      <c r="K99" s="355"/>
      <c r="L99" s="355"/>
      <c r="M99" s="355"/>
      <c r="N99">
        <f t="shared" si="1"/>
        <v>0</v>
      </c>
    </row>
    <row r="100" spans="1:14" s="11" customFormat="1" ht="30.95" customHeight="1" x14ac:dyDescent="0.3">
      <c r="A100" s="32">
        <v>12</v>
      </c>
      <c r="B100" s="376"/>
      <c r="C100" s="32"/>
      <c r="D100" s="12"/>
      <c r="E100" s="32"/>
      <c r="F100" s="116"/>
      <c r="G100" s="116"/>
      <c r="H100" s="116"/>
      <c r="I100" s="116"/>
      <c r="J100" s="116"/>
      <c r="K100" s="355"/>
      <c r="L100" s="355"/>
      <c r="M100" s="355"/>
      <c r="N100">
        <f t="shared" si="1"/>
        <v>0</v>
      </c>
    </row>
    <row r="101" spans="1:14" s="11" customFormat="1" ht="30.95" customHeight="1" x14ac:dyDescent="0.3">
      <c r="A101" s="32">
        <v>13</v>
      </c>
      <c r="B101" s="376"/>
      <c r="C101" s="32"/>
      <c r="D101" s="12"/>
      <c r="E101" s="32"/>
      <c r="F101" s="116"/>
      <c r="G101" s="116"/>
      <c r="H101" s="116"/>
      <c r="I101" s="116"/>
      <c r="J101" s="116"/>
      <c r="K101" s="355"/>
      <c r="L101" s="355"/>
      <c r="M101" s="355"/>
      <c r="N101">
        <f t="shared" si="1"/>
        <v>0</v>
      </c>
    </row>
    <row r="102" spans="1:14" s="11" customFormat="1" ht="30.95" customHeight="1" x14ac:dyDescent="0.3">
      <c r="A102" s="32">
        <v>14</v>
      </c>
      <c r="B102" s="376"/>
      <c r="C102" s="32"/>
      <c r="D102" s="12"/>
      <c r="E102" s="32"/>
      <c r="F102" s="116"/>
      <c r="G102" s="116"/>
      <c r="H102" s="116"/>
      <c r="I102" s="116"/>
      <c r="J102" s="116"/>
      <c r="K102" s="355"/>
      <c r="L102" s="355"/>
      <c r="M102" s="355"/>
      <c r="N102">
        <f t="shared" si="1"/>
        <v>0</v>
      </c>
    </row>
    <row r="103" spans="1:14" s="11" customFormat="1" ht="30.95" customHeight="1" x14ac:dyDescent="0.3">
      <c r="A103" s="32">
        <v>15</v>
      </c>
      <c r="B103" s="376"/>
      <c r="C103" s="32"/>
      <c r="D103" s="12"/>
      <c r="E103" s="32"/>
      <c r="F103" s="116"/>
      <c r="G103" s="116"/>
      <c r="H103" s="116"/>
      <c r="I103" s="116"/>
      <c r="J103" s="116"/>
      <c r="K103" s="355"/>
      <c r="L103" s="355"/>
      <c r="M103" s="355"/>
      <c r="N103">
        <f t="shared" si="1"/>
        <v>0</v>
      </c>
    </row>
    <row r="104" spans="1:14" s="11" customFormat="1" ht="30.95" customHeight="1" x14ac:dyDescent="0.3">
      <c r="A104" s="32">
        <v>16</v>
      </c>
      <c r="B104" s="376"/>
      <c r="C104" s="32"/>
      <c r="D104" s="12"/>
      <c r="E104" s="32"/>
      <c r="F104" s="116"/>
      <c r="G104" s="116"/>
      <c r="H104" s="116"/>
      <c r="I104" s="116"/>
      <c r="J104" s="116"/>
      <c r="K104" s="355"/>
      <c r="L104" s="355"/>
      <c r="M104" s="355"/>
      <c r="N104">
        <f t="shared" si="1"/>
        <v>0</v>
      </c>
    </row>
    <row r="105" spans="1:14" s="11" customFormat="1" ht="30.95" customHeight="1" x14ac:dyDescent="0.3">
      <c r="A105" s="32">
        <v>17</v>
      </c>
      <c r="B105" s="376"/>
      <c r="C105" s="76"/>
      <c r="D105" s="77"/>
      <c r="E105" s="76"/>
      <c r="F105" s="118">
        <v>-2.653</v>
      </c>
      <c r="G105" s="118">
        <v>8.3480000000000008</v>
      </c>
      <c r="H105" s="118">
        <v>-1.6519999999999999</v>
      </c>
      <c r="I105" s="118">
        <v>8.3490000000000002</v>
      </c>
      <c r="J105" s="118" t="s">
        <v>664</v>
      </c>
      <c r="K105" s="355"/>
      <c r="L105" s="355"/>
      <c r="M105" s="355"/>
      <c r="N105">
        <f t="shared" si="1"/>
        <v>0</v>
      </c>
    </row>
    <row r="106" spans="1:14" s="11" customFormat="1" ht="30.95" customHeight="1" x14ac:dyDescent="0.3">
      <c r="A106" s="32">
        <v>18</v>
      </c>
      <c r="B106" s="376"/>
      <c r="C106" s="76"/>
      <c r="D106" s="77"/>
      <c r="E106" s="76"/>
      <c r="F106" s="118">
        <v>-2.64</v>
      </c>
      <c r="G106" s="118">
        <v>8.3460000000000001</v>
      </c>
      <c r="H106" s="118">
        <v>-1.6080000000000001</v>
      </c>
      <c r="I106" s="118">
        <v>8.35</v>
      </c>
      <c r="J106" s="118" t="s">
        <v>664</v>
      </c>
      <c r="K106" s="355"/>
      <c r="L106" s="355"/>
      <c r="M106" s="355"/>
      <c r="N106">
        <f t="shared" si="1"/>
        <v>0</v>
      </c>
    </row>
    <row r="107" spans="1:14" s="11" customFormat="1" ht="30.95" customHeight="1" x14ac:dyDescent="0.3">
      <c r="A107" s="32">
        <v>19</v>
      </c>
      <c r="B107" s="376"/>
      <c r="C107" s="32" t="s">
        <v>358</v>
      </c>
      <c r="D107" s="12" t="s">
        <v>691</v>
      </c>
      <c r="E107" s="32"/>
      <c r="F107" s="116"/>
      <c r="G107" s="116"/>
      <c r="H107" s="116"/>
      <c r="I107" s="116"/>
      <c r="J107" s="116"/>
      <c r="K107" s="355"/>
      <c r="L107" s="355"/>
      <c r="M107" s="355"/>
      <c r="N107">
        <f t="shared" si="1"/>
        <v>1</v>
      </c>
    </row>
    <row r="108" spans="1:14" s="11" customFormat="1" ht="30.95" customHeight="1" x14ac:dyDescent="0.3">
      <c r="A108" s="32">
        <v>20</v>
      </c>
      <c r="B108" s="376"/>
      <c r="C108" s="32" t="s">
        <v>358</v>
      </c>
      <c r="D108" s="12" t="s">
        <v>330</v>
      </c>
      <c r="E108" s="32"/>
      <c r="F108" s="116"/>
      <c r="G108" s="116"/>
      <c r="H108" s="116"/>
      <c r="I108" s="116"/>
      <c r="J108" s="116"/>
      <c r="K108" s="355"/>
      <c r="L108" s="355"/>
      <c r="M108" s="355"/>
      <c r="N108">
        <f t="shared" si="1"/>
        <v>1</v>
      </c>
    </row>
    <row r="109" spans="1:14" s="11" customFormat="1" ht="30.95" customHeight="1" x14ac:dyDescent="0.3">
      <c r="A109" s="32">
        <v>21</v>
      </c>
      <c r="B109" s="376"/>
      <c r="C109" s="76"/>
      <c r="D109" s="77"/>
      <c r="E109" s="76"/>
      <c r="F109" s="118">
        <v>-2.7869999999999999</v>
      </c>
      <c r="G109" s="118">
        <v>8.3469999999999995</v>
      </c>
      <c r="H109" s="118">
        <v>-1.6419999999999999</v>
      </c>
      <c r="I109" s="118">
        <v>8.35</v>
      </c>
      <c r="J109" s="118" t="s">
        <v>664</v>
      </c>
      <c r="K109" s="355"/>
      <c r="L109" s="355"/>
      <c r="M109" s="355"/>
      <c r="N109">
        <f t="shared" si="1"/>
        <v>0</v>
      </c>
    </row>
    <row r="110" spans="1:14" s="11" customFormat="1" ht="30.95" customHeight="1" x14ac:dyDescent="0.3">
      <c r="A110" s="32">
        <v>22</v>
      </c>
      <c r="B110" s="376"/>
      <c r="C110" s="76"/>
      <c r="D110" s="77"/>
      <c r="E110" s="76"/>
      <c r="F110" s="118">
        <v>-2.63</v>
      </c>
      <c r="G110" s="118">
        <v>8.3460000000000001</v>
      </c>
      <c r="H110" s="118">
        <v>-1.6890000000000001</v>
      </c>
      <c r="I110" s="118">
        <v>8.35</v>
      </c>
      <c r="J110" s="118" t="s">
        <v>664</v>
      </c>
      <c r="K110" s="355"/>
      <c r="L110" s="355"/>
      <c r="M110" s="355"/>
      <c r="N110">
        <f t="shared" si="1"/>
        <v>0</v>
      </c>
    </row>
    <row r="111" spans="1:14" s="11" customFormat="1" ht="30.95" customHeight="1" x14ac:dyDescent="0.3">
      <c r="A111" s="32">
        <v>23</v>
      </c>
      <c r="B111" s="376"/>
      <c r="C111" s="76"/>
      <c r="D111" s="77"/>
      <c r="E111" s="76"/>
      <c r="F111" s="118">
        <v>-2.6320000000000001</v>
      </c>
      <c r="G111" s="118">
        <v>8.3480000000000008</v>
      </c>
      <c r="H111" s="118">
        <v>-1.407</v>
      </c>
      <c r="I111" s="118">
        <v>8.35</v>
      </c>
      <c r="J111" s="118" t="s">
        <v>664</v>
      </c>
      <c r="K111" s="355"/>
      <c r="L111" s="355"/>
      <c r="M111" s="355"/>
      <c r="N111">
        <f t="shared" si="1"/>
        <v>0</v>
      </c>
    </row>
    <row r="112" spans="1:14" s="11" customFormat="1" ht="30.95" customHeight="1" thickBot="1" x14ac:dyDescent="0.35">
      <c r="A112" s="32">
        <v>24</v>
      </c>
      <c r="B112" s="386"/>
      <c r="C112" s="76"/>
      <c r="D112" s="77"/>
      <c r="E112" s="76"/>
      <c r="F112" s="148">
        <v>-2.7690000000000001</v>
      </c>
      <c r="G112" s="148">
        <v>8.3469999999999995</v>
      </c>
      <c r="H112" s="148">
        <v>-1.661</v>
      </c>
      <c r="I112" s="148">
        <v>8.3510000000000009</v>
      </c>
      <c r="J112" s="118" t="s">
        <v>664</v>
      </c>
      <c r="K112" s="363"/>
      <c r="L112" s="363"/>
      <c r="M112" s="363"/>
      <c r="N112">
        <f t="shared" si="1"/>
        <v>0</v>
      </c>
    </row>
    <row r="113" spans="1:14" s="11" customFormat="1" ht="30.95" customHeight="1" x14ac:dyDescent="0.3">
      <c r="A113" s="32">
        <v>1</v>
      </c>
      <c r="B113" s="343" t="s">
        <v>300</v>
      </c>
      <c r="C113" s="32" t="s">
        <v>356</v>
      </c>
      <c r="D113" s="12" t="s">
        <v>331</v>
      </c>
      <c r="E113" s="32"/>
      <c r="F113" s="67"/>
      <c r="G113" s="67"/>
      <c r="H113" s="67"/>
      <c r="I113" s="67"/>
      <c r="J113" s="51"/>
      <c r="K113" s="33"/>
      <c r="L113" s="33"/>
      <c r="M113" s="33"/>
      <c r="N113">
        <f t="shared" si="1"/>
        <v>1</v>
      </c>
    </row>
    <row r="114" spans="1:14" s="11" customFormat="1" ht="30.95" customHeight="1" x14ac:dyDescent="0.3">
      <c r="A114" s="32">
        <v>2</v>
      </c>
      <c r="B114" s="346"/>
      <c r="C114" s="32" t="s">
        <v>356</v>
      </c>
      <c r="D114" s="12" t="s">
        <v>332</v>
      </c>
      <c r="E114" s="32"/>
      <c r="F114" s="67"/>
      <c r="G114" s="67"/>
      <c r="H114" s="67"/>
      <c r="I114" s="67"/>
      <c r="J114" s="51"/>
      <c r="K114" s="33"/>
      <c r="L114" s="33"/>
      <c r="M114" s="33"/>
      <c r="N114">
        <f t="shared" si="1"/>
        <v>1</v>
      </c>
    </row>
    <row r="115" spans="1:14" s="11" customFormat="1" ht="30.95" customHeight="1" x14ac:dyDescent="0.3">
      <c r="A115" s="32">
        <v>3</v>
      </c>
      <c r="B115" s="346"/>
      <c r="C115" s="32" t="s">
        <v>356</v>
      </c>
      <c r="D115" s="12" t="s">
        <v>333</v>
      </c>
      <c r="E115" s="32"/>
      <c r="F115" s="67"/>
      <c r="G115" s="67"/>
      <c r="H115" s="67"/>
      <c r="I115" s="67"/>
      <c r="J115" s="51"/>
      <c r="K115" s="33"/>
      <c r="L115" s="33"/>
      <c r="M115" s="33"/>
      <c r="N115">
        <f t="shared" si="1"/>
        <v>1</v>
      </c>
    </row>
    <row r="116" spans="1:14" s="11" customFormat="1" ht="30.95" customHeight="1" x14ac:dyDescent="0.3">
      <c r="A116" s="32">
        <v>4</v>
      </c>
      <c r="B116" s="346"/>
      <c r="C116" s="32" t="s">
        <v>356</v>
      </c>
      <c r="D116" s="12" t="s">
        <v>334</v>
      </c>
      <c r="E116" s="32"/>
      <c r="F116" s="67"/>
      <c r="G116" s="67"/>
      <c r="H116" s="67"/>
      <c r="I116" s="67"/>
      <c r="J116" s="51"/>
      <c r="K116" s="33"/>
      <c r="L116" s="33"/>
      <c r="M116" s="33"/>
      <c r="N116">
        <f t="shared" si="1"/>
        <v>1</v>
      </c>
    </row>
    <row r="117" spans="1:14" s="11" customFormat="1" ht="30.95" customHeight="1" x14ac:dyDescent="0.3">
      <c r="A117" s="32">
        <v>5</v>
      </c>
      <c r="B117" s="346"/>
      <c r="C117" s="32" t="s">
        <v>360</v>
      </c>
      <c r="D117" s="12" t="s">
        <v>318</v>
      </c>
      <c r="E117" s="32"/>
      <c r="F117" s="67"/>
      <c r="G117" s="67"/>
      <c r="H117" s="67"/>
      <c r="I117" s="67"/>
      <c r="J117" s="51"/>
      <c r="K117" s="33"/>
      <c r="L117" s="33"/>
      <c r="M117" s="33"/>
      <c r="N117">
        <f t="shared" si="1"/>
        <v>1</v>
      </c>
    </row>
    <row r="118" spans="1:14" s="11" customFormat="1" ht="30.95" customHeight="1" x14ac:dyDescent="0.3">
      <c r="A118" s="32">
        <v>6</v>
      </c>
      <c r="B118" s="346"/>
      <c r="C118" s="32" t="s">
        <v>360</v>
      </c>
      <c r="D118" s="12" t="s">
        <v>319</v>
      </c>
      <c r="E118" s="32"/>
      <c r="F118" s="67"/>
      <c r="G118" s="67"/>
      <c r="H118" s="67"/>
      <c r="I118" s="67"/>
      <c r="J118" s="51"/>
      <c r="K118" s="33"/>
      <c r="L118" s="33"/>
      <c r="M118" s="33"/>
      <c r="N118">
        <f t="shared" si="1"/>
        <v>1</v>
      </c>
    </row>
    <row r="119" spans="1:14" s="11" customFormat="1" ht="30.95" customHeight="1" x14ac:dyDescent="0.3">
      <c r="A119" s="32">
        <v>7</v>
      </c>
      <c r="B119" s="346"/>
      <c r="C119" s="32"/>
      <c r="D119" s="12"/>
      <c r="E119" s="32"/>
      <c r="F119" s="67"/>
      <c r="G119" s="67"/>
      <c r="H119" s="67"/>
      <c r="I119" s="67"/>
      <c r="J119" s="51"/>
      <c r="K119" s="33"/>
      <c r="L119" s="33"/>
      <c r="M119" s="33"/>
      <c r="N119">
        <f t="shared" si="1"/>
        <v>0</v>
      </c>
    </row>
    <row r="120" spans="1:14" s="11" customFormat="1" ht="30.95" customHeight="1" x14ac:dyDescent="0.3">
      <c r="A120" s="32">
        <v>8</v>
      </c>
      <c r="B120" s="396"/>
      <c r="C120" s="32"/>
      <c r="D120" s="12"/>
      <c r="E120" s="32"/>
      <c r="F120" s="67"/>
      <c r="G120" s="67"/>
      <c r="H120" s="67"/>
      <c r="I120" s="67"/>
      <c r="J120" s="51"/>
      <c r="K120" s="33"/>
      <c r="L120" s="33"/>
      <c r="M120" s="33"/>
      <c r="N120">
        <f t="shared" si="1"/>
        <v>0</v>
      </c>
    </row>
    <row r="121" spans="1:14" s="11" customFormat="1" ht="30.95" customHeight="1" x14ac:dyDescent="0.3">
      <c r="A121" s="32">
        <v>1</v>
      </c>
      <c r="B121" s="343" t="s">
        <v>301</v>
      </c>
      <c r="C121" s="32" t="s">
        <v>357</v>
      </c>
      <c r="D121" s="12" t="s">
        <v>335</v>
      </c>
      <c r="E121" s="32"/>
      <c r="F121" s="67"/>
      <c r="G121" s="67"/>
      <c r="H121" s="67"/>
      <c r="I121" s="67"/>
      <c r="J121" s="51"/>
      <c r="K121" s="33"/>
      <c r="L121" s="33"/>
      <c r="M121" s="33"/>
      <c r="N121">
        <f t="shared" si="1"/>
        <v>1</v>
      </c>
    </row>
    <row r="122" spans="1:14" s="11" customFormat="1" ht="30.95" customHeight="1" x14ac:dyDescent="0.3">
      <c r="A122" s="32">
        <v>2</v>
      </c>
      <c r="B122" s="346"/>
      <c r="C122" s="32" t="s">
        <v>357</v>
      </c>
      <c r="D122" s="12" t="s">
        <v>336</v>
      </c>
      <c r="E122" s="32"/>
      <c r="F122" s="67"/>
      <c r="G122" s="67"/>
      <c r="H122" s="67"/>
      <c r="I122" s="67"/>
      <c r="J122" s="51"/>
      <c r="K122" s="33"/>
      <c r="L122" s="33"/>
      <c r="M122" s="33"/>
      <c r="N122">
        <f t="shared" si="1"/>
        <v>1</v>
      </c>
    </row>
    <row r="123" spans="1:14" s="11" customFormat="1" ht="30.95" customHeight="1" x14ac:dyDescent="0.3">
      <c r="A123" s="32">
        <v>3</v>
      </c>
      <c r="B123" s="346"/>
      <c r="C123" s="32" t="s">
        <v>357</v>
      </c>
      <c r="D123" s="12" t="s">
        <v>337</v>
      </c>
      <c r="E123" s="32"/>
      <c r="F123" s="67"/>
      <c r="G123" s="67"/>
      <c r="H123" s="67"/>
      <c r="I123" s="67"/>
      <c r="J123" s="51"/>
      <c r="K123" s="33"/>
      <c r="L123" s="33"/>
      <c r="M123" s="33"/>
      <c r="N123">
        <f t="shared" si="1"/>
        <v>1</v>
      </c>
    </row>
    <row r="124" spans="1:14" ht="30.95" customHeight="1" x14ac:dyDescent="0.3">
      <c r="A124" s="32">
        <v>4</v>
      </c>
      <c r="B124" s="346"/>
      <c r="C124" s="32" t="s">
        <v>357</v>
      </c>
      <c r="D124" s="12" t="s">
        <v>338</v>
      </c>
      <c r="E124" s="32"/>
      <c r="F124" s="67"/>
      <c r="G124" s="67"/>
      <c r="H124" s="67"/>
      <c r="I124" s="67"/>
      <c r="J124" s="51"/>
      <c r="K124" s="33"/>
      <c r="L124" s="33"/>
      <c r="M124" s="33"/>
      <c r="N124">
        <f t="shared" si="1"/>
        <v>1</v>
      </c>
    </row>
    <row r="125" spans="1:14" ht="30.95" customHeight="1" x14ac:dyDescent="0.3">
      <c r="A125" s="32">
        <v>5</v>
      </c>
      <c r="B125" s="346"/>
      <c r="C125" s="32" t="s">
        <v>357</v>
      </c>
      <c r="D125" s="12" t="s">
        <v>339</v>
      </c>
      <c r="E125" s="32"/>
      <c r="F125" s="67"/>
      <c r="G125" s="67"/>
      <c r="H125" s="67"/>
      <c r="I125" s="67"/>
      <c r="J125" s="51"/>
      <c r="K125" s="33"/>
      <c r="L125" s="33"/>
      <c r="M125" s="33"/>
      <c r="N125">
        <f t="shared" si="1"/>
        <v>1</v>
      </c>
    </row>
    <row r="126" spans="1:14" ht="30.95" customHeight="1" x14ac:dyDescent="0.3">
      <c r="A126" s="32">
        <v>6</v>
      </c>
      <c r="B126" s="346"/>
      <c r="C126" s="32" t="s">
        <v>357</v>
      </c>
      <c r="D126" s="12" t="s">
        <v>340</v>
      </c>
      <c r="E126" s="32"/>
      <c r="F126" s="67"/>
      <c r="G126" s="67"/>
      <c r="H126" s="67"/>
      <c r="I126" s="67"/>
      <c r="J126" s="51"/>
      <c r="K126" s="33"/>
      <c r="L126" s="33"/>
      <c r="M126" s="33"/>
      <c r="N126">
        <f t="shared" si="1"/>
        <v>1</v>
      </c>
    </row>
    <row r="127" spans="1:14" ht="30.95" customHeight="1" x14ac:dyDescent="0.3">
      <c r="A127" s="32">
        <v>7</v>
      </c>
      <c r="B127" s="346"/>
      <c r="C127" s="32" t="s">
        <v>357</v>
      </c>
      <c r="D127" s="12" t="s">
        <v>341</v>
      </c>
      <c r="E127" s="32"/>
      <c r="F127" s="67"/>
      <c r="G127" s="67"/>
      <c r="H127" s="67"/>
      <c r="I127" s="67"/>
      <c r="J127" s="51"/>
      <c r="K127" s="33"/>
      <c r="L127" s="33"/>
      <c r="M127" s="33"/>
      <c r="N127">
        <f t="shared" si="1"/>
        <v>1</v>
      </c>
    </row>
    <row r="128" spans="1:14" ht="30.95" customHeight="1" x14ac:dyDescent="0.3">
      <c r="A128" s="32">
        <v>8</v>
      </c>
      <c r="B128" s="346"/>
      <c r="C128" s="32" t="s">
        <v>357</v>
      </c>
      <c r="D128" s="12" t="s">
        <v>342</v>
      </c>
      <c r="E128" s="32"/>
      <c r="F128" s="67"/>
      <c r="G128" s="67"/>
      <c r="H128" s="67"/>
      <c r="I128" s="67"/>
      <c r="J128" s="51"/>
      <c r="K128" s="33"/>
      <c r="L128" s="33"/>
      <c r="M128" s="33"/>
      <c r="N128">
        <f t="shared" si="1"/>
        <v>1</v>
      </c>
    </row>
    <row r="129" spans="1:14" ht="30.95" customHeight="1" x14ac:dyDescent="0.3">
      <c r="A129" s="32">
        <v>9</v>
      </c>
      <c r="B129" s="346"/>
      <c r="C129" s="32"/>
      <c r="D129" s="12"/>
      <c r="E129" s="32"/>
      <c r="F129" s="67"/>
      <c r="G129" s="67"/>
      <c r="H129" s="67"/>
      <c r="I129" s="67"/>
      <c r="J129" s="51"/>
      <c r="K129" s="33"/>
      <c r="L129" s="33"/>
      <c r="M129" s="33"/>
      <c r="N129">
        <f t="shared" si="1"/>
        <v>0</v>
      </c>
    </row>
    <row r="130" spans="1:14" ht="30.95" customHeight="1" x14ac:dyDescent="0.3">
      <c r="A130" s="32">
        <v>10</v>
      </c>
      <c r="B130" s="346"/>
      <c r="C130" s="32"/>
      <c r="D130" s="12"/>
      <c r="E130" s="32"/>
      <c r="F130" s="67"/>
      <c r="G130" s="67"/>
      <c r="H130" s="67"/>
      <c r="I130" s="67"/>
      <c r="J130" s="51"/>
      <c r="K130" s="33"/>
      <c r="L130" s="33"/>
      <c r="M130" s="33"/>
      <c r="N130">
        <f t="shared" si="1"/>
        <v>0</v>
      </c>
    </row>
    <row r="131" spans="1:14" ht="30.95" customHeight="1" x14ac:dyDescent="0.3">
      <c r="A131" s="32">
        <v>11</v>
      </c>
      <c r="B131" s="346"/>
      <c r="C131" s="32" t="s">
        <v>360</v>
      </c>
      <c r="D131" s="12" t="s">
        <v>343</v>
      </c>
      <c r="E131" s="32"/>
      <c r="F131" s="67"/>
      <c r="G131" s="67"/>
      <c r="H131" s="67"/>
      <c r="I131" s="67"/>
      <c r="J131" s="51"/>
      <c r="K131" s="33"/>
      <c r="L131" s="33"/>
      <c r="M131" s="33"/>
      <c r="N131">
        <f t="shared" si="1"/>
        <v>1</v>
      </c>
    </row>
    <row r="132" spans="1:14" ht="30.95" customHeight="1" x14ac:dyDescent="0.3">
      <c r="A132" s="32">
        <v>12</v>
      </c>
      <c r="B132" s="396"/>
      <c r="C132" s="32" t="s">
        <v>360</v>
      </c>
      <c r="D132" s="12" t="s">
        <v>344</v>
      </c>
      <c r="E132" s="32"/>
      <c r="F132" s="67"/>
      <c r="G132" s="67"/>
      <c r="H132" s="67"/>
      <c r="I132" s="67"/>
      <c r="J132" s="51"/>
      <c r="K132" s="33"/>
      <c r="L132" s="33"/>
      <c r="M132" s="33"/>
      <c r="N132">
        <f t="shared" si="1"/>
        <v>1</v>
      </c>
    </row>
    <row r="133" spans="1:14" ht="32.1" customHeight="1" x14ac:dyDescent="0.3"/>
    <row r="134" spans="1:14" ht="32.1" customHeight="1" x14ac:dyDescent="0.3"/>
    <row r="135" spans="1:14" ht="32.1" customHeight="1" x14ac:dyDescent="0.3"/>
    <row r="136" spans="1:14" ht="32.1" customHeight="1" x14ac:dyDescent="0.3"/>
    <row r="137" spans="1:14" ht="32.1" customHeight="1" x14ac:dyDescent="0.3"/>
    <row r="138" spans="1:14" ht="32.1" customHeight="1" x14ac:dyDescent="0.3"/>
    <row r="139" spans="1:14" ht="32.1" customHeight="1" x14ac:dyDescent="0.3"/>
    <row r="140" spans="1:14" ht="32.1" customHeight="1" x14ac:dyDescent="0.3"/>
    <row r="141" spans="1:14" ht="32.1" customHeight="1" x14ac:dyDescent="0.3"/>
    <row r="142" spans="1:14" ht="32.1" customHeight="1" x14ac:dyDescent="0.3"/>
    <row r="143" spans="1:14" ht="32.1" customHeight="1" x14ac:dyDescent="0.3"/>
    <row r="144" spans="1:14" ht="32.1" customHeight="1" x14ac:dyDescent="0.3"/>
    <row r="145" ht="32.1" customHeight="1" x14ac:dyDescent="0.3"/>
  </sheetData>
  <mergeCells count="62">
    <mergeCell ref="M5:M28"/>
    <mergeCell ref="M61:M84"/>
    <mergeCell ref="M89:M112"/>
    <mergeCell ref="M33:M56"/>
    <mergeCell ref="K89:K112"/>
    <mergeCell ref="L89:L112"/>
    <mergeCell ref="K5:K28"/>
    <mergeCell ref="L5:L28"/>
    <mergeCell ref="L61:L84"/>
    <mergeCell ref="K61:K84"/>
    <mergeCell ref="M57:M60"/>
    <mergeCell ref="K85:K88"/>
    <mergeCell ref="L85:L88"/>
    <mergeCell ref="M85:M88"/>
    <mergeCell ref="L33:L56"/>
    <mergeCell ref="K33:K56"/>
    <mergeCell ref="F86:G86"/>
    <mergeCell ref="H86:I86"/>
    <mergeCell ref="J86:J88"/>
    <mergeCell ref="D30:D31"/>
    <mergeCell ref="E30:E31"/>
    <mergeCell ref="H58:I58"/>
    <mergeCell ref="J58:J60"/>
    <mergeCell ref="M29:M32"/>
    <mergeCell ref="D58:D59"/>
    <mergeCell ref="E58:E59"/>
    <mergeCell ref="D86:D87"/>
    <mergeCell ref="E86:E87"/>
    <mergeCell ref="F85:J85"/>
    <mergeCell ref="F29:J29"/>
    <mergeCell ref="K29:K32"/>
    <mergeCell ref="L29:L32"/>
    <mergeCell ref="F57:J57"/>
    <mergeCell ref="K57:K60"/>
    <mergeCell ref="L57:L60"/>
    <mergeCell ref="F30:G30"/>
    <mergeCell ref="H30:I30"/>
    <mergeCell ref="J30:J32"/>
    <mergeCell ref="F58:G58"/>
    <mergeCell ref="B121:B132"/>
    <mergeCell ref="B33:B56"/>
    <mergeCell ref="B5:B28"/>
    <mergeCell ref="B61:B84"/>
    <mergeCell ref="B89:B112"/>
    <mergeCell ref="B113:B120"/>
    <mergeCell ref="A29:C29"/>
    <mergeCell ref="A86:C87"/>
    <mergeCell ref="A58:C59"/>
    <mergeCell ref="A57:C57"/>
    <mergeCell ref="A30:C31"/>
    <mergeCell ref="A85:C85"/>
    <mergeCell ref="M1:M4"/>
    <mergeCell ref="F2:G2"/>
    <mergeCell ref="H2:I2"/>
    <mergeCell ref="J2:J4"/>
    <mergeCell ref="A1:C1"/>
    <mergeCell ref="F1:J1"/>
    <mergeCell ref="K1:K4"/>
    <mergeCell ref="L1:L4"/>
    <mergeCell ref="A2:C3"/>
    <mergeCell ref="D2:D3"/>
    <mergeCell ref="E2:E3"/>
  </mergeCells>
  <phoneticPr fontId="1" type="noConversion"/>
  <pageMargins left="0.25" right="0.25" top="0.75" bottom="0.75" header="0.3" footer="0.3"/>
  <pageSetup paperSize="9" scale="55" fitToHeight="0" orientation="landscape" r:id="rId1"/>
  <rowBreaks count="4" manualBreakCount="4">
    <brk id="28" max="12" man="1"/>
    <brk id="56" max="12" man="1"/>
    <brk id="84" max="12" man="1"/>
    <brk id="112" max="1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4"/>
  <sheetViews>
    <sheetView view="pageBreakPreview" zoomScale="60" zoomScaleNormal="100" workbookViewId="0">
      <pane ySplit="3" topLeftCell="A4" activePane="bottomLeft" state="frozen"/>
      <selection pane="bottomLeft" activeCell="J9" sqref="J9"/>
    </sheetView>
  </sheetViews>
  <sheetFormatPr defaultRowHeight="17.25" x14ac:dyDescent="0.3"/>
  <cols>
    <col min="1" max="1" width="6" style="11" customWidth="1"/>
    <col min="2" max="2" width="13.75" style="11" customWidth="1"/>
    <col min="3" max="3" width="15.75" style="11" customWidth="1"/>
    <col min="4" max="4" width="62.75" style="13" customWidth="1"/>
    <col min="5" max="5" width="19.125" style="11" customWidth="1"/>
    <col min="6" max="6" width="11.25" bestFit="1" customWidth="1"/>
    <col min="7" max="7" width="8" bestFit="1" customWidth="1"/>
    <col min="8" max="8" width="11.25" bestFit="1" customWidth="1"/>
    <col min="9" max="9" width="8" bestFit="1" customWidth="1"/>
    <col min="10" max="10" width="20" customWidth="1"/>
    <col min="11" max="11" width="26.75" style="1" customWidth="1"/>
    <col min="12" max="12" width="16.625" style="1" bestFit="1" customWidth="1"/>
    <col min="13" max="13" width="9" style="1"/>
  </cols>
  <sheetData>
    <row r="1" spans="1:14" ht="32.1" customHeight="1" x14ac:dyDescent="0.3">
      <c r="A1" s="421" t="s">
        <v>8</v>
      </c>
      <c r="B1" s="422"/>
      <c r="C1" s="423"/>
      <c r="D1" s="5" t="s">
        <v>11</v>
      </c>
      <c r="E1" s="6" t="s">
        <v>12</v>
      </c>
      <c r="F1" s="424" t="s">
        <v>13</v>
      </c>
      <c r="G1" s="415"/>
      <c r="H1" s="415"/>
      <c r="I1" s="415"/>
      <c r="J1" s="415"/>
      <c r="K1" s="415" t="s">
        <v>10</v>
      </c>
      <c r="L1" s="414" t="s">
        <v>32</v>
      </c>
      <c r="M1" s="414" t="s">
        <v>33</v>
      </c>
      <c r="N1" s="72">
        <f>AVERAGE(강원DD!N1,'(구)춘천'!N1,'(신)춘천'!N1,북춘천!N1,남춘천!N1,서홍천!N1,열병합!N1,인제!N1,양구!N1,철원!N1,화천!N1,화천HP!N1,춘천HP!N1)</f>
        <v>0.41608387957072163</v>
      </c>
    </row>
    <row r="2" spans="1:14" ht="32.1" customHeight="1" thickBot="1" x14ac:dyDescent="0.35">
      <c r="A2" s="416" t="s">
        <v>9</v>
      </c>
      <c r="B2" s="417"/>
      <c r="C2" s="418"/>
      <c r="D2" s="7" t="s">
        <v>345</v>
      </c>
      <c r="E2" s="8" t="s">
        <v>166</v>
      </c>
      <c r="F2" s="419" t="s">
        <v>5</v>
      </c>
      <c r="G2" s="420"/>
      <c r="H2" s="420" t="s">
        <v>7</v>
      </c>
      <c r="I2" s="420"/>
      <c r="J2" s="415" t="s">
        <v>3</v>
      </c>
      <c r="K2" s="415"/>
      <c r="L2" s="415"/>
      <c r="M2" s="415"/>
    </row>
    <row r="3" spans="1:14" ht="32.1" customHeight="1" x14ac:dyDescent="0.3">
      <c r="A3" s="9" t="s">
        <v>0</v>
      </c>
      <c r="B3" s="9" t="s">
        <v>1</v>
      </c>
      <c r="C3" s="9" t="s">
        <v>23</v>
      </c>
      <c r="D3" s="9" t="s">
        <v>2</v>
      </c>
      <c r="E3" s="9" t="s">
        <v>3</v>
      </c>
      <c r="F3" s="2" t="s">
        <v>4</v>
      </c>
      <c r="G3" s="3" t="s">
        <v>6</v>
      </c>
      <c r="H3" s="3" t="s">
        <v>4</v>
      </c>
      <c r="I3" s="3" t="s">
        <v>6</v>
      </c>
      <c r="J3" s="415"/>
      <c r="K3" s="415"/>
      <c r="L3" s="415"/>
      <c r="M3" s="415"/>
    </row>
    <row r="4" spans="1:14" ht="30.95" customHeight="1" x14ac:dyDescent="0.3">
      <c r="A4" s="30">
        <v>1</v>
      </c>
      <c r="B4" s="413" t="s">
        <v>346</v>
      </c>
      <c r="C4" s="30" t="s">
        <v>356</v>
      </c>
      <c r="D4" s="12" t="s">
        <v>348</v>
      </c>
      <c r="E4" s="30"/>
      <c r="F4" s="4"/>
      <c r="G4" s="4"/>
      <c r="H4" s="4"/>
      <c r="I4" s="4"/>
      <c r="J4" s="4"/>
      <c r="K4" s="425" t="s">
        <v>466</v>
      </c>
      <c r="L4" s="354" t="s">
        <v>468</v>
      </c>
      <c r="M4" s="31"/>
    </row>
    <row r="5" spans="1:14" ht="30.95" customHeight="1" x14ac:dyDescent="0.3">
      <c r="A5" s="30">
        <v>2</v>
      </c>
      <c r="B5" s="413"/>
      <c r="C5" s="30" t="s">
        <v>356</v>
      </c>
      <c r="D5" s="12" t="s">
        <v>349</v>
      </c>
      <c r="E5" s="30"/>
      <c r="F5" s="4"/>
      <c r="G5" s="4"/>
      <c r="H5" s="4"/>
      <c r="I5" s="4"/>
      <c r="J5" s="4"/>
      <c r="K5" s="425"/>
      <c r="L5" s="355"/>
      <c r="M5" s="31"/>
    </row>
    <row r="6" spans="1:14" ht="30.95" customHeight="1" x14ac:dyDescent="0.3">
      <c r="A6" s="30">
        <v>3</v>
      </c>
      <c r="B6" s="413"/>
      <c r="C6" s="30" t="s">
        <v>356</v>
      </c>
      <c r="D6" s="12" t="s">
        <v>350</v>
      </c>
      <c r="E6" s="30"/>
      <c r="F6" s="4"/>
      <c r="G6" s="4"/>
      <c r="H6" s="4"/>
      <c r="I6" s="4"/>
      <c r="J6" s="4"/>
      <c r="K6" s="425"/>
      <c r="L6" s="355"/>
      <c r="M6" s="31"/>
    </row>
    <row r="7" spans="1:14" ht="30.95" customHeight="1" x14ac:dyDescent="0.3">
      <c r="A7" s="30">
        <v>4</v>
      </c>
      <c r="B7" s="413"/>
      <c r="C7" s="30" t="s">
        <v>356</v>
      </c>
      <c r="D7" s="12" t="s">
        <v>351</v>
      </c>
      <c r="E7" s="30"/>
      <c r="F7" s="4"/>
      <c r="G7" s="4"/>
      <c r="H7" s="4"/>
      <c r="I7" s="4"/>
      <c r="J7" s="4"/>
      <c r="K7" s="425"/>
      <c r="L7" s="363"/>
      <c r="M7" s="31"/>
    </row>
    <row r="8" spans="1:14" ht="30.95" customHeight="1" x14ac:dyDescent="0.3">
      <c r="A8" s="30">
        <v>5</v>
      </c>
      <c r="B8" s="413" t="s">
        <v>347</v>
      </c>
      <c r="C8" s="30" t="s">
        <v>356</v>
      </c>
      <c r="D8" s="12" t="s">
        <v>352</v>
      </c>
      <c r="E8" s="30"/>
      <c r="F8" s="4"/>
      <c r="G8" s="4"/>
      <c r="H8" s="4"/>
      <c r="I8" s="4"/>
      <c r="J8" s="4"/>
      <c r="K8" s="420" t="s">
        <v>467</v>
      </c>
      <c r="L8" s="354" t="s">
        <v>469</v>
      </c>
      <c r="M8" s="31"/>
    </row>
    <row r="9" spans="1:14" ht="30.95" customHeight="1" x14ac:dyDescent="0.3">
      <c r="A9" s="30">
        <v>6</v>
      </c>
      <c r="B9" s="413"/>
      <c r="C9" s="30" t="s">
        <v>356</v>
      </c>
      <c r="D9" s="12" t="s">
        <v>353</v>
      </c>
      <c r="E9" s="30"/>
      <c r="F9" s="4"/>
      <c r="G9" s="4"/>
      <c r="H9" s="4"/>
      <c r="I9" s="4"/>
      <c r="J9" s="4"/>
      <c r="K9" s="420"/>
      <c r="L9" s="355"/>
      <c r="M9" s="31"/>
    </row>
    <row r="10" spans="1:14" ht="30.95" customHeight="1" x14ac:dyDescent="0.3">
      <c r="A10" s="30">
        <v>7</v>
      </c>
      <c r="B10" s="413"/>
      <c r="C10" s="30" t="s">
        <v>356</v>
      </c>
      <c r="D10" s="12" t="s">
        <v>354</v>
      </c>
      <c r="E10" s="30"/>
      <c r="F10" s="4"/>
      <c r="G10" s="4"/>
      <c r="H10" s="4"/>
      <c r="I10" s="4"/>
      <c r="J10" s="4"/>
      <c r="K10" s="420"/>
      <c r="L10" s="355"/>
      <c r="M10" s="31"/>
    </row>
    <row r="11" spans="1:14" ht="30.95" customHeight="1" x14ac:dyDescent="0.3">
      <c r="A11" s="30">
        <v>8</v>
      </c>
      <c r="B11" s="413"/>
      <c r="C11" s="30" t="s">
        <v>356</v>
      </c>
      <c r="D11" s="12" t="s">
        <v>355</v>
      </c>
      <c r="E11" s="30"/>
      <c r="F11" s="4"/>
      <c r="G11" s="4"/>
      <c r="H11" s="4"/>
      <c r="I11" s="4"/>
      <c r="J11" s="4"/>
      <c r="K11" s="420"/>
      <c r="L11" s="363"/>
      <c r="M11" s="31"/>
    </row>
    <row r="12" spans="1:14" ht="32.1" customHeight="1" x14ac:dyDescent="0.3"/>
    <row r="13" spans="1:14" ht="32.1" customHeight="1" x14ac:dyDescent="0.3"/>
    <row r="14" spans="1:14" ht="32.1" customHeight="1" x14ac:dyDescent="0.3"/>
    <row r="15" spans="1:14" ht="32.1" customHeight="1" x14ac:dyDescent="0.3"/>
    <row r="16" spans="1:14" ht="32.1" customHeight="1" x14ac:dyDescent="0.3"/>
    <row r="17" spans="4:13" ht="32.1" customHeight="1" x14ac:dyDescent="0.3"/>
    <row r="18" spans="4:13" ht="32.1" customHeight="1" x14ac:dyDescent="0.3"/>
    <row r="19" spans="4:13" ht="32.1" customHeight="1" x14ac:dyDescent="0.3"/>
    <row r="20" spans="4:13" ht="32.1" customHeight="1" x14ac:dyDescent="0.3"/>
    <row r="21" spans="4:13" ht="32.1" customHeight="1" x14ac:dyDescent="0.3"/>
    <row r="22" spans="4:13" ht="32.1" customHeight="1" x14ac:dyDescent="0.3"/>
    <row r="23" spans="4:13" ht="32.1" customHeight="1" x14ac:dyDescent="0.3"/>
    <row r="24" spans="4:13" ht="32.1" customHeight="1" x14ac:dyDescent="0.3"/>
    <row r="25" spans="4:13" s="11" customFormat="1" ht="32.1" customHeight="1" x14ac:dyDescent="0.3">
      <c r="D25" s="13"/>
      <c r="F25"/>
      <c r="G25"/>
      <c r="H25"/>
      <c r="I25"/>
      <c r="J25"/>
      <c r="K25" s="1"/>
      <c r="L25" s="1"/>
      <c r="M25" s="1"/>
    </row>
    <row r="26" spans="4:13" s="11" customFormat="1" ht="32.1" customHeight="1" x14ac:dyDescent="0.3">
      <c r="D26" s="13"/>
      <c r="F26"/>
      <c r="G26"/>
      <c r="H26"/>
      <c r="I26"/>
      <c r="J26"/>
      <c r="K26" s="1"/>
      <c r="L26" s="1"/>
      <c r="M26" s="1"/>
    </row>
    <row r="27" spans="4:13" s="11" customFormat="1" ht="32.1" customHeight="1" x14ac:dyDescent="0.3">
      <c r="D27" s="13"/>
      <c r="F27"/>
      <c r="G27"/>
      <c r="H27"/>
      <c r="I27"/>
      <c r="J27"/>
      <c r="K27" s="1"/>
      <c r="L27" s="1"/>
      <c r="M27" s="1"/>
    </row>
    <row r="28" spans="4:13" s="11" customFormat="1" ht="32.1" customHeight="1" x14ac:dyDescent="0.3">
      <c r="D28" s="13"/>
      <c r="F28"/>
      <c r="G28"/>
      <c r="H28"/>
      <c r="I28"/>
      <c r="J28"/>
      <c r="K28" s="1"/>
      <c r="L28" s="1"/>
      <c r="M28" s="1"/>
    </row>
    <row r="29" spans="4:13" s="11" customFormat="1" ht="32.1" customHeight="1" x14ac:dyDescent="0.3">
      <c r="D29" s="13"/>
      <c r="F29"/>
      <c r="G29"/>
      <c r="H29"/>
      <c r="I29"/>
      <c r="J29"/>
      <c r="K29" s="1"/>
      <c r="L29" s="1"/>
      <c r="M29" s="1"/>
    </row>
    <row r="30" spans="4:13" s="11" customFormat="1" ht="32.1" customHeight="1" x14ac:dyDescent="0.3">
      <c r="D30" s="13"/>
      <c r="F30"/>
      <c r="G30"/>
      <c r="H30"/>
      <c r="I30"/>
      <c r="J30"/>
      <c r="K30" s="1"/>
      <c r="L30" s="1"/>
      <c r="M30" s="1"/>
    </row>
    <row r="31" spans="4:13" s="11" customFormat="1" ht="32.1" customHeight="1" x14ac:dyDescent="0.3">
      <c r="D31" s="13"/>
      <c r="F31"/>
      <c r="G31"/>
      <c r="H31"/>
      <c r="I31"/>
      <c r="J31"/>
      <c r="K31" s="1"/>
      <c r="L31" s="1"/>
      <c r="M31" s="1"/>
    </row>
    <row r="32" spans="4:13" s="11" customFormat="1" ht="32.1" customHeight="1" x14ac:dyDescent="0.3">
      <c r="D32" s="13"/>
      <c r="F32"/>
      <c r="G32"/>
      <c r="H32"/>
      <c r="I32"/>
      <c r="J32"/>
      <c r="K32" s="1"/>
      <c r="L32" s="1"/>
      <c r="M32" s="1"/>
    </row>
    <row r="33" spans="4:13" s="11" customFormat="1" ht="32.1" customHeight="1" x14ac:dyDescent="0.3">
      <c r="D33" s="13"/>
      <c r="F33"/>
      <c r="G33"/>
      <c r="H33"/>
      <c r="I33"/>
      <c r="J33"/>
      <c r="K33" s="1"/>
      <c r="L33" s="1"/>
      <c r="M33" s="1"/>
    </row>
    <row r="34" spans="4:13" s="11" customFormat="1" ht="32.1" customHeight="1" x14ac:dyDescent="0.3">
      <c r="D34" s="13"/>
      <c r="F34"/>
      <c r="G34"/>
      <c r="H34"/>
      <c r="I34"/>
      <c r="J34"/>
      <c r="K34" s="1"/>
      <c r="L34" s="1"/>
      <c r="M34" s="1"/>
    </row>
    <row r="35" spans="4:13" s="11" customFormat="1" ht="32.1" customHeight="1" x14ac:dyDescent="0.3">
      <c r="D35" s="13"/>
      <c r="F35"/>
      <c r="G35"/>
      <c r="H35"/>
      <c r="I35"/>
      <c r="J35"/>
      <c r="K35" s="1"/>
      <c r="L35" s="1"/>
      <c r="M35" s="1"/>
    </row>
    <row r="36" spans="4:13" s="11" customFormat="1" ht="32.1" customHeight="1" x14ac:dyDescent="0.3">
      <c r="D36" s="13"/>
      <c r="F36"/>
      <c r="G36"/>
      <c r="H36"/>
      <c r="I36"/>
      <c r="J36"/>
      <c r="K36" s="1"/>
      <c r="L36" s="1"/>
      <c r="M36" s="1"/>
    </row>
    <row r="37" spans="4:13" s="11" customFormat="1" ht="32.1" customHeight="1" x14ac:dyDescent="0.3">
      <c r="D37" s="13"/>
      <c r="F37"/>
      <c r="G37"/>
      <c r="H37"/>
      <c r="I37"/>
      <c r="J37"/>
      <c r="K37" s="1"/>
      <c r="L37" s="1"/>
      <c r="M37" s="1"/>
    </row>
    <row r="38" spans="4:13" s="11" customFormat="1" ht="32.1" customHeight="1" x14ac:dyDescent="0.3">
      <c r="D38" s="13"/>
      <c r="F38"/>
      <c r="G38"/>
      <c r="H38"/>
      <c r="I38"/>
      <c r="J38"/>
      <c r="K38" s="1"/>
      <c r="L38" s="1"/>
      <c r="M38" s="1"/>
    </row>
    <row r="39" spans="4:13" s="11" customFormat="1" ht="32.1" customHeight="1" x14ac:dyDescent="0.3">
      <c r="D39" s="13"/>
      <c r="F39"/>
      <c r="G39"/>
      <c r="H39"/>
      <c r="I39"/>
      <c r="J39"/>
      <c r="K39" s="1"/>
      <c r="L39" s="1"/>
      <c r="M39" s="1"/>
    </row>
    <row r="40" spans="4:13" s="11" customFormat="1" ht="32.1" customHeight="1" x14ac:dyDescent="0.3">
      <c r="D40" s="13"/>
      <c r="F40"/>
      <c r="G40"/>
      <c r="H40"/>
      <c r="I40"/>
      <c r="J40"/>
      <c r="K40" s="1"/>
      <c r="L40" s="1"/>
      <c r="M40" s="1"/>
    </row>
    <row r="41" spans="4:13" s="11" customFormat="1" ht="32.1" customHeight="1" x14ac:dyDescent="0.3">
      <c r="D41" s="13"/>
      <c r="F41"/>
      <c r="G41"/>
      <c r="H41"/>
      <c r="I41"/>
      <c r="J41"/>
      <c r="K41" s="1"/>
      <c r="L41" s="1"/>
      <c r="M41" s="1"/>
    </row>
    <row r="42" spans="4:13" s="11" customFormat="1" ht="32.1" customHeight="1" x14ac:dyDescent="0.3">
      <c r="D42" s="13"/>
      <c r="F42"/>
      <c r="G42"/>
      <c r="H42"/>
      <c r="I42"/>
      <c r="J42"/>
      <c r="K42" s="1"/>
      <c r="L42" s="1"/>
      <c r="M42" s="1"/>
    </row>
    <row r="43" spans="4:13" s="11" customFormat="1" ht="32.1" customHeight="1" x14ac:dyDescent="0.3">
      <c r="D43" s="13"/>
      <c r="F43"/>
      <c r="G43"/>
      <c r="H43"/>
      <c r="I43"/>
      <c r="J43"/>
      <c r="K43" s="1"/>
      <c r="L43" s="1"/>
      <c r="M43" s="1"/>
    </row>
    <row r="44" spans="4:13" s="11" customFormat="1" ht="32.1" customHeight="1" x14ac:dyDescent="0.3">
      <c r="D44" s="13"/>
      <c r="F44"/>
      <c r="G44"/>
      <c r="H44"/>
      <c r="I44"/>
      <c r="J44"/>
      <c r="K44" s="1"/>
      <c r="L44" s="1"/>
      <c r="M44" s="1"/>
    </row>
    <row r="45" spans="4:13" s="11" customFormat="1" ht="32.1" customHeight="1" x14ac:dyDescent="0.3">
      <c r="D45" s="13"/>
      <c r="F45"/>
      <c r="G45"/>
      <c r="H45"/>
      <c r="I45"/>
      <c r="J45"/>
      <c r="K45" s="1"/>
      <c r="L45" s="1"/>
      <c r="M45" s="1"/>
    </row>
    <row r="46" spans="4:13" s="11" customFormat="1" ht="32.1" customHeight="1" x14ac:dyDescent="0.3">
      <c r="D46" s="13"/>
      <c r="F46"/>
      <c r="G46"/>
      <c r="H46"/>
      <c r="I46"/>
      <c r="J46"/>
      <c r="K46" s="1"/>
      <c r="L46" s="1"/>
      <c r="M46" s="1"/>
    </row>
    <row r="47" spans="4:13" s="11" customFormat="1" ht="32.1" customHeight="1" x14ac:dyDescent="0.3">
      <c r="D47" s="13"/>
      <c r="F47"/>
      <c r="G47"/>
      <c r="H47"/>
      <c r="I47"/>
      <c r="J47"/>
      <c r="K47" s="1"/>
      <c r="L47" s="1"/>
      <c r="M47" s="1"/>
    </row>
    <row r="48" spans="4:13" s="11" customFormat="1" ht="32.1" customHeight="1" x14ac:dyDescent="0.3">
      <c r="D48" s="13"/>
      <c r="F48"/>
      <c r="G48"/>
      <c r="H48"/>
      <c r="I48"/>
      <c r="J48"/>
      <c r="K48" s="1"/>
      <c r="L48" s="1"/>
      <c r="M48" s="1"/>
    </row>
    <row r="49" spans="4:13" s="11" customFormat="1" ht="32.1" customHeight="1" x14ac:dyDescent="0.3">
      <c r="D49" s="13"/>
      <c r="F49"/>
      <c r="G49"/>
      <c r="H49"/>
      <c r="I49"/>
      <c r="J49"/>
      <c r="K49" s="1"/>
      <c r="L49" s="1"/>
      <c r="M49" s="1"/>
    </row>
    <row r="50" spans="4:13" s="11" customFormat="1" ht="32.1" customHeight="1" x14ac:dyDescent="0.3">
      <c r="D50" s="13"/>
      <c r="F50"/>
      <c r="G50"/>
      <c r="H50"/>
      <c r="I50"/>
      <c r="J50"/>
      <c r="K50" s="1"/>
      <c r="L50" s="1"/>
      <c r="M50" s="1"/>
    </row>
    <row r="51" spans="4:13" s="11" customFormat="1" ht="32.1" customHeight="1" x14ac:dyDescent="0.3">
      <c r="D51" s="13"/>
      <c r="F51"/>
      <c r="G51"/>
      <c r="H51"/>
      <c r="I51"/>
      <c r="J51"/>
      <c r="K51" s="1"/>
      <c r="L51" s="1"/>
      <c r="M51" s="1"/>
    </row>
    <row r="52" spans="4:13" s="11" customFormat="1" ht="32.1" customHeight="1" x14ac:dyDescent="0.3">
      <c r="D52" s="13"/>
      <c r="F52"/>
      <c r="G52"/>
      <c r="H52"/>
      <c r="I52"/>
      <c r="J52"/>
      <c r="K52" s="1"/>
      <c r="L52" s="1"/>
      <c r="M52" s="1"/>
    </row>
    <row r="53" spans="4:13" s="11" customFormat="1" ht="32.1" customHeight="1" x14ac:dyDescent="0.3">
      <c r="D53" s="13"/>
      <c r="F53"/>
      <c r="G53"/>
      <c r="H53"/>
      <c r="I53"/>
      <c r="J53"/>
      <c r="K53" s="1"/>
      <c r="L53" s="1"/>
      <c r="M53" s="1"/>
    </row>
    <row r="54" spans="4:13" s="11" customFormat="1" ht="32.1" customHeight="1" x14ac:dyDescent="0.3">
      <c r="D54" s="13"/>
      <c r="F54"/>
      <c r="G54"/>
      <c r="H54"/>
      <c r="I54"/>
      <c r="J54"/>
      <c r="K54" s="1"/>
      <c r="L54" s="1"/>
      <c r="M54" s="1"/>
    </row>
    <row r="55" spans="4:13" s="11" customFormat="1" ht="32.1" customHeight="1" x14ac:dyDescent="0.3">
      <c r="D55" s="13"/>
      <c r="F55"/>
      <c r="G55"/>
      <c r="H55"/>
      <c r="I55"/>
      <c r="J55"/>
      <c r="K55" s="1"/>
      <c r="L55" s="1"/>
      <c r="M55" s="1"/>
    </row>
    <row r="56" spans="4:13" s="11" customFormat="1" ht="32.1" customHeight="1" x14ac:dyDescent="0.3">
      <c r="D56" s="13"/>
      <c r="F56"/>
      <c r="G56"/>
      <c r="H56"/>
      <c r="I56"/>
      <c r="J56"/>
      <c r="K56" s="1"/>
      <c r="L56" s="1"/>
      <c r="M56" s="1"/>
    </row>
    <row r="57" spans="4:13" s="11" customFormat="1" ht="32.1" customHeight="1" x14ac:dyDescent="0.3">
      <c r="D57" s="13"/>
      <c r="F57"/>
      <c r="G57"/>
      <c r="H57"/>
      <c r="I57"/>
      <c r="J57"/>
      <c r="K57" s="1"/>
      <c r="L57" s="1"/>
      <c r="M57" s="1"/>
    </row>
    <row r="58" spans="4:13" s="11" customFormat="1" ht="32.1" customHeight="1" x14ac:dyDescent="0.3">
      <c r="D58" s="13"/>
      <c r="F58"/>
      <c r="G58"/>
      <c r="H58"/>
      <c r="I58"/>
      <c r="J58"/>
      <c r="K58" s="1"/>
      <c r="L58" s="1"/>
      <c r="M58" s="1"/>
    </row>
    <row r="59" spans="4:13" s="11" customFormat="1" ht="32.1" customHeight="1" x14ac:dyDescent="0.3">
      <c r="D59" s="13"/>
      <c r="F59"/>
      <c r="G59"/>
      <c r="H59"/>
      <c r="I59"/>
      <c r="J59"/>
      <c r="K59" s="1"/>
      <c r="L59" s="1"/>
      <c r="M59" s="1"/>
    </row>
    <row r="60" spans="4:13" s="11" customFormat="1" ht="32.1" customHeight="1" x14ac:dyDescent="0.3">
      <c r="D60" s="13"/>
      <c r="F60"/>
      <c r="G60"/>
      <c r="H60"/>
      <c r="I60"/>
      <c r="J60"/>
      <c r="K60" s="1"/>
      <c r="L60" s="1"/>
      <c r="M60" s="1"/>
    </row>
    <row r="61" spans="4:13" s="11" customFormat="1" ht="32.1" customHeight="1" x14ac:dyDescent="0.3">
      <c r="D61" s="13"/>
      <c r="F61"/>
      <c r="G61"/>
      <c r="H61"/>
      <c r="I61"/>
      <c r="J61"/>
      <c r="K61" s="1"/>
      <c r="L61" s="1"/>
      <c r="M61" s="1"/>
    </row>
    <row r="62" spans="4:13" s="11" customFormat="1" ht="32.1" customHeight="1" x14ac:dyDescent="0.3">
      <c r="D62" s="13"/>
      <c r="F62"/>
      <c r="G62"/>
      <c r="H62"/>
      <c r="I62"/>
      <c r="J62"/>
      <c r="K62" s="1"/>
      <c r="L62" s="1"/>
      <c r="M62" s="1"/>
    </row>
    <row r="63" spans="4:13" s="11" customFormat="1" ht="32.1" customHeight="1" x14ac:dyDescent="0.3">
      <c r="D63" s="13"/>
      <c r="F63"/>
      <c r="G63"/>
      <c r="H63"/>
      <c r="I63"/>
      <c r="J63"/>
      <c r="K63" s="1"/>
      <c r="L63" s="1"/>
      <c r="M63" s="1"/>
    </row>
    <row r="64" spans="4:13" s="11" customFormat="1" ht="32.1" customHeight="1" x14ac:dyDescent="0.3">
      <c r="D64" s="13"/>
      <c r="F64"/>
      <c r="G64"/>
      <c r="H64"/>
      <c r="I64"/>
      <c r="J64"/>
      <c r="K64" s="1"/>
      <c r="L64" s="1"/>
      <c r="M64" s="1"/>
    </row>
    <row r="65" spans="4:13" s="11" customFormat="1" ht="32.1" customHeight="1" x14ac:dyDescent="0.3">
      <c r="D65" s="13"/>
      <c r="F65"/>
      <c r="G65"/>
      <c r="H65"/>
      <c r="I65"/>
      <c r="J65"/>
      <c r="K65" s="1"/>
      <c r="L65" s="1"/>
      <c r="M65" s="1"/>
    </row>
    <row r="66" spans="4:13" s="11" customFormat="1" ht="32.1" customHeight="1" x14ac:dyDescent="0.3">
      <c r="D66" s="13"/>
      <c r="F66"/>
      <c r="G66"/>
      <c r="H66"/>
      <c r="I66"/>
      <c r="J66"/>
      <c r="K66" s="1"/>
      <c r="L66" s="1"/>
      <c r="M66" s="1"/>
    </row>
    <row r="67" spans="4:13" s="11" customFormat="1" ht="32.1" customHeight="1" x14ac:dyDescent="0.3">
      <c r="D67" s="13"/>
      <c r="F67"/>
      <c r="G67"/>
      <c r="H67"/>
      <c r="I67"/>
      <c r="J67"/>
      <c r="K67" s="1"/>
      <c r="L67" s="1"/>
      <c r="M67" s="1"/>
    </row>
    <row r="68" spans="4:13" s="11" customFormat="1" ht="32.1" customHeight="1" x14ac:dyDescent="0.3">
      <c r="D68" s="13"/>
      <c r="F68"/>
      <c r="G68"/>
      <c r="H68"/>
      <c r="I68"/>
      <c r="J68"/>
      <c r="K68" s="1"/>
      <c r="L68" s="1"/>
      <c r="M68" s="1"/>
    </row>
    <row r="69" spans="4:13" s="11" customFormat="1" ht="32.1" customHeight="1" x14ac:dyDescent="0.3">
      <c r="D69" s="13"/>
      <c r="F69"/>
      <c r="G69"/>
      <c r="H69"/>
      <c r="I69"/>
      <c r="J69"/>
      <c r="K69" s="1"/>
      <c r="L69" s="1"/>
      <c r="M69" s="1"/>
    </row>
    <row r="70" spans="4:13" s="11" customFormat="1" ht="32.1" customHeight="1" x14ac:dyDescent="0.3">
      <c r="D70" s="13"/>
      <c r="F70"/>
      <c r="G70"/>
      <c r="H70"/>
      <c r="I70"/>
      <c r="J70"/>
      <c r="K70" s="1"/>
      <c r="L70" s="1"/>
      <c r="M70" s="1"/>
    </row>
    <row r="71" spans="4:13" s="11" customFormat="1" ht="32.1" customHeight="1" x14ac:dyDescent="0.3">
      <c r="D71" s="13"/>
      <c r="F71"/>
      <c r="G71"/>
      <c r="H71"/>
      <c r="I71"/>
      <c r="J71"/>
      <c r="K71" s="1"/>
      <c r="L71" s="1"/>
      <c r="M71" s="1"/>
    </row>
    <row r="72" spans="4:13" s="11" customFormat="1" ht="32.1" customHeight="1" x14ac:dyDescent="0.3">
      <c r="D72" s="13"/>
      <c r="F72"/>
      <c r="G72"/>
      <c r="H72"/>
      <c r="I72"/>
      <c r="J72"/>
      <c r="K72" s="1"/>
      <c r="L72" s="1"/>
      <c r="M72" s="1"/>
    </row>
    <row r="73" spans="4:13" s="11" customFormat="1" ht="32.1" customHeight="1" x14ac:dyDescent="0.3">
      <c r="D73" s="13"/>
      <c r="F73"/>
      <c r="G73"/>
      <c r="H73"/>
      <c r="I73"/>
      <c r="J73"/>
      <c r="K73" s="1"/>
      <c r="L73" s="1"/>
      <c r="M73" s="1"/>
    </row>
    <row r="74" spans="4:13" s="11" customFormat="1" ht="32.1" customHeight="1" x14ac:dyDescent="0.3">
      <c r="D74" s="13"/>
      <c r="F74"/>
      <c r="G74"/>
      <c r="H74"/>
      <c r="I74"/>
      <c r="J74"/>
      <c r="K74" s="1"/>
      <c r="L74" s="1"/>
      <c r="M74" s="1"/>
    </row>
    <row r="75" spans="4:13" s="11" customFormat="1" ht="32.1" customHeight="1" x14ac:dyDescent="0.3">
      <c r="D75" s="13"/>
      <c r="F75"/>
      <c r="G75"/>
      <c r="H75"/>
      <c r="I75"/>
      <c r="J75"/>
      <c r="K75" s="1"/>
      <c r="L75" s="1"/>
      <c r="M75" s="1"/>
    </row>
    <row r="76" spans="4:13" s="11" customFormat="1" ht="32.1" customHeight="1" x14ac:dyDescent="0.3">
      <c r="D76" s="13"/>
      <c r="F76"/>
      <c r="G76"/>
      <c r="H76"/>
      <c r="I76"/>
      <c r="J76"/>
      <c r="K76" s="1"/>
      <c r="L76" s="1"/>
      <c r="M76" s="1"/>
    </row>
    <row r="77" spans="4:13" s="11" customFormat="1" ht="32.1" customHeight="1" x14ac:dyDescent="0.3">
      <c r="D77" s="13"/>
      <c r="F77"/>
      <c r="G77"/>
      <c r="H77"/>
      <c r="I77"/>
      <c r="J77"/>
      <c r="K77" s="1"/>
      <c r="L77" s="1"/>
      <c r="M77" s="1"/>
    </row>
    <row r="78" spans="4:13" s="11" customFormat="1" ht="32.1" customHeight="1" x14ac:dyDescent="0.3">
      <c r="D78" s="13"/>
      <c r="F78"/>
      <c r="G78"/>
      <c r="H78"/>
      <c r="I78"/>
      <c r="J78"/>
      <c r="K78" s="1"/>
      <c r="L78" s="1"/>
      <c r="M78" s="1"/>
    </row>
    <row r="79" spans="4:13" s="11" customFormat="1" ht="32.1" customHeight="1" x14ac:dyDescent="0.3">
      <c r="D79" s="13"/>
      <c r="F79"/>
      <c r="G79"/>
      <c r="H79"/>
      <c r="I79"/>
      <c r="J79"/>
      <c r="K79" s="1"/>
      <c r="L79" s="1"/>
      <c r="M79" s="1"/>
    </row>
    <row r="80" spans="4:13" s="11" customFormat="1" ht="32.1" customHeight="1" x14ac:dyDescent="0.3">
      <c r="D80" s="13"/>
      <c r="F80"/>
      <c r="G80"/>
      <c r="H80"/>
      <c r="I80"/>
      <c r="J80"/>
      <c r="K80" s="1"/>
      <c r="L80" s="1"/>
      <c r="M80" s="1"/>
    </row>
    <row r="81" spans="4:13" s="11" customFormat="1" ht="32.1" customHeight="1" x14ac:dyDescent="0.3">
      <c r="D81" s="13"/>
      <c r="F81"/>
      <c r="G81"/>
      <c r="H81"/>
      <c r="I81"/>
      <c r="J81"/>
      <c r="K81" s="1"/>
      <c r="L81" s="1"/>
      <c r="M81" s="1"/>
    </row>
    <row r="82" spans="4:13" s="11" customFormat="1" ht="32.1" customHeight="1" x14ac:dyDescent="0.3">
      <c r="D82" s="13"/>
      <c r="F82"/>
      <c r="G82"/>
      <c r="H82"/>
      <c r="I82"/>
      <c r="J82"/>
      <c r="K82" s="1"/>
      <c r="L82" s="1"/>
      <c r="M82" s="1"/>
    </row>
    <row r="83" spans="4:13" s="11" customFormat="1" ht="32.1" customHeight="1" x14ac:dyDescent="0.3">
      <c r="D83" s="13"/>
      <c r="F83"/>
      <c r="G83"/>
      <c r="H83"/>
      <c r="I83"/>
      <c r="J83"/>
      <c r="K83" s="1"/>
      <c r="L83" s="1"/>
      <c r="M83" s="1"/>
    </row>
    <row r="84" spans="4:13" s="11" customFormat="1" ht="32.1" customHeight="1" x14ac:dyDescent="0.3">
      <c r="D84" s="13"/>
      <c r="F84"/>
      <c r="G84"/>
      <c r="H84"/>
      <c r="I84"/>
      <c r="J84"/>
      <c r="K84" s="1"/>
      <c r="L84" s="1"/>
      <c r="M84" s="1"/>
    </row>
    <row r="85" spans="4:13" s="11" customFormat="1" ht="32.1" customHeight="1" x14ac:dyDescent="0.3">
      <c r="D85" s="13"/>
      <c r="F85"/>
      <c r="G85"/>
      <c r="H85"/>
      <c r="I85"/>
      <c r="J85"/>
      <c r="K85" s="1"/>
      <c r="L85" s="1"/>
      <c r="M85" s="1"/>
    </row>
    <row r="86" spans="4:13" s="11" customFormat="1" ht="32.1" customHeight="1" x14ac:dyDescent="0.3">
      <c r="D86" s="13"/>
      <c r="F86"/>
      <c r="G86"/>
      <c r="H86"/>
      <c r="I86"/>
      <c r="J86"/>
      <c r="K86" s="1"/>
      <c r="L86" s="1"/>
      <c r="M86" s="1"/>
    </row>
    <row r="87" spans="4:13" s="11" customFormat="1" ht="32.1" customHeight="1" x14ac:dyDescent="0.3">
      <c r="D87" s="13"/>
      <c r="F87"/>
      <c r="G87"/>
      <c r="H87"/>
      <c r="I87"/>
      <c r="J87"/>
      <c r="K87" s="1"/>
      <c r="L87" s="1"/>
      <c r="M87" s="1"/>
    </row>
    <row r="88" spans="4:13" s="11" customFormat="1" ht="32.1" customHeight="1" x14ac:dyDescent="0.3">
      <c r="D88" s="13"/>
      <c r="F88"/>
      <c r="G88"/>
      <c r="H88"/>
      <c r="I88"/>
      <c r="J88"/>
      <c r="K88" s="1"/>
      <c r="L88" s="1"/>
      <c r="M88" s="1"/>
    </row>
    <row r="89" spans="4:13" s="11" customFormat="1" ht="32.1" customHeight="1" x14ac:dyDescent="0.3">
      <c r="D89" s="13"/>
      <c r="F89"/>
      <c r="G89"/>
      <c r="H89"/>
      <c r="I89"/>
      <c r="J89"/>
      <c r="K89" s="1"/>
      <c r="L89" s="1"/>
      <c r="M89" s="1"/>
    </row>
    <row r="90" spans="4:13" s="11" customFormat="1" ht="32.1" customHeight="1" x14ac:dyDescent="0.3">
      <c r="D90" s="13"/>
      <c r="F90"/>
      <c r="G90"/>
      <c r="H90"/>
      <c r="I90"/>
      <c r="J90"/>
      <c r="K90" s="1"/>
      <c r="L90" s="1"/>
      <c r="M90" s="1"/>
    </row>
    <row r="91" spans="4:13" s="11" customFormat="1" ht="32.1" customHeight="1" x14ac:dyDescent="0.3">
      <c r="D91" s="13"/>
      <c r="F91"/>
      <c r="G91"/>
      <c r="H91"/>
      <c r="I91"/>
      <c r="J91"/>
      <c r="K91" s="1"/>
      <c r="L91" s="1"/>
      <c r="M91" s="1"/>
    </row>
    <row r="92" spans="4:13" s="11" customFormat="1" ht="32.1" customHeight="1" x14ac:dyDescent="0.3">
      <c r="D92" s="13"/>
      <c r="F92"/>
      <c r="G92"/>
      <c r="H92"/>
      <c r="I92"/>
      <c r="J92"/>
      <c r="K92" s="1"/>
      <c r="L92" s="1"/>
      <c r="M92" s="1"/>
    </row>
    <row r="93" spans="4:13" s="11" customFormat="1" ht="32.1" customHeight="1" x14ac:dyDescent="0.3">
      <c r="D93" s="13"/>
      <c r="F93"/>
      <c r="G93"/>
      <c r="H93"/>
      <c r="I93"/>
      <c r="J93"/>
      <c r="K93" s="1"/>
      <c r="L93" s="1"/>
      <c r="M93" s="1"/>
    </row>
    <row r="94" spans="4:13" s="11" customFormat="1" ht="32.1" customHeight="1" x14ac:dyDescent="0.3">
      <c r="D94" s="13"/>
      <c r="F94"/>
      <c r="G94"/>
      <c r="H94"/>
      <c r="I94"/>
      <c r="J94"/>
      <c r="K94" s="1"/>
      <c r="L94" s="1"/>
      <c r="M94" s="1"/>
    </row>
  </sheetData>
  <mergeCells count="15">
    <mergeCell ref="B4:B7"/>
    <mergeCell ref="B8:B11"/>
    <mergeCell ref="M1:M3"/>
    <mergeCell ref="A2:C2"/>
    <mergeCell ref="F2:G2"/>
    <mergeCell ref="H2:I2"/>
    <mergeCell ref="J2:J3"/>
    <mergeCell ref="A1:C1"/>
    <mergeCell ref="F1:J1"/>
    <mergeCell ref="K1:K3"/>
    <mergeCell ref="L1:L3"/>
    <mergeCell ref="K4:K7"/>
    <mergeCell ref="K8:K11"/>
    <mergeCell ref="L4:L7"/>
    <mergeCell ref="L8:L11"/>
  </mergeCells>
  <phoneticPr fontId="1" type="noConversion"/>
  <pageMargins left="0.25" right="0.25" top="0.75" bottom="0.7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16</vt:i4>
      </vt:variant>
    </vt:vector>
  </HeadingPairs>
  <TitlesOfParts>
    <vt:vector size="32" baseType="lpstr">
      <vt:lpstr>종합표</vt:lpstr>
      <vt:lpstr>전송손실</vt:lpstr>
      <vt:lpstr>강원DD</vt:lpstr>
      <vt:lpstr>(구)춘천</vt:lpstr>
      <vt:lpstr>(신)춘천</vt:lpstr>
      <vt:lpstr>북춘천</vt:lpstr>
      <vt:lpstr>남춘천</vt:lpstr>
      <vt:lpstr>서홍천</vt:lpstr>
      <vt:lpstr>열병합</vt:lpstr>
      <vt:lpstr>인제</vt:lpstr>
      <vt:lpstr>양구</vt:lpstr>
      <vt:lpstr>철원</vt:lpstr>
      <vt:lpstr>화천</vt:lpstr>
      <vt:lpstr>화천HP</vt:lpstr>
      <vt:lpstr>춘천HP</vt:lpstr>
      <vt:lpstr>소양HP</vt:lpstr>
      <vt:lpstr>'(구)춘천'!Print_Area</vt:lpstr>
      <vt:lpstr>'(신)춘천'!Print_Area</vt:lpstr>
      <vt:lpstr>강원DD!Print_Area</vt:lpstr>
      <vt:lpstr>남춘천!Print_Area</vt:lpstr>
      <vt:lpstr>북춘천!Print_Area</vt:lpstr>
      <vt:lpstr>서홍천!Print_Area</vt:lpstr>
      <vt:lpstr>소양HP!Print_Area</vt:lpstr>
      <vt:lpstr>양구!Print_Area</vt:lpstr>
      <vt:lpstr>열병합!Print_Area</vt:lpstr>
      <vt:lpstr>인제!Print_Area</vt:lpstr>
      <vt:lpstr>전송손실!Print_Area</vt:lpstr>
      <vt:lpstr>종합표!Print_Area</vt:lpstr>
      <vt:lpstr>철원!Print_Area</vt:lpstr>
      <vt:lpstr>춘천HP!Print_Area</vt:lpstr>
      <vt:lpstr>화천!Print_Area</vt:lpstr>
      <vt:lpstr>화천HP!Print_Area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lastPrinted>2025-12-16T00:19:32Z</cp:lastPrinted>
  <dcterms:created xsi:type="dcterms:W3CDTF">2023-04-11T04:08:42Z</dcterms:created>
  <dcterms:modified xsi:type="dcterms:W3CDTF">2026-02-03T07:00:32Z</dcterms:modified>
</cp:coreProperties>
</file>