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한주원ALL\1. 광\1. 현황\26년 2분기 선번장\"/>
    </mc:Choice>
  </mc:AlternateContent>
  <bookViews>
    <workbookView xWindow="0" yWindow="0" windowWidth="28800" windowHeight="12255" tabRatio="928" activeTab="13"/>
  </bookViews>
  <sheets>
    <sheet name="개정이력" sheetId="11" r:id="rId1"/>
    <sheet name="본부통신실" sheetId="22" r:id="rId2"/>
    <sheet name="춘천SS(구)" sheetId="12" r:id="rId3"/>
    <sheet name="춘천SS(신)" sheetId="13" r:id="rId4"/>
    <sheet name="남춘천SS" sheetId="14" r:id="rId5"/>
    <sheet name="북춘천SS" sheetId="15" r:id="rId6"/>
    <sheet name="열병합" sheetId="16" r:id="rId7"/>
    <sheet name="서홍천SS" sheetId="17" r:id="rId8"/>
    <sheet name="화천SS" sheetId="18" r:id="rId9"/>
    <sheet name="철원SS" sheetId="25" r:id="rId10"/>
    <sheet name="양구SS" sheetId="20" r:id="rId11"/>
    <sheet name="인제SS" sheetId="21" r:id="rId12"/>
    <sheet name="춘천HP" sheetId="23" r:id="rId13"/>
    <sheet name="화천HP" sheetId="2" r:id="rId14"/>
    <sheet name="통합단말(춘천#1-DS1)" sheetId="3" r:id="rId15"/>
    <sheet name="통합단말(춘천#2-DS1)" sheetId="5" r:id="rId16"/>
    <sheet name="통합단말(춘천#3-DS1)_인제_양구" sheetId="24" r:id="rId17"/>
    <sheet name="통합단말(춘천COT-DS0)" sheetId="9" r:id="rId18"/>
    <sheet name="통합단말(춘천#1-DS0)" sheetId="4" r:id="rId19"/>
    <sheet name="통합단말(춘천#2-DS0)" sheetId="6" r:id="rId20"/>
    <sheet name="통합단말(춘천LIU-DS)" sheetId="7" r:id="rId21"/>
  </sheets>
  <definedNames>
    <definedName name="_xlnm._FilterDatabase" localSheetId="14" hidden="1">'통합단말(춘천#1-DS1)'!$A$5:$I$5</definedName>
    <definedName name="_xlnm._FilterDatabase" localSheetId="16" hidden="1">'통합단말(춘천#3-DS1)_인제_양구'!#REF!</definedName>
    <definedName name="_xlnm._FilterDatabase" localSheetId="13" hidden="1">화천HP!$A$5:$J$21</definedName>
    <definedName name="_xlnm.Print_Area" localSheetId="4">남춘천SS!$A$1:$J$86</definedName>
    <definedName name="_xlnm.Print_Area" localSheetId="1">본부통신실!$A$1:$J$369</definedName>
    <definedName name="_xlnm.Print_Area" localSheetId="5">북춘천SS!$A$1:$J$160</definedName>
    <definedName name="_xlnm.Print_Area" localSheetId="10">양구SS!$A$1:$K$115</definedName>
    <definedName name="_xlnm.Print_Area" localSheetId="11">인제SS!$A$1:$J$124</definedName>
    <definedName name="_xlnm.Print_Area" localSheetId="12">춘천HP!$A$1:$K$62</definedName>
    <definedName name="_xlnm.Print_Area" localSheetId="2">'춘천SS(구)'!$A$1:$J$440</definedName>
    <definedName name="_xlnm.Print_Area" localSheetId="14">'통합단말(춘천#1-DS1)'!$A$1:$H$76</definedName>
    <definedName name="_xlnm.Print_Area" localSheetId="19">'통합단말(춘천#2-DS0)'!$A$1:$H$100</definedName>
    <definedName name="_xlnm.Print_Area" localSheetId="15">'통합단말(춘천#2-DS1)'!$A$1:$H$100</definedName>
    <definedName name="_xlnm.Print_Area" localSheetId="16">'통합단말(춘천#3-DS1)_인제_양구'!$A$1:$H$60</definedName>
    <definedName name="_xlnm.Print_Area" localSheetId="17">'통합단말(춘천COT-DS0)'!$A$1:$I$84</definedName>
    <definedName name="_xlnm.Print_Area" localSheetId="20">'통합단말(춘천LIU-DS)'!$A$1:$H$30</definedName>
    <definedName name="_xlnm.Print_Area" localSheetId="13">화천HP!$A$1:$K$49</definedName>
    <definedName name="_xlnm.Print_Area" localSheetId="8">화천SS!$A$1:$J$36</definedName>
    <definedName name="_xlnm.Print_Titles" localSheetId="18">'통합단말(춘천#1-DS0)'!$1:$4</definedName>
    <definedName name="_xlnm.Print_Titles" localSheetId="14">'통합단말(춘천#1-DS1)'!$1:$4</definedName>
    <definedName name="_xlnm.Print_Titles" localSheetId="19">'통합단말(춘천#2-DS0)'!$1:$4</definedName>
    <definedName name="_xlnm.Print_Titles" localSheetId="15">'통합단말(춘천#2-DS1)'!$1:$4</definedName>
    <definedName name="_xlnm.Print_Titles" localSheetId="16">'통합단말(춘천#3-DS1)_인제_양구'!$1:$4</definedName>
    <definedName name="_xlnm.Print_Titles" localSheetId="17">'통합단말(춘천COT-DS0)'!$1:$4</definedName>
    <definedName name="_xlnm.Print_Titles" localSheetId="20">'통합단말(춘천LIU-DS)'!$1:$4</definedName>
    <definedName name="_xlnm.Print_Titles" localSheetId="13">화천HP!$1:$5</definedName>
  </definedNames>
  <calcPr calcId="162913"/>
  <fileRecoveryPr autoRecover="0"/>
</workbook>
</file>

<file path=xl/calcChain.xml><?xml version="1.0" encoding="utf-8"?>
<calcChain xmlns="http://schemas.openxmlformats.org/spreadsheetml/2006/main">
  <c r="J38" i="25" l="1"/>
  <c r="J37" i="25"/>
  <c r="J23" i="13"/>
  <c r="H23" i="13"/>
  <c r="H12" i="2"/>
  <c r="H22" i="13"/>
  <c r="J33" i="17"/>
  <c r="H81" i="6" s="1"/>
  <c r="J50" i="23"/>
  <c r="J116" i="15"/>
  <c r="J159" i="12"/>
  <c r="J160" i="12"/>
  <c r="H22" i="9"/>
  <c r="H15" i="4" s="1"/>
  <c r="F53" i="24"/>
  <c r="G53" i="24"/>
  <c r="H53" i="24"/>
  <c r="F37" i="24"/>
  <c r="G37" i="24"/>
  <c r="H37" i="24"/>
  <c r="E53" i="24"/>
  <c r="E37" i="24"/>
  <c r="J12" i="2"/>
  <c r="J14" i="2"/>
  <c r="J6" i="2"/>
  <c r="E12" i="2"/>
  <c r="G12" i="2"/>
  <c r="E14" i="2"/>
  <c r="F14" i="2"/>
  <c r="G14" i="2"/>
  <c r="H14" i="2"/>
  <c r="F6" i="2"/>
  <c r="G6" i="2"/>
  <c r="H6" i="2"/>
  <c r="E6" i="2"/>
  <c r="J94" i="21"/>
  <c r="J93" i="21"/>
  <c r="J92" i="21"/>
  <c r="J91" i="21"/>
  <c r="J90" i="21"/>
  <c r="J89" i="21"/>
  <c r="J88" i="21"/>
  <c r="J87" i="21"/>
  <c r="J86" i="21"/>
  <c r="J85" i="21"/>
  <c r="J84" i="21"/>
  <c r="J83" i="21"/>
  <c r="J76" i="21"/>
  <c r="J75" i="21"/>
  <c r="J73" i="21"/>
  <c r="J72" i="21"/>
  <c r="J69" i="21"/>
  <c r="H94" i="21"/>
  <c r="G94" i="21"/>
  <c r="F94" i="21"/>
  <c r="E94" i="21"/>
  <c r="H93" i="21"/>
  <c r="G93" i="21"/>
  <c r="F93" i="21"/>
  <c r="E93" i="21"/>
  <c r="H92" i="21"/>
  <c r="G92" i="21"/>
  <c r="F92" i="21"/>
  <c r="E92" i="21"/>
  <c r="H91" i="21"/>
  <c r="G91" i="21"/>
  <c r="F91" i="21"/>
  <c r="E91" i="21"/>
  <c r="H90" i="21"/>
  <c r="G90" i="21"/>
  <c r="F90" i="21"/>
  <c r="E90" i="21"/>
  <c r="H89" i="21"/>
  <c r="G89" i="21"/>
  <c r="F89" i="21"/>
  <c r="E89" i="21"/>
  <c r="H88" i="21"/>
  <c r="G88" i="21"/>
  <c r="F88" i="21"/>
  <c r="E88" i="21"/>
  <c r="H87" i="21"/>
  <c r="G87" i="21"/>
  <c r="F87" i="21"/>
  <c r="E87" i="21"/>
  <c r="H86" i="21"/>
  <c r="G86" i="21"/>
  <c r="F86" i="21"/>
  <c r="E86" i="21"/>
  <c r="H85" i="21"/>
  <c r="G85" i="21"/>
  <c r="F85" i="21"/>
  <c r="E85" i="21"/>
  <c r="H84" i="21"/>
  <c r="G84" i="21"/>
  <c r="F84" i="21"/>
  <c r="E84" i="21"/>
  <c r="H83" i="21"/>
  <c r="G83" i="21"/>
  <c r="F83" i="21"/>
  <c r="E83" i="21"/>
  <c r="H76" i="21"/>
  <c r="G76" i="21"/>
  <c r="F76" i="21"/>
  <c r="E76" i="21"/>
  <c r="H75" i="21"/>
  <c r="G75" i="21"/>
  <c r="F75" i="21"/>
  <c r="E75" i="21"/>
  <c r="G74" i="21"/>
  <c r="E74" i="21"/>
  <c r="H73" i="21"/>
  <c r="G73" i="21"/>
  <c r="F73" i="21"/>
  <c r="E73" i="21"/>
  <c r="H72" i="21"/>
  <c r="G72" i="21"/>
  <c r="F72" i="21"/>
  <c r="E72" i="21"/>
  <c r="E71" i="21"/>
  <c r="H70" i="21"/>
  <c r="G70" i="21"/>
  <c r="F70" i="21"/>
  <c r="E70" i="21"/>
  <c r="H69" i="21"/>
  <c r="G69" i="21"/>
  <c r="F69" i="21"/>
  <c r="E69" i="21"/>
  <c r="H68" i="21"/>
  <c r="G68" i="21"/>
  <c r="F68" i="21"/>
  <c r="E68" i="21"/>
  <c r="E67" i="21"/>
  <c r="F67" i="21"/>
  <c r="G67" i="21"/>
  <c r="H67" i="21"/>
  <c r="E95" i="21"/>
  <c r="E96" i="21"/>
  <c r="E97" i="21"/>
  <c r="E98" i="21"/>
  <c r="E99" i="21"/>
  <c r="F99" i="21"/>
  <c r="G99" i="21"/>
  <c r="H99" i="21"/>
  <c r="E100" i="21"/>
  <c r="F100" i="21"/>
  <c r="G100" i="21"/>
  <c r="H100" i="21"/>
  <c r="E101" i="21"/>
  <c r="F101" i="21"/>
  <c r="G101" i="21"/>
  <c r="H101" i="21"/>
  <c r="E106" i="21"/>
  <c r="F106" i="21"/>
  <c r="G106" i="21"/>
  <c r="H106" i="21"/>
  <c r="E107" i="21"/>
  <c r="F107" i="21"/>
  <c r="G107" i="21"/>
  <c r="H107" i="21"/>
  <c r="E108" i="21"/>
  <c r="F108" i="21"/>
  <c r="G108" i="21"/>
  <c r="H108" i="21"/>
  <c r="E109" i="21"/>
  <c r="F109" i="21"/>
  <c r="G109" i="21"/>
  <c r="H109" i="21"/>
  <c r="E110" i="21"/>
  <c r="F110" i="21"/>
  <c r="G110" i="21"/>
  <c r="H110" i="21"/>
  <c r="E111" i="21"/>
  <c r="F111" i="21"/>
  <c r="G111" i="21"/>
  <c r="H111" i="21"/>
  <c r="E112" i="21"/>
  <c r="F112" i="21"/>
  <c r="G112" i="21"/>
  <c r="H112" i="21"/>
  <c r="F65" i="21"/>
  <c r="G65" i="21"/>
  <c r="H65" i="21"/>
  <c r="F66" i="21"/>
  <c r="G66" i="21"/>
  <c r="H66" i="21"/>
  <c r="E66" i="21"/>
  <c r="E65" i="21"/>
  <c r="J66" i="21"/>
  <c r="J65" i="21"/>
  <c r="J98" i="21"/>
  <c r="J99" i="21"/>
  <c r="J100" i="21"/>
  <c r="J106" i="21"/>
  <c r="J107" i="21"/>
  <c r="J108" i="21"/>
  <c r="J109" i="21"/>
  <c r="J110" i="21"/>
  <c r="J111" i="21"/>
  <c r="J112" i="21"/>
  <c r="J8" i="21"/>
  <c r="J9" i="21"/>
  <c r="J14" i="21"/>
  <c r="J15" i="21"/>
  <c r="J16" i="21"/>
  <c r="E8" i="21"/>
  <c r="F8" i="21"/>
  <c r="G8" i="21"/>
  <c r="H8" i="21"/>
  <c r="E9" i="21"/>
  <c r="F9" i="21"/>
  <c r="G9" i="21"/>
  <c r="H9" i="21"/>
  <c r="E14" i="21"/>
  <c r="F14" i="21"/>
  <c r="G14" i="21"/>
  <c r="H14" i="21"/>
  <c r="E15" i="21"/>
  <c r="F15" i="21"/>
  <c r="G15" i="21"/>
  <c r="H15" i="21"/>
  <c r="E16" i="21"/>
  <c r="F16" i="21"/>
  <c r="G16" i="21"/>
  <c r="H16" i="21"/>
  <c r="J52" i="25"/>
  <c r="E51" i="25"/>
  <c r="E52" i="25"/>
  <c r="F52" i="25"/>
  <c r="G52" i="25"/>
  <c r="H52" i="25"/>
  <c r="E50" i="25"/>
  <c r="E49" i="25"/>
  <c r="J39" i="25"/>
  <c r="J40" i="25"/>
  <c r="J41" i="25"/>
  <c r="J42" i="25"/>
  <c r="J43" i="25"/>
  <c r="J44" i="25"/>
  <c r="J45" i="25"/>
  <c r="J46" i="25"/>
  <c r="J47" i="25"/>
  <c r="J48" i="25"/>
  <c r="E39" i="25"/>
  <c r="F39" i="25"/>
  <c r="G39" i="25"/>
  <c r="H39" i="25"/>
  <c r="E40" i="25"/>
  <c r="F40" i="25"/>
  <c r="G40" i="25"/>
  <c r="H40" i="25"/>
  <c r="E41" i="25"/>
  <c r="F41" i="25"/>
  <c r="G41" i="25"/>
  <c r="H41" i="25"/>
  <c r="E42" i="25"/>
  <c r="F42" i="25"/>
  <c r="G42" i="25"/>
  <c r="H42" i="25"/>
  <c r="E43" i="25"/>
  <c r="F43" i="25"/>
  <c r="G43" i="25"/>
  <c r="H43" i="25"/>
  <c r="E44" i="25"/>
  <c r="F44" i="25"/>
  <c r="G44" i="25"/>
  <c r="H44" i="25"/>
  <c r="E45" i="25"/>
  <c r="F45" i="25"/>
  <c r="G45" i="25"/>
  <c r="H45" i="25"/>
  <c r="E46" i="25"/>
  <c r="F46" i="25"/>
  <c r="G46" i="25"/>
  <c r="H46" i="25"/>
  <c r="E47" i="25"/>
  <c r="F47" i="25"/>
  <c r="G47" i="25"/>
  <c r="H47" i="25"/>
  <c r="E48" i="25"/>
  <c r="F48" i="25"/>
  <c r="G48" i="25"/>
  <c r="H48" i="25"/>
  <c r="E7" i="17"/>
  <c r="F7" i="17"/>
  <c r="G7" i="17"/>
  <c r="H7" i="17"/>
  <c r="E8" i="17"/>
  <c r="F8" i="17"/>
  <c r="G8" i="17"/>
  <c r="H8" i="17"/>
  <c r="E9" i="17"/>
  <c r="F9" i="17"/>
  <c r="G9" i="17"/>
  <c r="H9" i="17"/>
  <c r="E10" i="17"/>
  <c r="F10" i="17"/>
  <c r="G10" i="17"/>
  <c r="H10" i="17"/>
  <c r="E11" i="17"/>
  <c r="F11" i="17"/>
  <c r="G11" i="17"/>
  <c r="H11" i="17"/>
  <c r="E12" i="17"/>
  <c r="F12" i="17"/>
  <c r="G12" i="17"/>
  <c r="H12" i="17"/>
  <c r="E13" i="17"/>
  <c r="F13" i="17"/>
  <c r="G13" i="17"/>
  <c r="H13" i="17"/>
  <c r="E14" i="17"/>
  <c r="F14" i="17"/>
  <c r="G14" i="17"/>
  <c r="H14" i="17"/>
  <c r="E15" i="17"/>
  <c r="F15" i="17"/>
  <c r="G15" i="17"/>
  <c r="H15" i="17"/>
  <c r="E16" i="17"/>
  <c r="F16" i="17"/>
  <c r="G16" i="17"/>
  <c r="H16" i="17"/>
  <c r="J7" i="17"/>
  <c r="J8" i="17"/>
  <c r="J9" i="17"/>
  <c r="J10" i="17"/>
  <c r="J11" i="17"/>
  <c r="J12" i="17"/>
  <c r="J13" i="17"/>
  <c r="J14" i="17"/>
  <c r="J15" i="17"/>
  <c r="J16" i="17"/>
  <c r="J6" i="17"/>
  <c r="J5" i="17"/>
  <c r="F6" i="17"/>
  <c r="G6" i="17"/>
  <c r="H6" i="17"/>
  <c r="E6" i="17"/>
  <c r="F5" i="17"/>
  <c r="G5" i="17"/>
  <c r="H5" i="17"/>
  <c r="E5" i="17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E19" i="16"/>
  <c r="F19" i="16"/>
  <c r="G19" i="16"/>
  <c r="H19" i="16"/>
  <c r="E20" i="16"/>
  <c r="F20" i="16"/>
  <c r="G20" i="16"/>
  <c r="H20" i="16"/>
  <c r="E21" i="16"/>
  <c r="F21" i="16"/>
  <c r="G21" i="16"/>
  <c r="H21" i="16"/>
  <c r="E22" i="16"/>
  <c r="F22" i="16"/>
  <c r="G22" i="16"/>
  <c r="H22" i="16"/>
  <c r="E23" i="16"/>
  <c r="F23" i="16"/>
  <c r="G23" i="16"/>
  <c r="H23" i="16"/>
  <c r="E24" i="16"/>
  <c r="F24" i="16"/>
  <c r="G24" i="16"/>
  <c r="H24" i="16"/>
  <c r="E25" i="16"/>
  <c r="F25" i="16"/>
  <c r="G25" i="16"/>
  <c r="H25" i="16"/>
  <c r="E26" i="16"/>
  <c r="F26" i="16"/>
  <c r="G26" i="16"/>
  <c r="H26" i="16"/>
  <c r="E27" i="16"/>
  <c r="F27" i="16"/>
  <c r="G27" i="16"/>
  <c r="H27" i="16"/>
  <c r="E28" i="16"/>
  <c r="F28" i="16"/>
  <c r="G28" i="16"/>
  <c r="H28" i="16"/>
  <c r="E29" i="16"/>
  <c r="F29" i="16"/>
  <c r="G29" i="16"/>
  <c r="H29" i="16"/>
  <c r="E30" i="16"/>
  <c r="F30" i="16"/>
  <c r="G30" i="16"/>
  <c r="H30" i="16"/>
  <c r="E31" i="16"/>
  <c r="F31" i="16"/>
  <c r="G31" i="16"/>
  <c r="H31" i="16"/>
  <c r="E32" i="16"/>
  <c r="F32" i="16"/>
  <c r="G32" i="16"/>
  <c r="H32" i="16"/>
  <c r="F17" i="16"/>
  <c r="G17" i="16"/>
  <c r="H17" i="16"/>
  <c r="F18" i="16"/>
  <c r="G18" i="16"/>
  <c r="H18" i="16"/>
  <c r="J18" i="16"/>
  <c r="J17" i="16"/>
  <c r="E18" i="16"/>
  <c r="E17" i="16"/>
  <c r="J79" i="15"/>
  <c r="J78" i="15"/>
  <c r="J77" i="15"/>
  <c r="J76" i="15"/>
  <c r="J75" i="15"/>
  <c r="J74" i="15"/>
  <c r="H76" i="15"/>
  <c r="H75" i="15"/>
  <c r="H74" i="15"/>
  <c r="H79" i="15"/>
  <c r="H78" i="15"/>
  <c r="H77" i="15"/>
  <c r="F79" i="15"/>
  <c r="F78" i="15"/>
  <c r="F77" i="15"/>
  <c r="F76" i="15"/>
  <c r="F75" i="15"/>
  <c r="F74" i="15"/>
  <c r="E76" i="15"/>
  <c r="E75" i="15"/>
  <c r="E74" i="15"/>
  <c r="E79" i="15"/>
  <c r="E78" i="15"/>
  <c r="E77" i="15"/>
  <c r="G79" i="15"/>
  <c r="G78" i="15"/>
  <c r="G77" i="15"/>
  <c r="G76" i="15"/>
  <c r="G75" i="15"/>
  <c r="G74" i="15"/>
  <c r="E73" i="15"/>
  <c r="F73" i="15"/>
  <c r="G73" i="15"/>
  <c r="H73" i="15"/>
  <c r="H72" i="15"/>
  <c r="F72" i="15"/>
  <c r="G72" i="15"/>
  <c r="J73" i="15"/>
  <c r="J72" i="15"/>
  <c r="J71" i="15"/>
  <c r="E72" i="15"/>
  <c r="F71" i="15"/>
  <c r="G71" i="15"/>
  <c r="H71" i="15"/>
  <c r="E71" i="15"/>
  <c r="E17" i="15"/>
  <c r="F17" i="15"/>
  <c r="G17" i="15"/>
  <c r="H17" i="15"/>
  <c r="E18" i="15"/>
  <c r="F18" i="15"/>
  <c r="G18" i="15"/>
  <c r="H18" i="15"/>
  <c r="E19" i="15"/>
  <c r="F19" i="15"/>
  <c r="G19" i="15"/>
  <c r="H19" i="15"/>
  <c r="E20" i="15"/>
  <c r="F20" i="15"/>
  <c r="G20" i="15"/>
  <c r="H20" i="15"/>
  <c r="J7" i="15"/>
  <c r="J8" i="15"/>
  <c r="J9" i="15"/>
  <c r="J10" i="15"/>
  <c r="J11" i="15"/>
  <c r="J14" i="15"/>
  <c r="J15" i="15"/>
  <c r="J16" i="15"/>
  <c r="J17" i="15"/>
  <c r="J18" i="15"/>
  <c r="J19" i="15"/>
  <c r="J20" i="15"/>
  <c r="J6" i="15"/>
  <c r="J5" i="15"/>
  <c r="E7" i="15"/>
  <c r="F7" i="15"/>
  <c r="G7" i="15"/>
  <c r="H7" i="15"/>
  <c r="E8" i="15"/>
  <c r="F8" i="15"/>
  <c r="G8" i="15"/>
  <c r="H8" i="15"/>
  <c r="E9" i="15"/>
  <c r="F9" i="15"/>
  <c r="G9" i="15"/>
  <c r="H9" i="15"/>
  <c r="E10" i="15"/>
  <c r="F10" i="15"/>
  <c r="G10" i="15"/>
  <c r="H10" i="15"/>
  <c r="E11" i="15"/>
  <c r="F11" i="15"/>
  <c r="G11" i="15"/>
  <c r="H11" i="15"/>
  <c r="E14" i="15"/>
  <c r="F14" i="15"/>
  <c r="G14" i="15"/>
  <c r="H14" i="15"/>
  <c r="E15" i="15"/>
  <c r="F15" i="15"/>
  <c r="G15" i="15"/>
  <c r="H15" i="15"/>
  <c r="E16" i="15"/>
  <c r="F16" i="15"/>
  <c r="G16" i="15"/>
  <c r="H16" i="15"/>
  <c r="F5" i="15"/>
  <c r="G5" i="15"/>
  <c r="H5" i="15"/>
  <c r="F6" i="15"/>
  <c r="G6" i="15"/>
  <c r="H6" i="15"/>
  <c r="E6" i="15"/>
  <c r="E5" i="15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57" i="14"/>
  <c r="E58" i="14"/>
  <c r="F58" i="14"/>
  <c r="G58" i="14"/>
  <c r="H58" i="14"/>
  <c r="E59" i="14"/>
  <c r="F59" i="14"/>
  <c r="G59" i="14"/>
  <c r="H59" i="14"/>
  <c r="E60" i="14"/>
  <c r="F60" i="14"/>
  <c r="G60" i="14"/>
  <c r="H60" i="14"/>
  <c r="E61" i="14"/>
  <c r="F61" i="14"/>
  <c r="G61" i="14"/>
  <c r="H61" i="14"/>
  <c r="E62" i="14"/>
  <c r="F62" i="14"/>
  <c r="G62" i="14"/>
  <c r="H62" i="14"/>
  <c r="E63" i="14"/>
  <c r="F63" i="14"/>
  <c r="G63" i="14"/>
  <c r="H63" i="14"/>
  <c r="E64" i="14"/>
  <c r="F64" i="14"/>
  <c r="G64" i="14"/>
  <c r="H64" i="14"/>
  <c r="E65" i="14"/>
  <c r="F65" i="14"/>
  <c r="G65" i="14"/>
  <c r="H65" i="14"/>
  <c r="E66" i="14"/>
  <c r="F66" i="14"/>
  <c r="G66" i="14"/>
  <c r="H66" i="14"/>
  <c r="E67" i="14"/>
  <c r="F67" i="14"/>
  <c r="G67" i="14"/>
  <c r="H67" i="14"/>
  <c r="E68" i="14"/>
  <c r="F68" i="14"/>
  <c r="G68" i="14"/>
  <c r="H68" i="14"/>
  <c r="E69" i="14"/>
  <c r="F69" i="14"/>
  <c r="G69" i="14"/>
  <c r="H69" i="14"/>
  <c r="E70" i="14"/>
  <c r="F70" i="14"/>
  <c r="G70" i="14"/>
  <c r="H70" i="14"/>
  <c r="E71" i="14"/>
  <c r="F71" i="14"/>
  <c r="G71" i="14"/>
  <c r="H71" i="14"/>
  <c r="E72" i="14"/>
  <c r="F72" i="14"/>
  <c r="G72" i="14"/>
  <c r="H72" i="14"/>
  <c r="E73" i="14"/>
  <c r="F73" i="14"/>
  <c r="G73" i="14"/>
  <c r="H73" i="14"/>
  <c r="E74" i="14"/>
  <c r="F74" i="14"/>
  <c r="G74" i="14"/>
  <c r="H74" i="14"/>
  <c r="E75" i="14"/>
  <c r="F75" i="14"/>
  <c r="G75" i="14"/>
  <c r="H75" i="14"/>
  <c r="E76" i="14"/>
  <c r="F76" i="14"/>
  <c r="G76" i="14"/>
  <c r="H76" i="14"/>
  <c r="E77" i="14"/>
  <c r="F77" i="14"/>
  <c r="G77" i="14"/>
  <c r="H77" i="14"/>
  <c r="F57" i="14"/>
  <c r="G57" i="14"/>
  <c r="H57" i="14"/>
  <c r="E57" i="14"/>
  <c r="J23" i="14"/>
  <c r="J24" i="14"/>
  <c r="J25" i="14"/>
  <c r="J26" i="14"/>
  <c r="J27" i="14"/>
  <c r="J28" i="14"/>
  <c r="E23" i="14"/>
  <c r="F23" i="14"/>
  <c r="G23" i="14"/>
  <c r="H23" i="14"/>
  <c r="E24" i="14"/>
  <c r="F24" i="14"/>
  <c r="G24" i="14"/>
  <c r="H24" i="14"/>
  <c r="E25" i="14"/>
  <c r="F25" i="14"/>
  <c r="G25" i="14"/>
  <c r="H25" i="14"/>
  <c r="E26" i="14"/>
  <c r="F26" i="14"/>
  <c r="G26" i="14"/>
  <c r="H26" i="14"/>
  <c r="E27" i="14"/>
  <c r="F27" i="14"/>
  <c r="G27" i="14"/>
  <c r="H27" i="14"/>
  <c r="E28" i="14"/>
  <c r="F28" i="14"/>
  <c r="G28" i="14"/>
  <c r="H28" i="14"/>
  <c r="J21" i="13"/>
  <c r="J24" i="13"/>
  <c r="J25" i="13"/>
  <c r="J26" i="13"/>
  <c r="J27" i="13"/>
  <c r="J28" i="13"/>
  <c r="J29" i="13"/>
  <c r="J30" i="13"/>
  <c r="J31" i="13"/>
  <c r="J32" i="13"/>
  <c r="J34" i="13"/>
  <c r="J35" i="13"/>
  <c r="J36" i="13"/>
  <c r="E21" i="13"/>
  <c r="F21" i="13"/>
  <c r="G21" i="13"/>
  <c r="H21" i="13"/>
  <c r="G22" i="13"/>
  <c r="E23" i="13"/>
  <c r="F23" i="13"/>
  <c r="G23" i="13"/>
  <c r="E24" i="13"/>
  <c r="F24" i="13"/>
  <c r="G24" i="13"/>
  <c r="H24" i="13"/>
  <c r="E25" i="13"/>
  <c r="F25" i="13"/>
  <c r="G25" i="13"/>
  <c r="H25" i="13"/>
  <c r="E26" i="13"/>
  <c r="F26" i="13"/>
  <c r="G26" i="13"/>
  <c r="H26" i="13"/>
  <c r="E27" i="13"/>
  <c r="F27" i="13"/>
  <c r="G27" i="13"/>
  <c r="H27" i="13"/>
  <c r="E28" i="13"/>
  <c r="F28" i="13"/>
  <c r="G28" i="13"/>
  <c r="H28" i="13"/>
  <c r="E29" i="13"/>
  <c r="F29" i="13"/>
  <c r="G29" i="13"/>
  <c r="H29" i="13"/>
  <c r="E30" i="13"/>
  <c r="F30" i="13"/>
  <c r="G30" i="13"/>
  <c r="H30" i="13"/>
  <c r="E31" i="13"/>
  <c r="F31" i="13"/>
  <c r="G31" i="13"/>
  <c r="H31" i="13"/>
  <c r="E32" i="13"/>
  <c r="F32" i="13"/>
  <c r="G32" i="13"/>
  <c r="H32" i="13"/>
  <c r="E34" i="13"/>
  <c r="F34" i="13"/>
  <c r="G34" i="13"/>
  <c r="H34" i="13"/>
  <c r="E35" i="13"/>
  <c r="F35" i="13"/>
  <c r="G35" i="13"/>
  <c r="H35" i="13"/>
  <c r="E36" i="13"/>
  <c r="F36" i="13"/>
  <c r="G36" i="13"/>
  <c r="H36" i="13"/>
  <c r="E20" i="13"/>
  <c r="F20" i="13"/>
  <c r="G20" i="13"/>
  <c r="H20" i="13"/>
  <c r="J8" i="13"/>
  <c r="J9" i="13"/>
  <c r="J10" i="13"/>
  <c r="J11" i="13"/>
  <c r="J12" i="13"/>
  <c r="J13" i="13"/>
  <c r="J14" i="13"/>
  <c r="J15" i="13"/>
  <c r="J16" i="13"/>
  <c r="J5" i="13"/>
  <c r="E8" i="13"/>
  <c r="F8" i="13"/>
  <c r="G8" i="13"/>
  <c r="H8" i="13"/>
  <c r="E9" i="13"/>
  <c r="F9" i="13"/>
  <c r="G9" i="13"/>
  <c r="H9" i="13"/>
  <c r="E10" i="13"/>
  <c r="F10" i="13"/>
  <c r="G10" i="13"/>
  <c r="H10" i="13"/>
  <c r="E11" i="13"/>
  <c r="F11" i="13"/>
  <c r="G11" i="13"/>
  <c r="H11" i="13"/>
  <c r="E12" i="13"/>
  <c r="F12" i="13"/>
  <c r="G12" i="13"/>
  <c r="H12" i="13"/>
  <c r="E13" i="13"/>
  <c r="F13" i="13"/>
  <c r="G13" i="13"/>
  <c r="H13" i="13"/>
  <c r="E14" i="13"/>
  <c r="F14" i="13"/>
  <c r="G14" i="13"/>
  <c r="H14" i="13"/>
  <c r="E15" i="13"/>
  <c r="F15" i="13"/>
  <c r="G15" i="13"/>
  <c r="H15" i="13"/>
  <c r="E16" i="13"/>
  <c r="F16" i="13"/>
  <c r="G16" i="13"/>
  <c r="H16" i="13"/>
  <c r="E5" i="13"/>
  <c r="F5" i="13"/>
  <c r="G5" i="13"/>
  <c r="H5" i="13"/>
  <c r="J152" i="12"/>
  <c r="J154" i="12"/>
  <c r="J156" i="12"/>
  <c r="J157" i="12"/>
  <c r="J163" i="12"/>
  <c r="J164" i="12"/>
  <c r="J169" i="12"/>
  <c r="J170" i="12"/>
  <c r="J173" i="12"/>
  <c r="J174" i="12"/>
  <c r="J177" i="12"/>
  <c r="J178" i="12"/>
  <c r="J179" i="12"/>
  <c r="J180" i="12"/>
  <c r="J181" i="12"/>
  <c r="E147" i="12"/>
  <c r="F147" i="12"/>
  <c r="G147" i="12"/>
  <c r="H147" i="12"/>
  <c r="F152" i="12"/>
  <c r="G152" i="12"/>
  <c r="H152" i="12"/>
  <c r="G153" i="12"/>
  <c r="E154" i="12"/>
  <c r="F154" i="12"/>
  <c r="G154" i="12"/>
  <c r="H154" i="12"/>
  <c r="G155" i="12"/>
  <c r="E156" i="12"/>
  <c r="F156" i="12"/>
  <c r="G156" i="12"/>
  <c r="H156" i="12"/>
  <c r="E157" i="12"/>
  <c r="F157" i="12"/>
  <c r="G157" i="12"/>
  <c r="H157" i="12"/>
  <c r="G158" i="12"/>
  <c r="E159" i="12"/>
  <c r="F159" i="12"/>
  <c r="G159" i="12"/>
  <c r="H159" i="12"/>
  <c r="E160" i="12"/>
  <c r="F160" i="12"/>
  <c r="G160" i="12"/>
  <c r="H160" i="12"/>
  <c r="E161" i="12"/>
  <c r="E162" i="12"/>
  <c r="E163" i="12"/>
  <c r="F163" i="12"/>
  <c r="G163" i="12"/>
  <c r="H163" i="12"/>
  <c r="E164" i="12"/>
  <c r="F164" i="12"/>
  <c r="G164" i="12"/>
  <c r="H164" i="12"/>
  <c r="E169" i="12"/>
  <c r="F169" i="12"/>
  <c r="G169" i="12"/>
  <c r="H169" i="12"/>
  <c r="E170" i="12"/>
  <c r="F170" i="12"/>
  <c r="G170" i="12"/>
  <c r="H170" i="12"/>
  <c r="E171" i="12"/>
  <c r="G171" i="12"/>
  <c r="E172" i="12"/>
  <c r="G172" i="12"/>
  <c r="E173" i="12"/>
  <c r="F173" i="12"/>
  <c r="G173" i="12"/>
  <c r="H173" i="12"/>
  <c r="E174" i="12"/>
  <c r="F174" i="12"/>
  <c r="G174" i="12"/>
  <c r="H174" i="12"/>
  <c r="E175" i="12"/>
  <c r="G175" i="12"/>
  <c r="E176" i="12"/>
  <c r="G176" i="12"/>
  <c r="E177" i="12"/>
  <c r="F177" i="12"/>
  <c r="G177" i="12"/>
  <c r="H177" i="12"/>
  <c r="E178" i="12"/>
  <c r="F178" i="12"/>
  <c r="G178" i="12"/>
  <c r="H178" i="12"/>
  <c r="E179" i="12"/>
  <c r="F179" i="12"/>
  <c r="G179" i="12"/>
  <c r="H179" i="12"/>
  <c r="E180" i="12"/>
  <c r="F180" i="12"/>
  <c r="G180" i="12"/>
  <c r="H180" i="12"/>
  <c r="E181" i="12"/>
  <c r="F181" i="12"/>
  <c r="G181" i="12"/>
  <c r="H181" i="12"/>
  <c r="E182" i="12"/>
  <c r="G182" i="12"/>
  <c r="J142" i="12"/>
  <c r="F142" i="12"/>
  <c r="G142" i="12"/>
  <c r="H142" i="12"/>
  <c r="E142" i="12"/>
  <c r="J141" i="12"/>
  <c r="F141" i="12"/>
  <c r="G141" i="12"/>
  <c r="H141" i="12"/>
  <c r="E141" i="12"/>
  <c r="E63" i="12"/>
  <c r="E64" i="12"/>
  <c r="F64" i="12"/>
  <c r="G64" i="12"/>
  <c r="H64" i="12"/>
  <c r="E65" i="12"/>
  <c r="F65" i="12"/>
  <c r="G65" i="12"/>
  <c r="H65" i="12"/>
  <c r="E66" i="12"/>
  <c r="F66" i="12"/>
  <c r="G66" i="12"/>
  <c r="H66" i="12"/>
  <c r="E67" i="12"/>
  <c r="F67" i="12"/>
  <c r="G67" i="12"/>
  <c r="H67" i="12"/>
  <c r="E68" i="12"/>
  <c r="E69" i="12"/>
  <c r="F69" i="12"/>
  <c r="G69" i="12"/>
  <c r="H69" i="12"/>
  <c r="E70" i="12"/>
  <c r="F70" i="12"/>
  <c r="G70" i="12"/>
  <c r="H70" i="12"/>
  <c r="E71" i="12"/>
  <c r="G71" i="12"/>
  <c r="E72" i="12"/>
  <c r="E73" i="12"/>
  <c r="E74" i="12"/>
  <c r="E75" i="12"/>
  <c r="E76" i="12"/>
  <c r="E77" i="12"/>
  <c r="G77" i="12"/>
  <c r="E78" i="12"/>
  <c r="F78" i="12"/>
  <c r="G78" i="12"/>
  <c r="H78" i="12"/>
  <c r="E79" i="12"/>
  <c r="E80" i="12"/>
  <c r="F80" i="12"/>
  <c r="G80" i="12"/>
  <c r="H80" i="12"/>
  <c r="E81" i="12"/>
  <c r="F81" i="12"/>
  <c r="G81" i="12"/>
  <c r="H81" i="12"/>
  <c r="E82" i="12"/>
  <c r="F82" i="12"/>
  <c r="G82" i="12"/>
  <c r="H82" i="12"/>
  <c r="E83" i="12"/>
  <c r="F83" i="12"/>
  <c r="G83" i="12"/>
  <c r="H83" i="12"/>
  <c r="E84" i="12"/>
  <c r="F84" i="12"/>
  <c r="G84" i="12"/>
  <c r="H84" i="12"/>
  <c r="E85" i="12"/>
  <c r="F85" i="12"/>
  <c r="G85" i="12"/>
  <c r="H85" i="12"/>
  <c r="E86" i="12"/>
  <c r="F86" i="12"/>
  <c r="G86" i="12"/>
  <c r="H86" i="12"/>
  <c r="E87" i="12"/>
  <c r="F87" i="12"/>
  <c r="G87" i="12"/>
  <c r="H87" i="12"/>
  <c r="E88" i="12"/>
  <c r="F88" i="12"/>
  <c r="G88" i="12"/>
  <c r="H88" i="12"/>
  <c r="E89" i="12"/>
  <c r="F89" i="12"/>
  <c r="G89" i="12"/>
  <c r="H89" i="12"/>
  <c r="E90" i="12"/>
  <c r="F90" i="12"/>
  <c r="G90" i="12"/>
  <c r="H90" i="12"/>
  <c r="E91" i="12"/>
  <c r="F91" i="12"/>
  <c r="G91" i="12"/>
  <c r="H91" i="12"/>
  <c r="E92" i="12"/>
  <c r="F92" i="12"/>
  <c r="G92" i="12"/>
  <c r="H92" i="12"/>
  <c r="E62" i="12"/>
  <c r="F61" i="12"/>
  <c r="G61" i="12"/>
  <c r="H61" i="12"/>
  <c r="E61" i="12"/>
  <c r="J80" i="12"/>
  <c r="J81" i="12"/>
  <c r="J82" i="12"/>
  <c r="J83" i="12"/>
  <c r="J84" i="12"/>
  <c r="J85" i="12"/>
  <c r="J86" i="12"/>
  <c r="J87" i="12"/>
  <c r="J88" i="12"/>
  <c r="J78" i="12"/>
  <c r="J64" i="12"/>
  <c r="J65" i="12"/>
  <c r="J66" i="12"/>
  <c r="J67" i="12"/>
  <c r="J69" i="12"/>
  <c r="J70" i="12"/>
  <c r="J61" i="12"/>
  <c r="J13" i="12"/>
  <c r="G6" i="12"/>
  <c r="G7" i="12"/>
  <c r="G8" i="12"/>
  <c r="E13" i="12"/>
  <c r="F13" i="12"/>
  <c r="G13" i="12"/>
  <c r="H13" i="12"/>
  <c r="G5" i="12"/>
  <c r="E36" i="3"/>
  <c r="F36" i="3"/>
  <c r="G36" i="3"/>
  <c r="H36" i="3"/>
  <c r="D36" i="3"/>
  <c r="E35" i="3"/>
  <c r="G35" i="3"/>
  <c r="H35" i="3"/>
  <c r="D35" i="3"/>
  <c r="E29" i="3"/>
  <c r="F29" i="3"/>
  <c r="G29" i="3"/>
  <c r="H29" i="3"/>
  <c r="D29" i="3"/>
  <c r="N156" i="12"/>
  <c r="H13" i="5"/>
  <c r="H21" i="9" l="1"/>
</calcChain>
</file>

<file path=xl/comments1.xml><?xml version="1.0" encoding="utf-8"?>
<comments xmlns="http://schemas.openxmlformats.org/spreadsheetml/2006/main">
  <authors>
    <author>PC</author>
    <author>Windows 사용자</author>
  </authors>
  <commentList>
    <comment ref="A3" authorId="0" shapeId="0">
      <text>
        <r>
          <rPr>
            <sz val="12"/>
            <color indexed="81"/>
            <rFont val="Tahoma"/>
            <family val="2"/>
          </rPr>
          <t>IP : 100.104.205.30</t>
        </r>
      </text>
    </comment>
    <comment ref="H76" authorId="1" shapeId="0">
      <text>
        <r>
          <rPr>
            <sz val="9"/>
            <color indexed="81"/>
            <rFont val="Tahoma"/>
            <family val="2"/>
          </rPr>
          <t>C-MUX CH30</t>
        </r>
        <r>
          <rPr>
            <sz val="9"/>
            <color indexed="81"/>
            <rFont val="돋움"/>
            <family val="3"/>
            <charset val="129"/>
          </rPr>
          <t>사용불가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PC</author>
    <author>kepco</author>
    <author>Windows 사용자</author>
    <author>강원지사</author>
  </authors>
  <commentList>
    <comment ref="A5" authorId="0" shapeId="0">
      <text>
        <r>
          <rPr>
            <sz val="12"/>
            <color indexed="81"/>
            <rFont val="Tahoma"/>
            <family val="2"/>
          </rPr>
          <t>IP : 100.204.70.157</t>
        </r>
      </text>
    </comment>
    <comment ref="A17" authorId="0" shapeId="0">
      <text>
        <r>
          <rPr>
            <sz val="12"/>
            <color indexed="81"/>
            <rFont val="Tahoma"/>
            <family val="2"/>
          </rPr>
          <t>IP : 100.204.70.101</t>
        </r>
      </text>
    </comment>
    <comment ref="A45" authorId="1" shapeId="0">
      <text>
        <r>
          <rPr>
            <sz val="12"/>
            <color indexed="81"/>
            <rFont val="돋움"/>
            <family val="3"/>
            <charset val="129"/>
          </rPr>
          <t>ID : 241
광카드 : OUT-C
CLOCK : FREE</t>
        </r>
      </text>
    </comment>
    <comment ref="H170" authorId="2" shapeId="0">
      <text>
        <r>
          <rPr>
            <sz val="9"/>
            <color indexed="81"/>
            <rFont val="Tahoma"/>
            <family val="2"/>
          </rPr>
          <t>C-MUX CH30</t>
        </r>
        <r>
          <rPr>
            <sz val="9"/>
            <color indexed="81"/>
            <rFont val="돋움"/>
            <family val="3"/>
            <charset val="129"/>
          </rPr>
          <t>사용불가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0" authorId="2" shapeId="0">
      <text>
        <r>
          <rPr>
            <sz val="9"/>
            <color indexed="81"/>
            <rFont val="Tahoma"/>
            <family val="2"/>
          </rPr>
          <t>C-MUX CH30</t>
        </r>
        <r>
          <rPr>
            <sz val="9"/>
            <color indexed="81"/>
            <rFont val="돋움"/>
            <family val="3"/>
            <charset val="129"/>
          </rPr>
          <t>사용불가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49" authorId="3" shapeId="0">
      <text>
        <r>
          <rPr>
            <b/>
            <sz val="9"/>
            <color indexed="81"/>
            <rFont val="Tahoma"/>
            <family val="2"/>
          </rPr>
          <t>SLC-T</t>
        </r>
        <r>
          <rPr>
            <b/>
            <sz val="9"/>
            <color indexed="81"/>
            <rFont val="돋움"/>
            <family val="3"/>
            <charset val="129"/>
          </rPr>
          <t>카드로 교체
'11.09.28
IP계통운영통신시스템
절체관련</t>
        </r>
      </text>
    </comment>
    <comment ref="D261" authorId="3" shapeId="0">
      <text>
        <r>
          <rPr>
            <b/>
            <sz val="9"/>
            <color indexed="81"/>
            <rFont val="Tahoma"/>
            <family val="2"/>
          </rPr>
          <t>SLC-T</t>
        </r>
        <r>
          <rPr>
            <b/>
            <sz val="9"/>
            <color indexed="81"/>
            <rFont val="돋움"/>
            <family val="3"/>
            <charset val="129"/>
          </rPr>
          <t>카드로 교체
'11.09.28
IP계통운영통신시스템
절체관련</t>
        </r>
      </text>
    </comment>
    <comment ref="I261" authorId="3" shapeId="0">
      <text>
        <r>
          <rPr>
            <b/>
            <sz val="9"/>
            <color indexed="81"/>
            <rFont val="Tahoma"/>
            <family val="2"/>
          </rPr>
          <t>SLC-T</t>
        </r>
        <r>
          <rPr>
            <b/>
            <sz val="9"/>
            <color indexed="81"/>
            <rFont val="돋움"/>
            <family val="3"/>
            <charset val="129"/>
          </rPr>
          <t>카드로 교체
'11.09.28
IP계통운영통신시스템
절체관련</t>
        </r>
      </text>
    </comment>
    <comment ref="D264" authorId="3" shapeId="0">
      <text>
        <r>
          <rPr>
            <b/>
            <sz val="9"/>
            <color indexed="81"/>
            <rFont val="Tahoma"/>
            <family val="2"/>
          </rPr>
          <t>SLC-T</t>
        </r>
        <r>
          <rPr>
            <b/>
            <sz val="9"/>
            <color indexed="81"/>
            <rFont val="돋움"/>
            <family val="3"/>
            <charset val="129"/>
          </rPr>
          <t>카드로 교체
'11.09.28
IP계통운영통신시스템
절체관련</t>
        </r>
      </text>
    </comment>
    <comment ref="I264" authorId="3" shapeId="0">
      <text>
        <r>
          <rPr>
            <b/>
            <sz val="9"/>
            <color indexed="81"/>
            <rFont val="Tahoma"/>
            <family val="2"/>
          </rPr>
          <t>SLC-T</t>
        </r>
        <r>
          <rPr>
            <b/>
            <sz val="9"/>
            <color indexed="81"/>
            <rFont val="돋움"/>
            <family val="3"/>
            <charset val="129"/>
          </rPr>
          <t>카드로 교체
'11.09.28
IP계통운영통신시스템
절체관련</t>
        </r>
      </text>
    </comment>
    <comment ref="I309" authorId="2" shapeId="0">
      <text>
        <r>
          <rPr>
            <b/>
            <sz val="9"/>
            <color indexed="81"/>
            <rFont val="Tahoma"/>
            <family val="2"/>
          </rPr>
          <t>SLC-E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</text>
    </comment>
    <comment ref="I318" authorId="3" shapeId="0">
      <text>
        <r>
          <rPr>
            <b/>
            <sz val="9"/>
            <color indexed="81"/>
            <rFont val="Tahoma"/>
            <family val="2"/>
          </rPr>
          <t>SLC-T</t>
        </r>
        <r>
          <rPr>
            <b/>
            <sz val="9"/>
            <color indexed="81"/>
            <rFont val="돋움"/>
            <family val="3"/>
            <charset val="129"/>
          </rPr>
          <t xml:space="preserve">교체
</t>
        </r>
        <r>
          <rPr>
            <b/>
            <sz val="9"/>
            <color indexed="81"/>
            <rFont val="Tahoma"/>
            <family val="2"/>
          </rPr>
          <t>'11.09.28</t>
        </r>
      </text>
    </comment>
    <comment ref="H440" authorId="2" shapeId="0">
      <text>
        <r>
          <rPr>
            <sz val="9"/>
            <color indexed="81"/>
            <rFont val="Tahoma"/>
            <family val="2"/>
          </rPr>
          <t>C-MUX CH30</t>
        </r>
        <r>
          <rPr>
            <sz val="9"/>
            <color indexed="81"/>
            <rFont val="돋움"/>
            <family val="3"/>
            <charset val="129"/>
          </rPr>
          <t>사용불가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PC</author>
  </authors>
  <commentList>
    <comment ref="A5" authorId="0" shapeId="0">
      <text>
        <r>
          <rPr>
            <sz val="12"/>
            <color indexed="81"/>
            <rFont val="Tahoma"/>
            <family val="2"/>
          </rPr>
          <t>IP : 100.204.72.61</t>
        </r>
      </text>
    </comment>
  </commentList>
</comments>
</file>

<file path=xl/comments4.xml><?xml version="1.0" encoding="utf-8"?>
<comments xmlns="http://schemas.openxmlformats.org/spreadsheetml/2006/main">
  <authors>
    <author>PC</author>
  </authors>
  <commentList>
    <comment ref="A5" authorId="0" shapeId="0">
      <text>
        <r>
          <rPr>
            <sz val="12"/>
            <color indexed="81"/>
            <rFont val="Tahoma"/>
            <family val="2"/>
          </rPr>
          <t>IP : 100.204.77.102</t>
        </r>
      </text>
    </comment>
  </commentList>
</comments>
</file>

<file path=xl/comments5.xml><?xml version="1.0" encoding="utf-8"?>
<comments xmlns="http://schemas.openxmlformats.org/spreadsheetml/2006/main">
  <authors>
    <author>PC</author>
  </authors>
  <commentList>
    <comment ref="A5" authorId="0" shapeId="0">
      <text>
        <r>
          <rPr>
            <sz val="12"/>
            <color indexed="81"/>
            <rFont val="Tahoma"/>
            <family val="2"/>
          </rPr>
          <t>IP : 100.204.70.67</t>
        </r>
      </text>
    </comment>
  </commentList>
</comments>
</file>

<file path=xl/comments6.xml><?xml version="1.0" encoding="utf-8"?>
<comments xmlns="http://schemas.openxmlformats.org/spreadsheetml/2006/main">
  <authors>
    <author>kepco</author>
  </authors>
  <commentList>
    <comment ref="B5" authorId="0" shapeId="0">
      <text>
        <r>
          <rPr>
            <b/>
            <sz val="9"/>
            <color indexed="81"/>
            <rFont val="돋움"/>
            <family val="3"/>
            <charset val="129"/>
          </rPr>
          <t>광카드</t>
        </r>
        <r>
          <rPr>
            <b/>
            <sz val="9"/>
            <color indexed="81"/>
            <rFont val="Tahoma"/>
            <family val="2"/>
          </rPr>
          <t xml:space="preserve"> : OUT-C
CLOCK : LOOP</t>
        </r>
      </text>
    </comment>
    <comment ref="A21" authorId="0" shapeId="0">
      <text>
        <r>
          <rPr>
            <b/>
            <sz val="9"/>
            <color indexed="81"/>
            <rFont val="돋움"/>
            <family val="3"/>
            <charset val="129"/>
          </rPr>
          <t>광카드</t>
        </r>
        <r>
          <rPr>
            <b/>
            <sz val="9"/>
            <color indexed="81"/>
            <rFont val="Tahoma"/>
            <family val="2"/>
          </rPr>
          <t xml:space="preserve"> : OUT-D
CLOCK : FREE</t>
        </r>
      </text>
    </comment>
  </commentList>
</comments>
</file>

<file path=xl/comments7.xml><?xml version="1.0" encoding="utf-8"?>
<comments xmlns="http://schemas.openxmlformats.org/spreadsheetml/2006/main">
  <authors>
    <author>PC</author>
    <author>kepco</author>
  </authors>
  <commentList>
    <comment ref="A3" authorId="0" shapeId="0">
      <text>
        <r>
          <rPr>
            <sz val="12"/>
            <color indexed="81"/>
            <rFont val="Tahoma"/>
            <family val="2"/>
          </rPr>
          <t>IP : 100.204.71.52</t>
        </r>
      </text>
    </comment>
    <comment ref="A61" authorId="1" shapeId="0">
      <text>
        <r>
          <rPr>
            <b/>
            <sz val="9"/>
            <color indexed="81"/>
            <rFont val="돋움"/>
            <family val="3"/>
            <charset val="129"/>
          </rPr>
          <t>광카드</t>
        </r>
        <r>
          <rPr>
            <b/>
            <sz val="9"/>
            <color indexed="81"/>
            <rFont val="Tahoma"/>
            <family val="2"/>
          </rPr>
          <t xml:space="preserve"> : OUT-D
CLOCK : FREE</t>
        </r>
      </text>
    </comment>
  </commentList>
</comments>
</file>

<file path=xl/comments8.xml><?xml version="1.0" encoding="utf-8"?>
<comments xmlns="http://schemas.openxmlformats.org/spreadsheetml/2006/main">
  <authors>
    <author>kepco</author>
  </authors>
  <commentList>
    <comment ref="A5" authorId="0" shapeId="0">
      <text>
        <r>
          <rPr>
            <sz val="12"/>
            <color indexed="81"/>
            <rFont val="돋움"/>
            <family val="3"/>
            <charset val="129"/>
          </rPr>
          <t>IP : 100.204.74.58</t>
        </r>
      </text>
    </comment>
    <comment ref="B125" authorId="0" shapeId="0">
      <text>
        <r>
          <rPr>
            <b/>
            <sz val="9"/>
            <color indexed="81"/>
            <rFont val="돋움"/>
            <family val="3"/>
            <charset val="129"/>
          </rPr>
          <t>공카드 : OUT-D
CLOCK : LOOP</t>
        </r>
      </text>
    </comment>
  </commentList>
</comments>
</file>

<file path=xl/sharedStrings.xml><?xml version="1.0" encoding="utf-8"?>
<sst xmlns="http://schemas.openxmlformats.org/spreadsheetml/2006/main" count="3642" uniqueCount="952">
  <si>
    <t>설치장소</t>
  </si>
  <si>
    <t>대국장소</t>
  </si>
  <si>
    <t>순번</t>
    <phoneticPr fontId="2" type="noConversion"/>
  </si>
  <si>
    <t>카드</t>
    <phoneticPr fontId="2" type="noConversion"/>
  </si>
  <si>
    <t>회선 사용 내역</t>
    <phoneticPr fontId="2" type="noConversion"/>
  </si>
  <si>
    <t>중계경로</t>
    <phoneticPr fontId="2" type="noConversion"/>
  </si>
  <si>
    <t>E1</t>
  </si>
  <si>
    <t>주</t>
  </si>
  <si>
    <t>T1</t>
  </si>
  <si>
    <t>PITR</t>
  </si>
  <si>
    <t>OMS-PLUS</t>
    <phoneticPr fontId="2" type="noConversion"/>
  </si>
  <si>
    <t>CMS-PLUS</t>
  </si>
  <si>
    <t>CMS-PLUS</t>
    <phoneticPr fontId="2" type="noConversion"/>
  </si>
  <si>
    <t>ETU</t>
  </si>
  <si>
    <t>춘천-12-남춘천</t>
  </si>
  <si>
    <t>SLC-T/E</t>
  </si>
  <si>
    <t>춘천</t>
    <phoneticPr fontId="2" type="noConversion"/>
  </si>
  <si>
    <t>4W E&amp;M</t>
  </si>
  <si>
    <t>SLC-E</t>
  </si>
  <si>
    <t>RD</t>
  </si>
  <si>
    <t>2W 4W E&amp;M</t>
  </si>
  <si>
    <t>SLC-T</t>
  </si>
  <si>
    <t>본부</t>
    <phoneticPr fontId="2" type="noConversion"/>
  </si>
  <si>
    <t>인제</t>
    <phoneticPr fontId="2" type="noConversion"/>
  </si>
  <si>
    <t>양구</t>
    <phoneticPr fontId="2" type="noConversion"/>
  </si>
  <si>
    <t>T1</t>
    <phoneticPr fontId="2" type="noConversion"/>
  </si>
  <si>
    <t>PITR</t>
    <phoneticPr fontId="2" type="noConversion"/>
  </si>
  <si>
    <t>주</t>
    <phoneticPr fontId="2" type="noConversion"/>
  </si>
  <si>
    <t>E1</t>
    <phoneticPr fontId="2" type="noConversion"/>
  </si>
  <si>
    <t>예비</t>
    <phoneticPr fontId="2" type="noConversion"/>
  </si>
  <si>
    <t>LAN</t>
    <phoneticPr fontId="2" type="noConversion"/>
  </si>
  <si>
    <t>춘천-4-소양HP</t>
    <phoneticPr fontId="2" type="noConversion"/>
  </si>
  <si>
    <t>소양HP</t>
    <phoneticPr fontId="2" type="noConversion"/>
  </si>
  <si>
    <t>북춘천</t>
    <phoneticPr fontId="2" type="noConversion"/>
  </si>
  <si>
    <t>화천</t>
    <phoneticPr fontId="2" type="noConversion"/>
  </si>
  <si>
    <t>춘천-인제</t>
    <phoneticPr fontId="2" type="noConversion"/>
  </si>
  <si>
    <t>급전</t>
    <phoneticPr fontId="2" type="noConversion"/>
  </si>
  <si>
    <t>P32-T</t>
    <phoneticPr fontId="2" type="noConversion"/>
  </si>
  <si>
    <t>내선</t>
    <phoneticPr fontId="2" type="noConversion"/>
  </si>
  <si>
    <t>간성</t>
    <phoneticPr fontId="2" type="noConversion"/>
  </si>
  <si>
    <t>상남</t>
    <phoneticPr fontId="2" type="noConversion"/>
  </si>
  <si>
    <t>인제-2-상남</t>
    <phoneticPr fontId="2" type="noConversion"/>
  </si>
  <si>
    <t>RTU</t>
    <phoneticPr fontId="2" type="noConversion"/>
  </si>
  <si>
    <t>남춘천</t>
    <phoneticPr fontId="2" type="noConversion"/>
  </si>
  <si>
    <t>홍천</t>
    <phoneticPr fontId="2" type="noConversion"/>
  </si>
  <si>
    <t>가평</t>
    <phoneticPr fontId="2" type="noConversion"/>
  </si>
  <si>
    <t>춘천HP</t>
    <phoneticPr fontId="2" type="noConversion"/>
  </si>
  <si>
    <t>화천HP</t>
    <phoneticPr fontId="2" type="noConversion"/>
  </si>
  <si>
    <t>철원</t>
    <phoneticPr fontId="2" type="noConversion"/>
  </si>
  <si>
    <t>철원-1-화천</t>
    <phoneticPr fontId="2" type="noConversion"/>
  </si>
  <si>
    <t>원주</t>
    <phoneticPr fontId="2" type="noConversion"/>
  </si>
  <si>
    <t>COT</t>
    <phoneticPr fontId="2" type="noConversion"/>
  </si>
  <si>
    <t>설치장소</t>
    <phoneticPr fontId="2" type="noConversion"/>
  </si>
  <si>
    <t>회선내역</t>
    <phoneticPr fontId="2" type="noConversion"/>
  </si>
  <si>
    <t>LIU(B)</t>
    <phoneticPr fontId="2" type="noConversion"/>
  </si>
  <si>
    <r>
      <t>L</t>
    </r>
    <r>
      <rPr>
        <sz val="11"/>
        <color theme="1"/>
        <rFont val="맑은 고딕"/>
        <family val="3"/>
        <charset val="129"/>
        <scheme val="minor"/>
      </rPr>
      <t>IU-DS</t>
    </r>
    <phoneticPr fontId="2" type="noConversion"/>
  </si>
  <si>
    <t>RT : 1</t>
    <phoneticPr fontId="2" type="noConversion"/>
  </si>
  <si>
    <t>LAN</t>
  </si>
  <si>
    <t>화천</t>
  </si>
  <si>
    <t>RT : 2</t>
    <phoneticPr fontId="2" type="noConversion"/>
  </si>
  <si>
    <t>RT : 3</t>
    <phoneticPr fontId="2" type="noConversion"/>
  </si>
  <si>
    <t>154kV 춘천-북춘천#1,2</t>
  </si>
  <si>
    <t>춘천-(4:통합단말:3)-화천</t>
  </si>
  <si>
    <t>SCADA</t>
  </si>
  <si>
    <t>화천 Digital SCADA</t>
  </si>
  <si>
    <r>
      <t>F</t>
    </r>
    <r>
      <rPr>
        <sz val="11"/>
        <color theme="1"/>
        <rFont val="맑은 고딕"/>
        <family val="3"/>
        <charset val="129"/>
        <scheme val="minor"/>
      </rPr>
      <t>N 3 (</t>
    </r>
    <r>
      <rPr>
        <sz val="11"/>
        <color indexed="8"/>
        <rFont val="맑은 고딕"/>
        <family val="3"/>
        <charset val="129"/>
      </rPr>
      <t>LIU-A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</si>
  <si>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F</t>
    </r>
    <r>
      <rPr>
        <sz val="11"/>
        <color theme="1"/>
        <rFont val="맑은 고딕"/>
        <family val="3"/>
        <charset val="129"/>
        <scheme val="minor"/>
      </rPr>
      <t>N 5 (</t>
    </r>
    <r>
      <rPr>
        <sz val="11"/>
        <color indexed="8"/>
        <rFont val="맑은 고딕"/>
        <family val="3"/>
        <charset val="129"/>
      </rPr>
      <t>LIU-C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</si>
  <si>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FN 3 (LIU-A)</t>
  </si>
  <si>
    <t>FN 5 (LIU-C)</t>
  </si>
  <si>
    <t>FN 5 (LIU-C)</t>
    <phoneticPr fontId="2" type="noConversion"/>
  </si>
  <si>
    <t>FN 3 (LIU-A)</t>
    <phoneticPr fontId="2" type="noConversion"/>
  </si>
  <si>
    <t>FRU</t>
  </si>
  <si>
    <t>FXS</t>
    <phoneticPr fontId="2" type="noConversion"/>
  </si>
  <si>
    <t>4W E&amp;M</t>
    <phoneticPr fontId="2" type="noConversion"/>
  </si>
  <si>
    <t>RD</t>
    <phoneticPr fontId="2" type="noConversion"/>
  </si>
  <si>
    <t>FX0</t>
    <phoneticPr fontId="2" type="noConversion"/>
  </si>
  <si>
    <t>춘천-7-남춘천</t>
    <phoneticPr fontId="2" type="noConversion"/>
  </si>
  <si>
    <t>154 춘천-소양걍HP T/L</t>
    <phoneticPr fontId="2" type="noConversion"/>
  </si>
  <si>
    <t>154 춘천-소양강HP</t>
    <phoneticPr fontId="2" type="noConversion"/>
  </si>
  <si>
    <t>154 홍천-소양걍HP T/L</t>
    <phoneticPr fontId="2" type="noConversion"/>
  </si>
  <si>
    <t>청평양수</t>
    <phoneticPr fontId="2" type="noConversion"/>
  </si>
  <si>
    <t>춘천-10-홍천-10-상남-6-인제</t>
    <phoneticPr fontId="2" type="noConversion"/>
  </si>
  <si>
    <t>태백</t>
    <phoneticPr fontId="2" type="noConversion"/>
  </si>
  <si>
    <t>강릉</t>
    <phoneticPr fontId="2" type="noConversion"/>
  </si>
  <si>
    <t>CMUX</t>
    <phoneticPr fontId="2" type="noConversion"/>
  </si>
  <si>
    <t>동해</t>
    <phoneticPr fontId="2" type="noConversion"/>
  </si>
  <si>
    <t>강릉지사</t>
    <phoneticPr fontId="2" type="noConversion"/>
  </si>
  <si>
    <t>9.6k</t>
    <phoneticPr fontId="2" type="noConversion"/>
  </si>
  <si>
    <t>신태백</t>
    <phoneticPr fontId="2" type="noConversion"/>
  </si>
  <si>
    <r>
      <t>9</t>
    </r>
    <r>
      <rPr>
        <sz val="11"/>
        <rFont val="맑은 고딕"/>
        <family val="3"/>
        <charset val="129"/>
      </rPr>
      <t>.6k</t>
    </r>
    <phoneticPr fontId="2" type="noConversion"/>
  </si>
  <si>
    <r>
      <t>춘천-</t>
    </r>
    <r>
      <rPr>
        <sz val="11"/>
        <rFont val="맑은 고딕"/>
        <family val="3"/>
        <charset val="129"/>
      </rPr>
      <t>9-인제-3-양구</t>
    </r>
    <r>
      <rPr>
        <sz val="11"/>
        <color indexed="8"/>
        <rFont val="맑은 고딕"/>
        <family val="3"/>
        <charset val="129"/>
      </rPr>
      <t/>
    </r>
    <phoneticPr fontId="2" type="noConversion"/>
  </si>
  <si>
    <r>
      <t>춘천-</t>
    </r>
    <r>
      <rPr>
        <sz val="11"/>
        <rFont val="맑은 고딕"/>
        <family val="3"/>
        <charset val="129"/>
      </rPr>
      <t>11-인제-5-양구</t>
    </r>
    <r>
      <rPr>
        <sz val="11"/>
        <color indexed="8"/>
        <rFont val="맑은 고딕"/>
        <family val="3"/>
        <charset val="129"/>
      </rPr>
      <t/>
    </r>
    <phoneticPr fontId="2" type="noConversion"/>
  </si>
  <si>
    <r>
      <t>R</t>
    </r>
    <r>
      <rPr>
        <sz val="11"/>
        <rFont val="맑은 고딕"/>
        <family val="3"/>
        <charset val="129"/>
      </rPr>
      <t>/D</t>
    </r>
    <phoneticPr fontId="2" type="noConversion"/>
  </si>
  <si>
    <t>급전전화</t>
    <phoneticPr fontId="2" type="noConversion"/>
  </si>
  <si>
    <r>
      <t>신태백S</t>
    </r>
    <r>
      <rPr>
        <sz val="11"/>
        <rFont val="맑은 고딕"/>
        <family val="3"/>
        <charset val="129"/>
      </rPr>
      <t>/S 급전(거래소)</t>
    </r>
    <phoneticPr fontId="2" type="noConversion"/>
  </si>
  <si>
    <t>강릉P/O 급전(거래소)</t>
    <phoneticPr fontId="2" type="noConversion"/>
  </si>
  <si>
    <t>춘천-(19:통합단말:14)-화천</t>
    <phoneticPr fontId="2" type="noConversion"/>
  </si>
  <si>
    <r>
      <t>F</t>
    </r>
    <r>
      <rPr>
        <sz val="11"/>
        <color theme="1"/>
        <rFont val="맑은 고딕"/>
        <family val="3"/>
        <charset val="129"/>
        <scheme val="minor"/>
      </rPr>
      <t>N 5 (</t>
    </r>
    <r>
      <rPr>
        <sz val="11"/>
        <color indexed="8"/>
        <rFont val="맑은 고딕"/>
        <family val="3"/>
        <charset val="129"/>
      </rPr>
      <t>LIU-C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</si>
  <si>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서홍천</t>
    <phoneticPr fontId="2" type="noConversion"/>
  </si>
  <si>
    <r>
      <t>FN 3 (LIU-</t>
    </r>
    <r>
      <rPr>
        <sz val="11"/>
        <color theme="1"/>
        <rFont val="맑은 고딕"/>
        <family val="3"/>
        <charset val="129"/>
        <scheme val="minor"/>
      </rPr>
      <t>E</t>
    </r>
    <r>
      <rPr>
        <sz val="11"/>
        <color indexed="8"/>
        <rFont val="맑은 고딕"/>
        <family val="3"/>
        <charset val="129"/>
      </rPr>
      <t>)</t>
    </r>
    <phoneticPr fontId="2" type="noConversion"/>
  </si>
  <si>
    <t>154 남춘천-춘천 T/L</t>
    <phoneticPr fontId="2" type="noConversion"/>
  </si>
  <si>
    <t>춘천-북춘천</t>
    <phoneticPr fontId="2" type="noConversion"/>
  </si>
  <si>
    <r>
      <t>R</t>
    </r>
    <r>
      <rPr>
        <sz val="11"/>
        <rFont val="맑은 고딕"/>
        <family val="3"/>
        <charset val="129"/>
      </rPr>
      <t>D</t>
    </r>
    <phoneticPr fontId="2" type="noConversion"/>
  </si>
  <si>
    <t>SLC-T</t>
    <phoneticPr fontId="2" type="noConversion"/>
  </si>
  <si>
    <t>불량</t>
    <phoneticPr fontId="2" type="noConversion"/>
  </si>
  <si>
    <t>ETU</t>
    <phoneticPr fontId="2" type="noConversion"/>
  </si>
  <si>
    <r>
      <t>S</t>
    </r>
    <r>
      <rPr>
        <sz val="11"/>
        <rFont val="맑은 고딕"/>
        <family val="3"/>
        <charset val="129"/>
      </rPr>
      <t>LC-T</t>
    </r>
    <phoneticPr fontId="2" type="noConversion"/>
  </si>
  <si>
    <t>OA LAN_2</t>
  </si>
  <si>
    <r>
      <t>SLC-</t>
    </r>
    <r>
      <rPr>
        <sz val="11"/>
        <rFont val="맑은 고딕"/>
        <family val="3"/>
        <charset val="129"/>
      </rPr>
      <t>T</t>
    </r>
    <phoneticPr fontId="2" type="noConversion"/>
  </si>
  <si>
    <t>북평-동해-[CMUX(19)]-DD-[CMS(7)]-강릉지사</t>
    <phoneticPr fontId="2" type="noConversion"/>
  </si>
  <si>
    <t>154kV 화천-화천HP</t>
    <phoneticPr fontId="2" type="noConversion"/>
  </si>
  <si>
    <t>T1</t>
    <phoneticPr fontId="2" type="noConversion"/>
  </si>
  <si>
    <t>PITR</t>
    <phoneticPr fontId="2" type="noConversion"/>
  </si>
  <si>
    <t>예비</t>
    <phoneticPr fontId="2" type="noConversion"/>
  </si>
  <si>
    <t>통신실(630)</t>
    <phoneticPr fontId="2" type="noConversion"/>
  </si>
  <si>
    <r>
      <t>인제-</t>
    </r>
    <r>
      <rPr>
        <sz val="11"/>
        <rFont val="맑은 고딕"/>
        <family val="3"/>
        <charset val="129"/>
      </rPr>
      <t>5-춘천</t>
    </r>
    <phoneticPr fontId="2" type="noConversion"/>
  </si>
  <si>
    <r>
      <t>T</t>
    </r>
    <r>
      <rPr>
        <sz val="11"/>
        <rFont val="맑은 고딕"/>
        <family val="3"/>
        <charset val="129"/>
      </rPr>
      <t>WBP</t>
    </r>
    <phoneticPr fontId="2" type="noConversion"/>
  </si>
  <si>
    <r>
      <t xml:space="preserve">양구 </t>
    </r>
    <r>
      <rPr>
        <sz val="11"/>
        <rFont val="맑은 고딕"/>
        <family val="3"/>
        <charset val="129"/>
      </rPr>
      <t>TWBP</t>
    </r>
    <phoneticPr fontId="2" type="noConversion"/>
  </si>
  <si>
    <t>양구 통신실 (640)</t>
    <phoneticPr fontId="2" type="noConversion"/>
  </si>
  <si>
    <t>154 춘천-소양강HP T/L</t>
    <phoneticPr fontId="2" type="noConversion"/>
  </si>
  <si>
    <t>154 홍천-소양강HP T/L</t>
    <phoneticPr fontId="2" type="noConversion"/>
  </si>
  <si>
    <r>
      <t>9</t>
    </r>
    <r>
      <rPr>
        <sz val="11"/>
        <rFont val="맑은 고딕"/>
        <family val="3"/>
        <charset val="129"/>
      </rPr>
      <t>.6K</t>
    </r>
    <phoneticPr fontId="2" type="noConversion"/>
  </si>
  <si>
    <t>동해P/O</t>
    <phoneticPr fontId="2" type="noConversion"/>
  </si>
  <si>
    <t>남춘천S/S 예비군(168)</t>
    <phoneticPr fontId="2" type="noConversion"/>
  </si>
  <si>
    <t>본부-[MDF C12(2)]-춘천-15-남춘천</t>
    <phoneticPr fontId="2" type="noConversion"/>
  </si>
  <si>
    <t>강릉배전센터-강릉P/O</t>
    <phoneticPr fontId="2" type="noConversion"/>
  </si>
  <si>
    <t>강릉배전센터-동해</t>
    <phoneticPr fontId="2" type="noConversion"/>
  </si>
  <si>
    <t>강릉배전센터-북평</t>
    <phoneticPr fontId="2" type="noConversion"/>
  </si>
  <si>
    <r>
      <t>강릉배전센터-동해</t>
    </r>
    <r>
      <rPr>
        <sz val="11"/>
        <rFont val="맑은 고딕"/>
        <family val="3"/>
        <charset val="129"/>
      </rPr>
      <t>P/O</t>
    </r>
    <phoneticPr fontId="2" type="noConversion"/>
  </si>
  <si>
    <t>강릉배전센터-태백P/O</t>
    <phoneticPr fontId="2" type="noConversion"/>
  </si>
  <si>
    <t>강릉D/O-[CMS(8)]-본부-[CMUX(25)]-동해</t>
    <phoneticPr fontId="2" type="noConversion"/>
  </si>
  <si>
    <t>강릉D/O-[CMS(9)]-본부-[CMUX(13)]-태백</t>
    <phoneticPr fontId="2" type="noConversion"/>
  </si>
  <si>
    <t>강릉D/O-[CMS(11)]-본부-[CMUX(12)]-강릉P/O-속초</t>
    <phoneticPr fontId="2" type="noConversion"/>
  </si>
  <si>
    <t>강릉배전센터-속초</t>
    <phoneticPr fontId="2" type="noConversion"/>
  </si>
  <si>
    <t>북춘천 Digital SCADA</t>
    <phoneticPr fontId="2" type="noConversion"/>
  </si>
  <si>
    <t>남춘천 Digital SCADA</t>
    <phoneticPr fontId="2" type="noConversion"/>
  </si>
  <si>
    <t>서홍천 Digital SCADA</t>
    <phoneticPr fontId="2" type="noConversion"/>
  </si>
  <si>
    <t>10.11.25 SH</t>
    <phoneticPr fontId="2" type="noConversion"/>
  </si>
  <si>
    <t>급전</t>
    <phoneticPr fontId="10" type="noConversion"/>
  </si>
  <si>
    <t>T1</t>
    <phoneticPr fontId="2" type="noConversion"/>
  </si>
  <si>
    <t>PITR</t>
    <phoneticPr fontId="2" type="noConversion"/>
  </si>
  <si>
    <t>주</t>
    <phoneticPr fontId="2" type="noConversion"/>
  </si>
  <si>
    <t>춘천-(1:통합단말:1)-북춘천</t>
    <phoneticPr fontId="2" type="noConversion"/>
  </si>
  <si>
    <t>춘천수력</t>
    <phoneticPr fontId="2" type="noConversion"/>
  </si>
  <si>
    <t>춘천-(6:통합단말:8)-북춘천-11-춘천HP</t>
    <phoneticPr fontId="2" type="noConversion"/>
  </si>
  <si>
    <t>화천</t>
    <phoneticPr fontId="2" type="noConversion"/>
  </si>
  <si>
    <t>춘천-(11:통합단말:CU)-화천</t>
    <phoneticPr fontId="2" type="noConversion"/>
  </si>
  <si>
    <t>FRU</t>
    <phoneticPr fontId="2" type="noConversion"/>
  </si>
  <si>
    <t>북춘천</t>
    <phoneticPr fontId="2" type="noConversion"/>
  </si>
  <si>
    <t>춘천-(12:통합단말:CU)-북춘천</t>
    <phoneticPr fontId="2" type="noConversion"/>
  </si>
  <si>
    <t>E1</t>
    <phoneticPr fontId="2" type="noConversion"/>
  </si>
  <si>
    <t>SCADA</t>
    <phoneticPr fontId="2" type="noConversion"/>
  </si>
  <si>
    <t>화천 Digital SCADA</t>
    <phoneticPr fontId="2" type="noConversion"/>
  </si>
  <si>
    <t>CCTV</t>
    <phoneticPr fontId="2" type="noConversion"/>
  </si>
  <si>
    <t>북춘천 집수정 카메라</t>
    <phoneticPr fontId="2" type="noConversion"/>
  </si>
  <si>
    <t>춘천-(4:통합단말:3)-화천</t>
    <phoneticPr fontId="2" type="noConversion"/>
  </si>
  <si>
    <t>10.1.14, HS</t>
    <phoneticPr fontId="2" type="noConversion"/>
  </si>
  <si>
    <t>154kV 남춘천-춘천</t>
    <phoneticPr fontId="2" type="noConversion"/>
  </si>
  <si>
    <t>춘천-(6:통합단말:3)-남춘천</t>
    <phoneticPr fontId="2" type="noConversion"/>
  </si>
  <si>
    <t>E1</t>
    <phoneticPr fontId="2" type="noConversion"/>
  </si>
  <si>
    <t>CMS-PLUS</t>
    <phoneticPr fontId="2" type="noConversion"/>
  </si>
  <si>
    <t>남춘천-춘천</t>
    <phoneticPr fontId="2" type="noConversion"/>
  </si>
  <si>
    <t>춘천-(7:통합단말:4)-남춘천</t>
    <phoneticPr fontId="2" type="noConversion"/>
  </si>
  <si>
    <t>남춘천</t>
    <phoneticPr fontId="2" type="noConversion"/>
  </si>
  <si>
    <t>춘천-(22:통합단말:CU)-남춘천</t>
    <phoneticPr fontId="2" type="noConversion"/>
  </si>
  <si>
    <t>청평PP</t>
    <phoneticPr fontId="2" type="noConversion"/>
  </si>
  <si>
    <t>서홍천</t>
    <phoneticPr fontId="2" type="noConversion"/>
  </si>
  <si>
    <t>춘천-(24:통합단말:CU)-서홍천</t>
    <phoneticPr fontId="2" type="noConversion"/>
  </si>
  <si>
    <t>10.6.22,SH</t>
    <phoneticPr fontId="2" type="noConversion"/>
  </si>
  <si>
    <t>10.11.29 CH</t>
    <phoneticPr fontId="2" type="noConversion"/>
  </si>
  <si>
    <t>10.11.29 SH</t>
    <phoneticPr fontId="2" type="noConversion"/>
  </si>
  <si>
    <t>남춘천 전력구</t>
    <phoneticPr fontId="2" type="noConversion"/>
  </si>
  <si>
    <t>강릉D/O-[CMS(12)]-본부-[CMUX(19)]-강릉P/O</t>
    <phoneticPr fontId="2" type="noConversion"/>
  </si>
  <si>
    <t>11.4.21 SH</t>
    <phoneticPr fontId="2" type="noConversion"/>
  </si>
  <si>
    <t>11.4.14 SH</t>
    <phoneticPr fontId="2" type="noConversion"/>
  </si>
  <si>
    <t>북춘천-춘천HP</t>
    <phoneticPr fontId="2" type="noConversion"/>
  </si>
  <si>
    <t>11.5.13 SH</t>
    <phoneticPr fontId="2" type="noConversion"/>
  </si>
  <si>
    <t>10.5.13, SH</t>
    <phoneticPr fontId="2" type="noConversion"/>
  </si>
  <si>
    <t>주</t>
    <phoneticPr fontId="2" type="noConversion"/>
  </si>
  <si>
    <t>강릉-거래소급전</t>
    <phoneticPr fontId="2" type="noConversion"/>
  </si>
  <si>
    <t>본사-[CMS(1)]-본부-[CMUX(20)]-강릉P/O</t>
    <phoneticPr fontId="2" type="noConversion"/>
  </si>
  <si>
    <r>
      <t>원주-춘천</t>
    </r>
    <r>
      <rPr>
        <sz val="11"/>
        <rFont val="맑은 고딕"/>
        <family val="3"/>
        <charset val="129"/>
      </rPr>
      <t>HP</t>
    </r>
    <phoneticPr fontId="2" type="noConversion"/>
  </si>
  <si>
    <r>
      <t>춘천-한강</t>
    </r>
    <r>
      <rPr>
        <sz val="11"/>
        <rFont val="맑은 고딕"/>
        <family val="3"/>
        <charset val="129"/>
      </rPr>
      <t>RCC</t>
    </r>
    <phoneticPr fontId="2" type="noConversion"/>
  </si>
  <si>
    <r>
      <t>원주분소-청평</t>
    </r>
    <r>
      <rPr>
        <sz val="11"/>
        <rFont val="맑은 고딕"/>
        <family val="3"/>
        <charset val="129"/>
      </rPr>
      <t>H/P</t>
    </r>
    <phoneticPr fontId="2" type="noConversion"/>
  </si>
  <si>
    <t>원주분소-의암H/P</t>
    <phoneticPr fontId="2" type="noConversion"/>
  </si>
  <si>
    <t>원주분소-화천H/P</t>
    <phoneticPr fontId="2" type="noConversion"/>
  </si>
  <si>
    <t>의암H/P-(한수원망)-춘천H/P-9-북춘천-2-춘천-14-원주</t>
    <phoneticPr fontId="2" type="noConversion"/>
  </si>
  <si>
    <t>청평H/P-(한수원망)-춘천H/P-8-북춘천-1-춘천-30-원주</t>
    <phoneticPr fontId="2" type="noConversion"/>
  </si>
  <si>
    <t>춘천H/P-2-북춘천-4-춘천</t>
    <phoneticPr fontId="2" type="noConversion"/>
  </si>
  <si>
    <t>PDAS</t>
    <phoneticPr fontId="2" type="noConversion"/>
  </si>
  <si>
    <t>춘천-화천수력</t>
    <phoneticPr fontId="2" type="noConversion"/>
  </si>
  <si>
    <t>BLANK</t>
    <phoneticPr fontId="2" type="noConversion"/>
  </si>
  <si>
    <t>강원급전소-한강RCC</t>
    <phoneticPr fontId="2" type="noConversion"/>
  </si>
  <si>
    <t>12.1.9 SH</t>
    <phoneticPr fontId="2" type="noConversion"/>
  </si>
  <si>
    <r>
      <t>L</t>
    </r>
    <r>
      <rPr>
        <sz val="11"/>
        <color indexed="8"/>
        <rFont val="맑은 고딕"/>
        <family val="3"/>
        <charset val="129"/>
      </rPr>
      <t>AN</t>
    </r>
    <phoneticPr fontId="22" type="noConversion"/>
  </si>
  <si>
    <t>SCADA</t>
    <phoneticPr fontId="2" type="noConversion"/>
  </si>
  <si>
    <t>통합(P-to-P) 4W/EM</t>
    <phoneticPr fontId="2" type="noConversion"/>
  </si>
  <si>
    <t>통합(P-to-P) E1/T1</t>
    <phoneticPr fontId="2" type="noConversion"/>
  </si>
  <si>
    <r>
      <t>SLC-</t>
    </r>
    <r>
      <rPr>
        <sz val="11"/>
        <rFont val="맑은 고딕"/>
        <family val="3"/>
        <charset val="129"/>
      </rPr>
      <t>E</t>
    </r>
    <phoneticPr fontId="2" type="noConversion"/>
  </si>
  <si>
    <r>
      <t>L</t>
    </r>
    <r>
      <rPr>
        <sz val="11"/>
        <rFont val="맑은 고딕"/>
        <family val="3"/>
        <charset val="129"/>
      </rPr>
      <t>IU</t>
    </r>
    <phoneticPr fontId="2" type="noConversion"/>
  </si>
  <si>
    <t xml:space="preserve"> 춘천-통합P[2]-본부-[40:MSPP:22]-동해-[22:통합:1]-인제-RTU</t>
    <phoneticPr fontId="2" type="noConversion"/>
  </si>
  <si>
    <t>12.6.19 SH</t>
    <phoneticPr fontId="2" type="noConversion"/>
  </si>
  <si>
    <t>예정</t>
    <phoneticPr fontId="2" type="noConversion"/>
  </si>
  <si>
    <t>사용불가</t>
    <phoneticPr fontId="2" type="noConversion"/>
  </si>
  <si>
    <t>회선ID</t>
    <phoneticPr fontId="2" type="noConversion"/>
  </si>
  <si>
    <t>회선ID</t>
    <phoneticPr fontId="10" type="noConversion"/>
  </si>
  <si>
    <t>삼척G/P RTU(거래소)</t>
    <phoneticPr fontId="2" type="noConversion"/>
  </si>
  <si>
    <t>나주KPX-[CMUX(13)]-동해-57[통합단말]12-삼척G/P</t>
    <phoneticPr fontId="2" type="noConversion"/>
  </si>
  <si>
    <t>나주거래소-강릉급전분소</t>
    <phoneticPr fontId="2" type="noConversion"/>
  </si>
  <si>
    <r>
      <t>나주-</t>
    </r>
    <r>
      <rPr>
        <sz val="11"/>
        <rFont val="맑은 고딕"/>
        <family val="3"/>
        <charset val="129"/>
      </rPr>
      <t>[CMS(8)]-본부-[CMUX(28)]-동해</t>
    </r>
    <phoneticPr fontId="2" type="noConversion"/>
  </si>
  <si>
    <t>화재감시</t>
    <phoneticPr fontId="2" type="noConversion"/>
  </si>
  <si>
    <r>
      <t>자동화재탐지기(</t>
    </r>
    <r>
      <rPr>
        <sz val="11"/>
        <rFont val="맑은 고딕"/>
        <family val="3"/>
        <charset val="129"/>
      </rPr>
      <t>646)</t>
    </r>
    <phoneticPr fontId="2" type="noConversion"/>
  </si>
  <si>
    <t>춘천(구)</t>
    <phoneticPr fontId="2" type="noConversion"/>
  </si>
  <si>
    <t>춘천(신)</t>
    <phoneticPr fontId="2" type="noConversion"/>
  </si>
  <si>
    <r>
      <t>춘천-</t>
    </r>
    <r>
      <rPr>
        <sz val="11"/>
        <rFont val="맑은 고딕"/>
        <family val="3"/>
        <charset val="129"/>
      </rPr>
      <t>8-인제-6-양구</t>
    </r>
    <phoneticPr fontId="2" type="noConversion"/>
  </si>
  <si>
    <t>E1</t>
    <phoneticPr fontId="2" type="noConversion"/>
  </si>
  <si>
    <t>북춘천</t>
    <phoneticPr fontId="2" type="noConversion"/>
  </si>
  <si>
    <t>화천HP</t>
    <phoneticPr fontId="2" type="noConversion"/>
  </si>
  <si>
    <t>가평-화천HP</t>
    <phoneticPr fontId="2" type="noConversion"/>
  </si>
  <si>
    <t>화천-(2:통합단말:4)-북춘천-6-화천H/P</t>
    <phoneticPr fontId="2" type="noConversion"/>
  </si>
  <si>
    <t>구</t>
    <phoneticPr fontId="2" type="noConversion"/>
  </si>
  <si>
    <t>신</t>
    <phoneticPr fontId="2" type="noConversion"/>
  </si>
  <si>
    <t>?</t>
    <phoneticPr fontId="2" type="noConversion"/>
  </si>
  <si>
    <t>EMS</t>
    <phoneticPr fontId="2" type="noConversion"/>
  </si>
  <si>
    <t>나주(본사)</t>
    <phoneticPr fontId="2" type="noConversion"/>
  </si>
  <si>
    <t>신양양S/S 급전(거래소)</t>
    <phoneticPr fontId="2" type="noConversion"/>
  </si>
  <si>
    <t>강원급전소 급전(거래소)</t>
    <phoneticPr fontId="2" type="noConversion"/>
  </si>
  <si>
    <t>나주KPX-CH1-강원본부-21(C-MUX)-강릉</t>
    <phoneticPr fontId="2" type="noConversion"/>
  </si>
  <si>
    <t>나주KPX-CH2-강원본부-27(C-MUX)-동해전력지사</t>
    <phoneticPr fontId="2" type="noConversion"/>
  </si>
  <si>
    <t>나주KPX-CH4-강원본부-15(C-MUX)-태백전력지사-5(P-32T)-신태백변전소</t>
    <phoneticPr fontId="2" type="noConversion"/>
  </si>
  <si>
    <t>나주KPX-CH5-강원본부-37(C-MUX)-춘천변전소</t>
    <phoneticPr fontId="2" type="noConversion"/>
  </si>
  <si>
    <t>나주KPX-CH6-강원본부-38(C-MUX)-춘천변전소</t>
    <phoneticPr fontId="2" type="noConversion"/>
  </si>
  <si>
    <t>나주KPX-CH7-강원본부-31(C-MUX)-춘천-21(CMS-PLUS)-홍천</t>
    <phoneticPr fontId="2" type="noConversion"/>
  </si>
  <si>
    <t>의왕거래소</t>
    <phoneticPr fontId="2" type="noConversion"/>
  </si>
  <si>
    <t>삼척G/P(거래소)</t>
    <phoneticPr fontId="2" type="noConversion"/>
  </si>
  <si>
    <t>의왕전력거래소-CH1-강원본부-14(C-MUX)-강릉</t>
    <phoneticPr fontId="2" type="noConversion"/>
  </si>
  <si>
    <t>의왕전력거래소-CH2-강원본부-26(C-MUX)-동해전력지사</t>
    <phoneticPr fontId="2" type="noConversion"/>
  </si>
  <si>
    <t>의왕전력거래소-CH4-강원본부-8(C-MUX)-태백-4(P32-T)-신태백</t>
    <phoneticPr fontId="2" type="noConversion"/>
  </si>
  <si>
    <t>의왕전력거래소-CH5-강원본부-19(C-MUX)-춘천</t>
    <phoneticPr fontId="2" type="noConversion"/>
  </si>
  <si>
    <t>의왕전력거래소-CH6-강원본부-33(C-MUX)-춘천</t>
  </si>
  <si>
    <t>의왕전력거래소-CH7-강원본부-7(C-MUX)-춘천-19(CMS-PLUS)-홍천</t>
    <phoneticPr fontId="2" type="noConversion"/>
  </si>
  <si>
    <t>거래소(의왕)-급전분소</t>
    <phoneticPr fontId="2" type="noConversion"/>
  </si>
  <si>
    <t>거래소(의왕)-삼척G/P</t>
    <phoneticPr fontId="2" type="noConversion"/>
  </si>
  <si>
    <t>거래소(나주)-급전분소</t>
    <phoneticPr fontId="2" type="noConversion"/>
  </si>
  <si>
    <r>
      <t>거래소(나주</t>
    </r>
    <r>
      <rPr>
        <sz val="11"/>
        <rFont val="맑은 고딕"/>
        <family val="3"/>
        <charset val="129"/>
      </rPr>
      <t>)-신태백</t>
    </r>
    <phoneticPr fontId="2" type="noConversion"/>
  </si>
  <si>
    <t>거래소(나주)-홍천</t>
    <phoneticPr fontId="2" type="noConversion"/>
  </si>
  <si>
    <t>양양P/P RTU(나주거래소)</t>
    <phoneticPr fontId="2" type="noConversion"/>
  </si>
  <si>
    <t>신양양S/S RTU(나주거래소)</t>
    <phoneticPr fontId="2" type="noConversion"/>
  </si>
  <si>
    <t>북춘천-3(통합PTP)3-가평-9(OMS)9-춘천HP</t>
    <phoneticPr fontId="2" type="noConversion"/>
  </si>
  <si>
    <t>춘천-4(통합PTP)4-북춘천-4(통합PTP)4-가평-3(OMS)3-춘천HP</t>
  </si>
  <si>
    <t>신양양</t>
    <phoneticPr fontId="2" type="noConversion"/>
  </si>
  <si>
    <t>북평T/P</t>
    <phoneticPr fontId="2" type="noConversion"/>
  </si>
  <si>
    <t>북평T/P RTU(나주거래소)</t>
    <phoneticPr fontId="2" type="noConversion"/>
  </si>
  <si>
    <t>나주KPX-15(CMS)-강원D/D-15(C-MUX)-동해-2(통합PTP)2-북평T/P</t>
    <phoneticPr fontId="2" type="noConversion"/>
  </si>
  <si>
    <t>북평T/P(거래소)</t>
    <phoneticPr fontId="2" type="noConversion"/>
  </si>
  <si>
    <t>신태백S/S RTU(나주거래소)</t>
    <phoneticPr fontId="2" type="noConversion"/>
  </si>
  <si>
    <t>화천CSU#2</t>
    <phoneticPr fontId="2" type="noConversion"/>
  </si>
  <si>
    <t>154kV 철원-화천#1,2T/L</t>
    <phoneticPr fontId="2" type="noConversion"/>
  </si>
  <si>
    <t>철원-(1:통합단말:5)-화천</t>
    <phoneticPr fontId="2" type="noConversion"/>
  </si>
  <si>
    <t>화천B/O(파워콤OMA#2?)</t>
    <phoneticPr fontId="2" type="noConversion"/>
  </si>
  <si>
    <t>개정일자</t>
    <phoneticPr fontId="2" type="noConversion"/>
  </si>
  <si>
    <t>변경내역</t>
    <phoneticPr fontId="2" type="noConversion"/>
  </si>
  <si>
    <t>사 유</t>
    <phoneticPr fontId="2" type="noConversion"/>
  </si>
  <si>
    <t>비 고</t>
    <phoneticPr fontId="2" type="noConversion"/>
  </si>
  <si>
    <t>설비종류</t>
    <phoneticPr fontId="2" type="noConversion"/>
  </si>
  <si>
    <t>카드종류</t>
    <phoneticPr fontId="2" type="noConversion"/>
  </si>
  <si>
    <t>포트번호</t>
    <phoneticPr fontId="25" type="noConversion"/>
  </si>
  <si>
    <t>회선내역(개정전)</t>
    <phoneticPr fontId="2" type="noConversion"/>
  </si>
  <si>
    <t>회선내역(개정후)</t>
    <phoneticPr fontId="2" type="noConversion"/>
  </si>
  <si>
    <t>2017.01.13</t>
    <phoneticPr fontId="25" type="noConversion"/>
  </si>
  <si>
    <t>광단국 선번장 개정이력</t>
    <phoneticPr fontId="2" type="noConversion"/>
  </si>
  <si>
    <t>선번장</t>
    <phoneticPr fontId="2" type="noConversion"/>
  </si>
  <si>
    <t>통합PTP</t>
    <phoneticPr fontId="25" type="noConversion"/>
  </si>
  <si>
    <t>LIU</t>
    <phoneticPr fontId="25" type="noConversion"/>
  </si>
  <si>
    <t>1,2,4,5</t>
    <phoneticPr fontId="25" type="noConversion"/>
  </si>
  <si>
    <t>현황정리</t>
    <phoneticPr fontId="25" type="noConversion"/>
  </si>
  <si>
    <t>-</t>
    <phoneticPr fontId="25" type="noConversion"/>
  </si>
  <si>
    <t>-</t>
    <phoneticPr fontId="25" type="noConversion"/>
  </si>
  <si>
    <t>화천S/S</t>
    <phoneticPr fontId="25" type="noConversion"/>
  </si>
  <si>
    <t>통합단말</t>
    <phoneticPr fontId="25" type="noConversion"/>
  </si>
  <si>
    <t>1-8</t>
    <phoneticPr fontId="25" type="noConversion"/>
  </si>
  <si>
    <t>2017.03.09</t>
    <phoneticPr fontId="25" type="noConversion"/>
  </si>
  <si>
    <t>양구S/S</t>
    <phoneticPr fontId="25" type="noConversion"/>
  </si>
  <si>
    <t xml:space="preserve">P32T(인제계) </t>
    <phoneticPr fontId="25" type="noConversion"/>
  </si>
  <si>
    <t xml:space="preserve">P32T(상남계) </t>
    <phoneticPr fontId="25" type="noConversion"/>
  </si>
  <si>
    <t>4W E/M</t>
    <phoneticPr fontId="25" type="noConversion"/>
  </si>
  <si>
    <t>2</t>
    <phoneticPr fontId="25" type="noConversion"/>
  </si>
  <si>
    <t>3, 4</t>
    <phoneticPr fontId="25" type="noConversion"/>
  </si>
  <si>
    <t>2017.07 UPDATE</t>
  </si>
  <si>
    <t>순번</t>
    <phoneticPr fontId="2" type="noConversion"/>
  </si>
  <si>
    <t>카드</t>
    <phoneticPr fontId="2" type="noConversion"/>
  </si>
  <si>
    <t>회선 사용 내역</t>
    <phoneticPr fontId="2" type="noConversion"/>
  </si>
  <si>
    <t>중계경로</t>
    <phoneticPr fontId="2" type="noConversion"/>
  </si>
  <si>
    <t>E1/T1</t>
    <phoneticPr fontId="27" type="noConversion"/>
  </si>
  <si>
    <t>본부</t>
    <phoneticPr fontId="2" type="noConversion"/>
  </si>
  <si>
    <t>CMUX</t>
    <phoneticPr fontId="2" type="noConversion"/>
  </si>
  <si>
    <t>춘천(구)</t>
    <phoneticPr fontId="2" type="noConversion"/>
  </si>
  <si>
    <t>춘천(신)</t>
    <phoneticPr fontId="2" type="noConversion"/>
  </si>
  <si>
    <t>4W E&amp;M</t>
    <phoneticPr fontId="2" type="noConversion"/>
  </si>
  <si>
    <t>통합(PTP)#1 E1/T1</t>
    <phoneticPr fontId="2" type="noConversion"/>
  </si>
  <si>
    <t>통합(PTP)#2 E1/T1</t>
    <phoneticPr fontId="2" type="noConversion"/>
  </si>
  <si>
    <t>T1/E1</t>
  </si>
  <si>
    <t>T1/E1</t>
    <phoneticPr fontId="2" type="noConversion"/>
  </si>
  <si>
    <t>춘천-소양HP PITR㈜</t>
    <phoneticPr fontId="2" type="noConversion"/>
  </si>
  <si>
    <t>남춘천-춘천 PITR㈜</t>
    <phoneticPr fontId="2" type="noConversion"/>
  </si>
  <si>
    <t>춘천-소양HP PITR(예비)</t>
    <phoneticPr fontId="2" type="noConversion"/>
  </si>
  <si>
    <t>T1</t>
    <phoneticPr fontId="2" type="noConversion"/>
  </si>
  <si>
    <t>PITR</t>
    <phoneticPr fontId="2" type="noConversion"/>
  </si>
  <si>
    <t>예비</t>
    <phoneticPr fontId="2" type="noConversion"/>
  </si>
  <si>
    <t>E1</t>
    <phoneticPr fontId="2" type="noConversion"/>
  </si>
  <si>
    <t>CMS-PLUS</t>
    <phoneticPr fontId="2" type="noConversion"/>
  </si>
  <si>
    <t>PDAS</t>
    <phoneticPr fontId="2" type="noConversion"/>
  </si>
  <si>
    <t>통합(PTP)</t>
    <phoneticPr fontId="2" type="noConversion"/>
  </si>
  <si>
    <r>
      <t>홍천-</t>
    </r>
    <r>
      <rPr>
        <sz val="11"/>
        <rFont val="맑은 고딕"/>
        <family val="3"/>
        <charset val="129"/>
      </rPr>
      <t>11-</t>
    </r>
    <r>
      <rPr>
        <sz val="11"/>
        <rFont val="맑은 고딕"/>
        <family val="3"/>
        <charset val="129"/>
      </rPr>
      <t>춘천-5-소양HP</t>
    </r>
    <phoneticPr fontId="2" type="noConversion"/>
  </si>
  <si>
    <t>SLC-T</t>
    <phoneticPr fontId="2" type="noConversion"/>
  </si>
  <si>
    <t>급전</t>
    <phoneticPr fontId="2" type="noConversion"/>
  </si>
  <si>
    <t>강원급전소-소양H/P</t>
    <phoneticPr fontId="2" type="noConversion"/>
  </si>
  <si>
    <t>소양H/P-3-춘천-24-원주</t>
    <phoneticPr fontId="2" type="noConversion"/>
  </si>
  <si>
    <t>춘천-소양H/P</t>
    <phoneticPr fontId="2" type="noConversion"/>
  </si>
  <si>
    <t>춘천-4-소양H/P</t>
    <phoneticPr fontId="2" type="noConversion"/>
  </si>
  <si>
    <r>
      <t>춘천HP</t>
    </r>
    <r>
      <rPr>
        <sz val="11"/>
        <rFont val="맑은 고딕"/>
        <family val="3"/>
        <charset val="129"/>
      </rPr>
      <t>-</t>
    </r>
    <r>
      <rPr>
        <sz val="11"/>
        <rFont val="맑은 고딕"/>
        <family val="3"/>
        <charset val="129"/>
      </rPr>
      <t>18-</t>
    </r>
    <r>
      <rPr>
        <sz val="11"/>
        <rFont val="맑은 고딕"/>
        <family val="3"/>
        <charset val="129"/>
      </rPr>
      <t>북춘천-</t>
    </r>
    <r>
      <rPr>
        <sz val="11"/>
        <rFont val="맑은 고딕"/>
        <family val="3"/>
        <charset val="129"/>
      </rPr>
      <t>(16:통합단말:35)-</t>
    </r>
    <r>
      <rPr>
        <sz val="11"/>
        <rFont val="맑은 고딕"/>
        <family val="3"/>
        <charset val="129"/>
      </rPr>
      <t>춘천-</t>
    </r>
    <r>
      <rPr>
        <sz val="11"/>
        <rFont val="맑은 고딕"/>
        <family val="3"/>
        <charset val="129"/>
      </rPr>
      <t>23</t>
    </r>
    <r>
      <rPr>
        <sz val="11"/>
        <rFont val="맑은 고딕"/>
        <family val="3"/>
        <charset val="129"/>
      </rPr>
      <t>-원주</t>
    </r>
    <phoneticPr fontId="2" type="noConversion"/>
  </si>
  <si>
    <t>불량</t>
    <phoneticPr fontId="2" type="noConversion"/>
  </si>
  <si>
    <t>SLC-E</t>
    <phoneticPr fontId="2" type="noConversion"/>
  </si>
  <si>
    <r>
      <t>남춘천 배전반 (610</t>
    </r>
    <r>
      <rPr>
        <sz val="11"/>
        <rFont val="맑은 고딕"/>
        <family val="3"/>
        <charset val="129"/>
      </rPr>
      <t>)</t>
    </r>
    <phoneticPr fontId="2" type="noConversion"/>
  </si>
  <si>
    <r>
      <t>남춘천 배전반 (</t>
    </r>
    <r>
      <rPr>
        <sz val="11"/>
        <rFont val="맑은 고딕"/>
        <family val="3"/>
        <charset val="129"/>
      </rPr>
      <t>611</t>
    </r>
    <r>
      <rPr>
        <sz val="11"/>
        <rFont val="맑은 고딕"/>
        <family val="3"/>
        <charset val="129"/>
      </rPr>
      <t>)</t>
    </r>
    <phoneticPr fontId="2" type="noConversion"/>
  </si>
  <si>
    <r>
      <t>남춘천 배전반 (</t>
    </r>
    <r>
      <rPr>
        <sz val="11"/>
        <rFont val="맑은 고딕"/>
        <family val="3"/>
        <charset val="129"/>
      </rPr>
      <t>612</t>
    </r>
    <r>
      <rPr>
        <sz val="11"/>
        <rFont val="맑은 고딕"/>
        <family val="3"/>
        <charset val="129"/>
      </rPr>
      <t>)</t>
    </r>
    <phoneticPr fontId="2" type="noConversion"/>
  </si>
  <si>
    <r>
      <t>남춘천 배전반 (659</t>
    </r>
    <r>
      <rPr>
        <sz val="11"/>
        <rFont val="맑은 고딕"/>
        <family val="3"/>
        <charset val="129"/>
      </rPr>
      <t>)</t>
    </r>
    <phoneticPr fontId="2" type="noConversion"/>
  </si>
  <si>
    <r>
      <t>남춘천 FAX(614</t>
    </r>
    <r>
      <rPr>
        <sz val="11"/>
        <rFont val="맑은 고딕"/>
        <family val="3"/>
        <charset val="129"/>
      </rPr>
      <t>)</t>
    </r>
    <phoneticPr fontId="2" type="noConversion"/>
  </si>
  <si>
    <r>
      <t>남춘천 배전반 (</t>
    </r>
    <r>
      <rPr>
        <sz val="11"/>
        <rFont val="맑은 고딕"/>
        <family val="3"/>
        <charset val="129"/>
      </rPr>
      <t>615</t>
    </r>
    <r>
      <rPr>
        <sz val="11"/>
        <rFont val="맑은 고딕"/>
        <family val="3"/>
        <charset val="129"/>
      </rPr>
      <t>)</t>
    </r>
    <phoneticPr fontId="2" type="noConversion"/>
  </si>
  <si>
    <r>
      <t>남춘천 통신실 (</t>
    </r>
    <r>
      <rPr>
        <sz val="11"/>
        <rFont val="맑은 고딕"/>
        <family val="3"/>
        <charset val="129"/>
      </rPr>
      <t>617</t>
    </r>
    <r>
      <rPr>
        <sz val="11"/>
        <rFont val="맑은 고딕"/>
        <family val="3"/>
        <charset val="129"/>
      </rPr>
      <t>)</t>
    </r>
    <phoneticPr fontId="2" type="noConversion"/>
  </si>
  <si>
    <t>춘천-8-남춘천</t>
    <phoneticPr fontId="2" type="noConversion"/>
  </si>
  <si>
    <t>춘천-9-남춘천</t>
    <phoneticPr fontId="2" type="noConversion"/>
  </si>
  <si>
    <t>춘천-11-남춘천</t>
    <phoneticPr fontId="2" type="noConversion"/>
  </si>
  <si>
    <t>춘천-14-남춘천</t>
    <phoneticPr fontId="2" type="noConversion"/>
  </si>
  <si>
    <t>남춘천</t>
    <phoneticPr fontId="2" type="noConversion"/>
  </si>
  <si>
    <t>OMS-PLUS</t>
    <phoneticPr fontId="2" type="noConversion"/>
  </si>
  <si>
    <t>PITR</t>
    <phoneticPr fontId="2" type="noConversion"/>
  </si>
  <si>
    <t>홍천</t>
    <phoneticPr fontId="2" type="noConversion"/>
  </si>
  <si>
    <t>T1/E1</t>
    <phoneticPr fontId="2" type="noConversion"/>
  </si>
  <si>
    <t>E1</t>
    <phoneticPr fontId="2" type="noConversion"/>
  </si>
  <si>
    <t>4W E&amp;M</t>
    <phoneticPr fontId="2" type="noConversion"/>
  </si>
  <si>
    <t>열병합</t>
    <phoneticPr fontId="2" type="noConversion"/>
  </si>
  <si>
    <t>통합PTP</t>
  </si>
  <si>
    <t>통합PTP</t>
    <phoneticPr fontId="2" type="noConversion"/>
  </si>
  <si>
    <t>남춘천-1(PTP)-열병합</t>
    <phoneticPr fontId="2" type="noConversion"/>
  </si>
  <si>
    <t>남춘천-2(PTP)-열병합</t>
    <phoneticPr fontId="2" type="noConversion"/>
  </si>
  <si>
    <t>P32T</t>
    <phoneticPr fontId="2" type="noConversion"/>
  </si>
  <si>
    <t>북춘천-화천수력 P32T</t>
    <phoneticPr fontId="2" type="noConversion"/>
  </si>
  <si>
    <t>P32-T</t>
    <phoneticPr fontId="2" type="noConversion"/>
  </si>
  <si>
    <t>북춘천-춘천HP P32T</t>
    <phoneticPr fontId="2" type="noConversion"/>
  </si>
  <si>
    <t>북춘천-1(PTP)-춘천HP</t>
    <phoneticPr fontId="2" type="noConversion"/>
  </si>
  <si>
    <t>I-MUX</t>
    <phoneticPr fontId="2" type="noConversion"/>
  </si>
  <si>
    <t>통합PTP E1/T1</t>
    <phoneticPr fontId="2" type="noConversion"/>
  </si>
  <si>
    <t>북춘천</t>
    <phoneticPr fontId="2" type="noConversion"/>
  </si>
  <si>
    <t>CMS-PLUS</t>
    <phoneticPr fontId="2" type="noConversion"/>
  </si>
  <si>
    <t>춘천HP</t>
    <phoneticPr fontId="2" type="noConversion"/>
  </si>
  <si>
    <t>P32-T</t>
    <phoneticPr fontId="2" type="noConversion"/>
  </si>
  <si>
    <t>화천HP</t>
    <phoneticPr fontId="2" type="noConversion"/>
  </si>
  <si>
    <r>
      <t>S</t>
    </r>
    <r>
      <rPr>
        <sz val="11"/>
        <rFont val="맑은 고딕"/>
        <family val="3"/>
        <charset val="129"/>
      </rPr>
      <t>LC-T/E</t>
    </r>
    <phoneticPr fontId="2" type="noConversion"/>
  </si>
  <si>
    <t>통합PTP #1 E1/T1</t>
    <phoneticPr fontId="2" type="noConversion"/>
  </si>
  <si>
    <t>통합PTP #2 E1/T1</t>
    <phoneticPr fontId="2" type="noConversion"/>
  </si>
  <si>
    <t>T1</t>
    <phoneticPr fontId="27" type="noConversion"/>
  </si>
  <si>
    <t>E1</t>
    <phoneticPr fontId="27" type="noConversion"/>
  </si>
  <si>
    <t>본부</t>
    <phoneticPr fontId="2" type="noConversion"/>
  </si>
  <si>
    <t>서홍천-청평PP P32T</t>
    <phoneticPr fontId="27" type="noConversion"/>
  </si>
  <si>
    <t>급전전화</t>
    <phoneticPr fontId="27" type="noConversion"/>
  </si>
  <si>
    <t>급전소~청평양수</t>
    <phoneticPr fontId="27" type="noConversion"/>
  </si>
  <si>
    <t>남춘천S/S 광단국 선번장</t>
    <phoneticPr fontId="2" type="noConversion"/>
  </si>
  <si>
    <t>배전전력구</t>
    <phoneticPr fontId="2" type="noConversion"/>
  </si>
  <si>
    <t>2017.08수정</t>
    <phoneticPr fontId="2" type="noConversion"/>
  </si>
  <si>
    <t>2017.08삭제_영월CC</t>
    <phoneticPr fontId="2" type="noConversion"/>
  </si>
  <si>
    <t>둔내ADS?</t>
    <phoneticPr fontId="2" type="noConversion"/>
  </si>
  <si>
    <t>천안거래소-강릉급전분소</t>
    <phoneticPr fontId="2" type="noConversion"/>
  </si>
  <si>
    <t>천안KPX-CH7-본부-(CMUX#1:22)-강릉</t>
    <phoneticPr fontId="2" type="noConversion"/>
  </si>
  <si>
    <t>DAS</t>
    <phoneticPr fontId="2" type="noConversion"/>
  </si>
  <si>
    <t>천안거래소-속초(USIS)</t>
    <phoneticPr fontId="2" type="noConversion"/>
  </si>
  <si>
    <t>나주거래소-속초(USIS)</t>
    <phoneticPr fontId="2" type="noConversion"/>
  </si>
  <si>
    <t>임시구성</t>
    <phoneticPr fontId="2" type="noConversion"/>
  </si>
  <si>
    <t>2017.08삭제_북평</t>
    <phoneticPr fontId="2" type="noConversion"/>
  </si>
  <si>
    <t>동해S/S(천안거래소)</t>
    <phoneticPr fontId="2" type="noConversion"/>
  </si>
  <si>
    <t>동해S/S-16-강원D/D-4-천안KPX</t>
    <phoneticPr fontId="2" type="noConversion"/>
  </si>
  <si>
    <t>삼척G/P</t>
    <phoneticPr fontId="2" type="noConversion"/>
  </si>
  <si>
    <t>LTU  (T/D)</t>
    <phoneticPr fontId="2" type="noConversion"/>
  </si>
  <si>
    <t>양양양수</t>
    <phoneticPr fontId="2" type="noConversion"/>
  </si>
  <si>
    <t>강원본부RCC</t>
    <phoneticPr fontId="2" type="noConversion"/>
  </si>
  <si>
    <t>강릉-22-본부-7(37)-천안거래소</t>
    <phoneticPr fontId="2" type="noConversion"/>
  </si>
  <si>
    <t>삼척G/P-북평-16-동해--본부-8(38)-천안거래소</t>
    <phoneticPr fontId="2" type="noConversion"/>
  </si>
  <si>
    <t>춘천-본부-9(39)-천안거래소</t>
    <phoneticPr fontId="2" type="noConversion"/>
  </si>
  <si>
    <t>신태백-태백-본부-11(41)-천안거래소</t>
    <phoneticPr fontId="2" type="noConversion"/>
  </si>
  <si>
    <t>동해-29-본부-13(43)-천안거래소</t>
    <phoneticPr fontId="2" type="noConversion"/>
  </si>
  <si>
    <t>속초USIS</t>
    <phoneticPr fontId="2" type="noConversion"/>
  </si>
  <si>
    <t>속초-(10:통합:35)-강릉-(28)-본부-19(49)-천안거래소</t>
    <phoneticPr fontId="2" type="noConversion"/>
  </si>
  <si>
    <t>2017.08수정</t>
    <phoneticPr fontId="2" type="noConversion"/>
  </si>
  <si>
    <t>2017.10수정</t>
  </si>
  <si>
    <t>2017.11수정</t>
  </si>
  <si>
    <t>2017.12수정</t>
  </si>
  <si>
    <t>2017.13수정</t>
  </si>
  <si>
    <t>2017.14수정</t>
  </si>
  <si>
    <t>2017.16수정</t>
  </si>
  <si>
    <t>2017.17수정</t>
  </si>
  <si>
    <t>2017.18수정</t>
  </si>
  <si>
    <t>속초:USIS-(10:통합:38)-강릉-(CMUX#1:28)-본부-19-천안거래소</t>
    <phoneticPr fontId="2" type="noConversion"/>
  </si>
  <si>
    <t>속초:USIS-(11:통합:39)-강릉-(CMUX#1:29)-본부-16-나주거래소</t>
    <phoneticPr fontId="2" type="noConversion"/>
  </si>
  <si>
    <t>삼척그린파워-(13:통합단말:49)-동해-13-강원본부-14-나주KPX</t>
    <phoneticPr fontId="2" type="noConversion"/>
  </si>
  <si>
    <t>삭제예정</t>
    <phoneticPr fontId="2" type="noConversion"/>
  </si>
  <si>
    <t>신태백S/S 급전(거래소)</t>
    <phoneticPr fontId="2" type="noConversion"/>
  </si>
  <si>
    <t>동해-16-본부-4(34)-천안거래소</t>
    <phoneticPr fontId="2" type="noConversion"/>
  </si>
  <si>
    <t>양양P/P RTU(천안거래소)</t>
    <phoneticPr fontId="2" type="noConversion"/>
  </si>
  <si>
    <t>삼척G/P(천안거래소)</t>
    <phoneticPr fontId="2" type="noConversion"/>
  </si>
  <si>
    <t>북평T/P(천안거래소)</t>
    <phoneticPr fontId="2" type="noConversion"/>
  </si>
  <si>
    <t>양수-3-동해-17-본부-1(31)-천안거래소</t>
    <phoneticPr fontId="2" type="noConversion"/>
  </si>
  <si>
    <t>삼척G/P-(13:통합:58)-동해-18-본부-5(35)-천안거래소</t>
    <phoneticPr fontId="2" type="noConversion"/>
  </si>
  <si>
    <t>북평화력-(9:통합:18)-동해-24-본부-6(36)-천안거래소</t>
    <phoneticPr fontId="2" type="noConversion"/>
  </si>
  <si>
    <t>신태백-태백-18-본부-3(33)-천안거래소</t>
  </si>
  <si>
    <t>신태백-태백-18-본부-3(33)-천안거래소</t>
    <phoneticPr fontId="2" type="noConversion"/>
  </si>
  <si>
    <t>신태백(천안거래소)</t>
    <phoneticPr fontId="2" type="noConversion"/>
  </si>
  <si>
    <t>완료</t>
    <phoneticPr fontId="2" type="noConversion"/>
  </si>
  <si>
    <t>양구</t>
    <phoneticPr fontId="2" type="noConversion"/>
  </si>
  <si>
    <t>인제</t>
    <phoneticPr fontId="2" type="noConversion"/>
  </si>
  <si>
    <t>P32-T</t>
    <phoneticPr fontId="2" type="noConversion"/>
  </si>
  <si>
    <t>OMS-5116</t>
    <phoneticPr fontId="2" type="noConversion"/>
  </si>
  <si>
    <t>PITR</t>
    <phoneticPr fontId="2" type="noConversion"/>
  </si>
  <si>
    <t>화재경보수신</t>
    <phoneticPr fontId="2" type="noConversion"/>
  </si>
  <si>
    <t>신양양</t>
    <phoneticPr fontId="2" type="noConversion"/>
  </si>
  <si>
    <r>
      <t>L</t>
    </r>
    <r>
      <rPr>
        <sz val="11"/>
        <rFont val="맑은 고딕"/>
        <family val="3"/>
        <charset val="129"/>
      </rPr>
      <t>IU</t>
    </r>
    <phoneticPr fontId="2" type="noConversion"/>
  </si>
  <si>
    <t>통합(P-to-P) E1/T1</t>
    <phoneticPr fontId="2" type="noConversion"/>
  </si>
  <si>
    <t>4W E&amp;M</t>
    <phoneticPr fontId="2" type="noConversion"/>
  </si>
  <si>
    <t>인제S/S 광단국 선번장</t>
    <phoneticPr fontId="2" type="noConversion"/>
  </si>
  <si>
    <t>PITR</t>
    <phoneticPr fontId="27" type="noConversion"/>
  </si>
  <si>
    <t>예비</t>
    <phoneticPr fontId="27" type="noConversion"/>
  </si>
  <si>
    <t>상남-인제#1T/L</t>
    <phoneticPr fontId="2" type="noConversion"/>
  </si>
  <si>
    <t>상남-인제#2T/L</t>
  </si>
  <si>
    <t>인제-1-상남</t>
    <phoneticPr fontId="2" type="noConversion"/>
  </si>
  <si>
    <t>동해P/O 변전소(거래소)</t>
    <phoneticPr fontId="2" type="noConversion"/>
  </si>
  <si>
    <t>동해급전분소(거래소)</t>
    <phoneticPr fontId="2" type="noConversion"/>
  </si>
  <si>
    <t>나주KPX-CH9-강원본부-7(C-MUX)-동해-46(통합단말)5-삼척그린파워</t>
    <phoneticPr fontId="2" type="noConversion"/>
  </si>
  <si>
    <t>의왕전력거래소-CH8-강원본부-20(C-MUX)-동해-48(통합단말)7-삼척그린파워</t>
    <phoneticPr fontId="2" type="noConversion"/>
  </si>
  <si>
    <t>나주본사-CH9-강원본부-7(C-MUX)-동해-46(통합단말)5-삼척그린파워</t>
    <phoneticPr fontId="2" type="noConversion"/>
  </si>
  <si>
    <t>거래소(나주)-삼척G/P</t>
    <phoneticPr fontId="2" type="noConversion"/>
  </si>
  <si>
    <t>나주KPX-CH10-강원본부-8(C-MUX)-동해</t>
    <phoneticPr fontId="2" type="noConversion"/>
  </si>
  <si>
    <t>동해P/O RTU(나주거래소)</t>
    <phoneticPr fontId="2" type="noConversion"/>
  </si>
  <si>
    <t>나주KPX-CH12-강원본부-9(C-MUX)-동해-45(통합단말)9-양양양수</t>
    <phoneticPr fontId="2" type="noConversion"/>
  </si>
  <si>
    <t>나주KPX-CH13-강원본부-10(C-MUX)-동해-40(통합단말)10-신양양</t>
    <phoneticPr fontId="2" type="noConversion"/>
  </si>
  <si>
    <t>나주KPX-CH11-강원본부-6(C-MUX)-태백-1(P-32T)-신태백</t>
    <phoneticPr fontId="2" type="noConversion"/>
  </si>
  <si>
    <t>9.6k</t>
    <phoneticPr fontId="2" type="noConversion"/>
  </si>
  <si>
    <t>동해급전분소(나주KPX)</t>
    <phoneticPr fontId="2" type="noConversion"/>
  </si>
  <si>
    <t>동해급전분소(의왕KPX)</t>
    <phoneticPr fontId="2" type="noConversion"/>
  </si>
  <si>
    <t>나주-[CMS(9)]-본부-[CMUX(29)]-동해</t>
    <phoneticPr fontId="2" type="noConversion"/>
  </si>
  <si>
    <t>의왕거래소 임시                E1 Trunk 구성</t>
    <phoneticPr fontId="2" type="noConversion"/>
  </si>
  <si>
    <t>신양양-(11:통합:42)-동해-17-강릉-18-본부-2(32)-천안거래소</t>
    <phoneticPr fontId="2" type="noConversion"/>
  </si>
  <si>
    <t>신양양(천안KPX)</t>
    <phoneticPr fontId="2" type="noConversion"/>
  </si>
  <si>
    <t>나주-[CMS(9)]-본부-[CMUX(29)]-동해</t>
    <phoneticPr fontId="2" type="noConversion"/>
  </si>
  <si>
    <t>2017.09 UPDATE</t>
    <phoneticPr fontId="2" type="noConversion"/>
  </si>
  <si>
    <t>2017.11.06</t>
    <phoneticPr fontId="25" type="noConversion"/>
  </si>
  <si>
    <t>춘천S/S</t>
    <phoneticPr fontId="25" type="noConversion"/>
  </si>
  <si>
    <t>본부</t>
    <phoneticPr fontId="25" type="noConversion"/>
  </si>
  <si>
    <t>CMUX(강릉)</t>
    <phoneticPr fontId="25" type="noConversion"/>
  </si>
  <si>
    <t>12</t>
    <phoneticPr fontId="25" type="noConversion"/>
  </si>
  <si>
    <t>11</t>
    <phoneticPr fontId="25" type="noConversion"/>
  </si>
  <si>
    <t>영월CC DAS</t>
    <phoneticPr fontId="25" type="noConversion"/>
  </si>
  <si>
    <t>신평창DAS</t>
    <phoneticPr fontId="25" type="noConversion"/>
  </si>
  <si>
    <t>포트생성</t>
    <phoneticPr fontId="25" type="noConversion"/>
  </si>
  <si>
    <t>신평창ADS</t>
    <phoneticPr fontId="25" type="noConversion"/>
  </si>
  <si>
    <t>2017.11.07</t>
    <phoneticPr fontId="25" type="noConversion"/>
  </si>
  <si>
    <t>OMS(춘천계)</t>
    <phoneticPr fontId="25" type="noConversion"/>
  </si>
  <si>
    <t>OMS(본부계)</t>
    <phoneticPr fontId="25" type="noConversion"/>
  </si>
  <si>
    <t>ETU</t>
    <phoneticPr fontId="25" type="noConversion"/>
  </si>
  <si>
    <t>PTP(본부계)</t>
    <phoneticPr fontId="25" type="noConversion"/>
  </si>
  <si>
    <t>PTP(춘천계)</t>
    <phoneticPr fontId="25" type="noConversion"/>
  </si>
  <si>
    <t>E1</t>
    <phoneticPr fontId="25" type="noConversion"/>
  </si>
  <si>
    <t>8</t>
    <phoneticPr fontId="25" type="noConversion"/>
  </si>
  <si>
    <t>6,9</t>
    <phoneticPr fontId="25" type="noConversion"/>
  </si>
  <si>
    <t>CMUX</t>
    <phoneticPr fontId="25" type="noConversion"/>
  </si>
  <si>
    <t>송변전감시</t>
    <phoneticPr fontId="25" type="noConversion"/>
  </si>
  <si>
    <t>2017.11.08</t>
    <phoneticPr fontId="25" type="noConversion"/>
  </si>
  <si>
    <t>철원 Digital SCADA</t>
    <phoneticPr fontId="2" type="noConversion"/>
  </si>
  <si>
    <t>확인필요</t>
    <phoneticPr fontId="2" type="noConversion"/>
  </si>
  <si>
    <t>2018.02 UPDATE</t>
    <phoneticPr fontId="2" type="noConversion"/>
  </si>
  <si>
    <t>북춘천-4(통합PTP)4-화천HP</t>
    <phoneticPr fontId="2" type="noConversion"/>
  </si>
  <si>
    <t>가평-6(OMS)6-춘천HP-3(IMUX)3-북춘천-7(통합PTP)7-화천HP</t>
    <phoneticPr fontId="2" type="noConversion"/>
  </si>
  <si>
    <t>SCADA</t>
    <phoneticPr fontId="27" type="noConversion"/>
  </si>
  <si>
    <t>P32-T</t>
    <phoneticPr fontId="2" type="noConversion"/>
  </si>
  <si>
    <t>양구</t>
    <phoneticPr fontId="2" type="noConversion"/>
  </si>
  <si>
    <t>인제</t>
    <phoneticPr fontId="2" type="noConversion"/>
  </si>
  <si>
    <t>양구-상남</t>
    <phoneticPr fontId="2" type="noConversion"/>
  </si>
  <si>
    <t>양구-1-상남</t>
    <phoneticPr fontId="2" type="noConversion"/>
  </si>
  <si>
    <t>양구</t>
    <phoneticPr fontId="2" type="noConversion"/>
  </si>
  <si>
    <t>상남</t>
    <phoneticPr fontId="2" type="noConversion"/>
  </si>
  <si>
    <t>양구S/S D-SCADA</t>
    <phoneticPr fontId="27" type="noConversion"/>
  </si>
  <si>
    <t>RT : 2</t>
    <phoneticPr fontId="2" type="noConversion"/>
  </si>
  <si>
    <t>미사용(LED점등X)</t>
    <phoneticPr fontId="30" type="noConversion"/>
  </si>
  <si>
    <t>2018.02 UPDATE</t>
    <phoneticPr fontId="27" type="noConversion"/>
  </si>
  <si>
    <t>154kV 열병합-남춘천 #2</t>
    <phoneticPr fontId="2" type="noConversion"/>
  </si>
  <si>
    <t>154kV 열병합-남춘천 #1</t>
    <phoneticPr fontId="2" type="noConversion"/>
  </si>
  <si>
    <t>서홍천-청평PP PITR</t>
    <phoneticPr fontId="27" type="noConversion"/>
  </si>
  <si>
    <t>열병합-서종 SPS PITR</t>
    <phoneticPr fontId="27" type="noConversion"/>
  </si>
  <si>
    <t>서홍천-열병합 PITR</t>
    <phoneticPr fontId="2" type="noConversion"/>
  </si>
  <si>
    <t>청평PP-열병합 PITR</t>
    <phoneticPr fontId="27" type="noConversion"/>
  </si>
  <si>
    <t>주</t>
    <phoneticPr fontId="27" type="noConversion"/>
  </si>
  <si>
    <t>서홍천-청평PP PITR</t>
    <phoneticPr fontId="2" type="noConversion"/>
  </si>
  <si>
    <t>154kV 열병합-서홍천</t>
    <phoneticPr fontId="2" type="noConversion"/>
  </si>
  <si>
    <t>2018.03 UPDATE</t>
    <phoneticPr fontId="27" type="noConversion"/>
  </si>
  <si>
    <t>남춘천-열병합#2 PITR</t>
    <phoneticPr fontId="2" type="noConversion"/>
  </si>
  <si>
    <t>남춘천-열병합#1 PITR</t>
    <phoneticPr fontId="2" type="noConversion"/>
  </si>
  <si>
    <t>서홍천-2(OMS)-열병합-2(PTP)-청평PP</t>
    <phoneticPr fontId="27" type="noConversion"/>
  </si>
  <si>
    <t>청평PP-1(PTP)-열병합</t>
    <phoneticPr fontId="27" type="noConversion"/>
  </si>
  <si>
    <t>춘천열병합</t>
    <phoneticPr fontId="2" type="noConversion"/>
  </si>
  <si>
    <t>154kV 남춘천-열병합 #1 T/L</t>
    <phoneticPr fontId="2" type="noConversion"/>
  </si>
  <si>
    <t>154kV 남춘천-열병합 #2 T/L</t>
    <phoneticPr fontId="2" type="noConversion"/>
  </si>
  <si>
    <t>154kV 서홍천-열병합 T/L</t>
    <phoneticPr fontId="2" type="noConversion"/>
  </si>
  <si>
    <t>열병합-(5:통합단말:2)-서홍천</t>
    <phoneticPr fontId="2" type="noConversion"/>
  </si>
  <si>
    <t>남춘천-(8:통합단말:3)-열병합</t>
    <phoneticPr fontId="2" type="noConversion"/>
  </si>
  <si>
    <t>남춘천-(7:통합단말:1)-열병합</t>
    <phoneticPr fontId="2" type="noConversion"/>
  </si>
  <si>
    <t>춘천-(10:통합단말:9)-남춘천</t>
    <phoneticPr fontId="2" type="noConversion"/>
  </si>
  <si>
    <t>춘천-(11:통합단말:10)-남춘천</t>
    <phoneticPr fontId="2" type="noConversion"/>
  </si>
  <si>
    <t>춘천-(12:통합단말:11)-남춘천</t>
    <phoneticPr fontId="2" type="noConversion"/>
  </si>
  <si>
    <t>통합(P-to-P) #1</t>
    <phoneticPr fontId="2" type="noConversion"/>
  </si>
  <si>
    <t>통합(P-to-P) #2</t>
    <phoneticPr fontId="2" type="noConversion"/>
  </si>
  <si>
    <t>양구-8-상남-(13:OMS)-홍천-(9:OMS)-춘천</t>
    <phoneticPr fontId="27" type="noConversion"/>
  </si>
  <si>
    <t>춘천-(10:통합단말:13)-북춘천</t>
    <phoneticPr fontId="2" type="noConversion"/>
  </si>
  <si>
    <t>춘천-(13:통합단말:7)-북춘천</t>
    <phoneticPr fontId="2" type="noConversion"/>
  </si>
  <si>
    <t>춘천-(14:통합단말:9)-화천-RTU</t>
    <phoneticPr fontId="2" type="noConversion"/>
  </si>
  <si>
    <t>춘천-(15:통합단말9:)-철원-RTU</t>
    <phoneticPr fontId="2" type="noConversion"/>
  </si>
  <si>
    <t>확인필요(추정)</t>
    <phoneticPr fontId="2" type="noConversion"/>
  </si>
  <si>
    <t>춘천-(16:통합단말11:)-철원-RTU</t>
    <phoneticPr fontId="2" type="noConversion"/>
  </si>
  <si>
    <t>춘천-(21:통합단말:CU)-철원</t>
    <phoneticPr fontId="2" type="noConversion"/>
  </si>
  <si>
    <t>춘천-(22:통합단말:10)-철원</t>
    <phoneticPr fontId="2" type="noConversion"/>
  </si>
  <si>
    <t>춘천-(2:통합단말:9)-북춘천-RTU</t>
    <phoneticPr fontId="2" type="noConversion"/>
  </si>
  <si>
    <t>2018.04 UPDATE</t>
    <phoneticPr fontId="2" type="noConversion"/>
  </si>
  <si>
    <t>춘천-(5:통합단말:CU)-춘천열병합</t>
    <phoneticPr fontId="2" type="noConversion"/>
  </si>
  <si>
    <t>남춘천 배전전력구 감시#1</t>
    <phoneticPr fontId="2" type="noConversion"/>
  </si>
  <si>
    <t>남춘천 배전전력구 감시#2</t>
  </si>
  <si>
    <t>남춘천 배전전력구 감시#3</t>
  </si>
  <si>
    <t>춘천열병합 Digital SCADA</t>
    <phoneticPr fontId="2" type="noConversion"/>
  </si>
  <si>
    <t>춘천-(16:통합단말:17)-춘천열병합</t>
    <phoneticPr fontId="2" type="noConversion"/>
  </si>
  <si>
    <t>춘천-(17:통합단말:18)-춘천열병합</t>
    <phoneticPr fontId="2" type="noConversion"/>
  </si>
  <si>
    <t>춘천#2링 춘천-(14:통합단말:17)-남춘천-RTU</t>
    <phoneticPr fontId="2" type="noConversion"/>
  </si>
  <si>
    <t>춘천#2링 춘천-(15:통합단말:17)-서홍천-RTU</t>
    <phoneticPr fontId="2" type="noConversion"/>
  </si>
  <si>
    <t>가평-화천HP PITR(주)</t>
    <phoneticPr fontId="2" type="noConversion"/>
  </si>
  <si>
    <t>가평-춘천HP T/L</t>
    <phoneticPr fontId="2" type="noConversion"/>
  </si>
  <si>
    <r>
      <t>가평-</t>
    </r>
    <r>
      <rPr>
        <sz val="11"/>
        <rFont val="맑은 고딕"/>
        <family val="3"/>
        <charset val="129"/>
      </rPr>
      <t>1춘천H/P</t>
    </r>
    <phoneticPr fontId="2" type="noConversion"/>
  </si>
  <si>
    <t>가평-화천HP T/L</t>
    <phoneticPr fontId="2" type="noConversion"/>
  </si>
  <si>
    <t>가평-6-춘천HP-IMUX[3]-북춘천-6-화천H/P</t>
    <phoneticPr fontId="2" type="noConversion"/>
  </si>
  <si>
    <t>북춘천-1-춘천HP</t>
    <phoneticPr fontId="2" type="noConversion"/>
  </si>
  <si>
    <t>순번</t>
    <phoneticPr fontId="2" type="noConversion"/>
  </si>
  <si>
    <t>카드</t>
    <phoneticPr fontId="2" type="noConversion"/>
  </si>
  <si>
    <t>회선 사용 내역</t>
    <phoneticPr fontId="2" type="noConversion"/>
  </si>
  <si>
    <t>2018.05 UPDATE</t>
    <phoneticPr fontId="27" type="noConversion"/>
  </si>
  <si>
    <t>철원-운천#1 PITR</t>
    <phoneticPr fontId="27" type="noConversion"/>
  </si>
  <si>
    <t>철원-1(OMS)-운천</t>
    <phoneticPr fontId="31" type="noConversion"/>
  </si>
  <si>
    <t>철원-운천#2 PITR</t>
    <phoneticPr fontId="27" type="noConversion"/>
  </si>
  <si>
    <t>철원-3(OMS)-운천</t>
    <phoneticPr fontId="27" type="noConversion"/>
  </si>
  <si>
    <t>예비</t>
    <phoneticPr fontId="31" type="noConversion"/>
  </si>
  <si>
    <t>철원-운천#2 PITR</t>
    <phoneticPr fontId="27" type="noConversion"/>
  </si>
  <si>
    <t>철원-2(OMS)-운천</t>
    <phoneticPr fontId="27" type="noConversion"/>
  </si>
  <si>
    <t>2018.05 UPDATE</t>
    <phoneticPr fontId="2" type="noConversion"/>
  </si>
  <si>
    <t>남춘천-열병합 SPS PITR</t>
    <phoneticPr fontId="2" type="noConversion"/>
  </si>
  <si>
    <t>남춘천-3(PTP)-열병합</t>
    <phoneticPr fontId="27" type="noConversion"/>
  </si>
  <si>
    <t>예</t>
  </si>
  <si>
    <t>남춘천-춘천열병합 SPS PITR</t>
    <phoneticPr fontId="2" type="noConversion"/>
  </si>
  <si>
    <t>남춘천-(5:통합단말:2)-춘천열병합</t>
    <phoneticPr fontId="2" type="noConversion"/>
  </si>
  <si>
    <r>
      <t>2018.07</t>
    </r>
    <r>
      <rPr>
        <sz val="11"/>
        <rFont val="맑은 고딕"/>
        <family val="3"/>
        <charset val="129"/>
      </rPr>
      <t>.16 작업</t>
    </r>
    <phoneticPr fontId="2" type="noConversion"/>
  </si>
  <si>
    <t>2018.07.16수정</t>
    <phoneticPr fontId="2" type="noConversion"/>
  </si>
  <si>
    <t xml:space="preserve">서홍천 ECSU-(2:통합단말:9)-춘천(구)(PTP#2 : 4) - 본부CSU - ~
</t>
    <phoneticPr fontId="2" type="noConversion"/>
  </si>
  <si>
    <t>화천 ECSU-(4:통합단말:9)-춘천(구)(PTP#2 : 3 ) - 본부CSU - ~</t>
    <phoneticPr fontId="2" type="noConversion"/>
  </si>
  <si>
    <t>18.7.17예정</t>
    <phoneticPr fontId="2" type="noConversion"/>
  </si>
  <si>
    <t>18.7.17 예정</t>
    <phoneticPr fontId="2" type="noConversion"/>
  </si>
  <si>
    <t>동해 : 동해-(MSPP:49 - MSPP#2:5) - 강원본부 - (PTP#2:2) - 춘천(구) - 신재생발전원스위치3</t>
  </si>
  <si>
    <t>북평TP : 동해-(MSPP:50 - MSPP#2:6) - 강원본부 - (PTP#2:6) - 춘천(구) - 신재생발전원스위치4</t>
  </si>
  <si>
    <t>삼척GP : 동해-(MSPP:51 - MSPP#2:7) - 강원본부 - (PTP#2:7) - 춘천(구) - 신재생발전원스위치5</t>
  </si>
  <si>
    <t>서홍천 배전전력구</t>
    <phoneticPr fontId="2" type="noConversion"/>
  </si>
  <si>
    <t>남춘천-(9:통합단말:10)-춘천-(PTP#2:11)-본부</t>
  </si>
  <si>
    <t>남춘천-춘천열병합 SPS PITR</t>
  </si>
  <si>
    <t>남춘천-(5:통합단말:2)-춘천열병합</t>
  </si>
  <si>
    <t>BLANK</t>
  </si>
  <si>
    <t>BLANK</t>
    <phoneticPr fontId="2" type="noConversion"/>
  </si>
  <si>
    <t>급전</t>
  </si>
  <si>
    <t>급전전화</t>
  </si>
  <si>
    <t>울진NP1호기</t>
    <phoneticPr fontId="2" type="noConversion"/>
  </si>
  <si>
    <t>본부통신실 채널급 장비 위치</t>
    <phoneticPr fontId="2" type="noConversion"/>
  </si>
  <si>
    <t>강릉PO CMUX</t>
    <phoneticPr fontId="2" type="noConversion"/>
  </si>
  <si>
    <t>동해PO CMUX</t>
    <phoneticPr fontId="2" type="noConversion"/>
  </si>
  <si>
    <t>원주PO CMUX</t>
    <phoneticPr fontId="2" type="noConversion"/>
  </si>
  <si>
    <t>DAS</t>
    <phoneticPr fontId="2" type="noConversion"/>
  </si>
  <si>
    <t>태백PO CMUX
(단자30 EM카드는 4EA=&gt;24번까지 사용가능)</t>
    <phoneticPr fontId="2" type="noConversion"/>
  </si>
  <si>
    <t>강릉D/O CMS</t>
    <phoneticPr fontId="2" type="noConversion"/>
  </si>
  <si>
    <t>U+</t>
    <phoneticPr fontId="2" type="noConversion"/>
  </si>
  <si>
    <t>의왕 CMS</t>
    <phoneticPr fontId="2" type="noConversion"/>
  </si>
  <si>
    <t>나주 CMS</t>
    <phoneticPr fontId="2" type="noConversion"/>
  </si>
  <si>
    <t>춘천S/S CMUX 1~30</t>
    <phoneticPr fontId="2" type="noConversion"/>
  </si>
  <si>
    <t>춘천 CMUX 31~60                           l                 천안 CMUX</t>
    <phoneticPr fontId="2" type="noConversion"/>
  </si>
  <si>
    <t>춘천 단자대 불량</t>
    <phoneticPr fontId="2" type="noConversion"/>
  </si>
  <si>
    <t>동해/강릉</t>
    <phoneticPr fontId="2" type="noConversion"/>
  </si>
  <si>
    <r>
      <t xml:space="preserve">동해쪽은 </t>
    </r>
    <r>
      <rPr>
        <sz val="11"/>
        <rFont val="맑은 고딕"/>
        <family val="3"/>
        <charset val="129"/>
      </rPr>
      <t>LTU 카드 2장 더 있음</t>
    </r>
    <phoneticPr fontId="2" type="noConversion"/>
  </si>
  <si>
    <t>데이터회선</t>
    <phoneticPr fontId="2" type="noConversion"/>
  </si>
  <si>
    <t>회선없음</t>
    <phoneticPr fontId="2" type="noConversion"/>
  </si>
  <si>
    <t>차세대SCADA</t>
  </si>
  <si>
    <t>차세대SCADA</t>
    <phoneticPr fontId="27" type="noConversion"/>
  </si>
  <si>
    <t>열병합-(PTP:4)-남춘천-(PTP:2)-춘천(구)</t>
  </si>
  <si>
    <t>차세대SCADA</t>
    <phoneticPr fontId="2" type="noConversion"/>
  </si>
  <si>
    <t>양구-(PTP:1)-상남-(PTP:6)-홍천-(PTP:4)-남춘천-(PTP:4)-춘천(구)</t>
  </si>
  <si>
    <t>인제-(PTP:3)-상남-(PTP:7)-홍천(PTP:5)-남춘천-(PTP:5)-춘천</t>
  </si>
  <si>
    <t>춘천 D-SCADA</t>
    <phoneticPr fontId="2" type="noConversion"/>
  </si>
  <si>
    <t>북춘천 - (PTP:7) - 춘천(구)</t>
    <phoneticPr fontId="2" type="noConversion"/>
  </si>
  <si>
    <t>북춘천 D-SCADA</t>
    <phoneticPr fontId="2" type="noConversion"/>
  </si>
  <si>
    <t>열병합 D-SCADA</t>
  </si>
  <si>
    <t>서홍천 D-SCADA</t>
  </si>
  <si>
    <t>양구 D-SCADA</t>
  </si>
  <si>
    <t>인제 D-SCADA</t>
  </si>
  <si>
    <t>서홍천-(OMS:6)-열병합-(PTP:5)-남춘천-(PTP:3)-춘천(구)</t>
  </si>
  <si>
    <t>장비 안살림</t>
    <phoneticPr fontId="27" type="noConversion"/>
  </si>
  <si>
    <t xml:space="preserve">양구-인제#2 </t>
    <phoneticPr fontId="27" type="noConversion"/>
  </si>
  <si>
    <t>양구-인제#1</t>
    <phoneticPr fontId="27" type="noConversion"/>
  </si>
  <si>
    <t>양구-(PTPU:2)-상남-(PTPU:6)-인제</t>
  </si>
  <si>
    <t>양구-(PTPU:3)-상남-(PTPU:7)-인제</t>
  </si>
  <si>
    <t>북춘천 배전전력구 감시시스템</t>
    <phoneticPr fontId="2" type="noConversion"/>
  </si>
  <si>
    <t>배전전력구 감시시스템</t>
    <phoneticPr fontId="2" type="noConversion"/>
  </si>
  <si>
    <t>배전전력구</t>
  </si>
  <si>
    <t>화천배전전력구 감시시스템</t>
    <phoneticPr fontId="2" type="noConversion"/>
  </si>
  <si>
    <t>화천 ECSU-(4:통합단말:9)-춘천(구)(PTP#2 : 3 ) - 본부CSU - ~</t>
  </si>
  <si>
    <t>화천 배전전력구 감시시스템</t>
    <phoneticPr fontId="2" type="noConversion"/>
  </si>
  <si>
    <t>남춘천 배전 전력구 감시#1</t>
    <phoneticPr fontId="2" type="noConversion"/>
  </si>
  <si>
    <t>남춘천 배전 전력구 감시#2</t>
    <phoneticPr fontId="2" type="noConversion"/>
  </si>
  <si>
    <t>남춘천 배전 전력구 감시#3</t>
    <phoneticPr fontId="2" type="noConversion"/>
  </si>
  <si>
    <t>1(9)</t>
    <phoneticPr fontId="2" type="noConversion"/>
  </si>
  <si>
    <t>2(10)</t>
    <phoneticPr fontId="2" type="noConversion"/>
  </si>
  <si>
    <t>3(11)</t>
    <phoneticPr fontId="2" type="noConversion"/>
  </si>
  <si>
    <t>4(12)</t>
    <phoneticPr fontId="2" type="noConversion"/>
  </si>
  <si>
    <t>5(13)</t>
    <phoneticPr fontId="2" type="noConversion"/>
  </si>
  <si>
    <t>6(14)</t>
    <phoneticPr fontId="2" type="noConversion"/>
  </si>
  <si>
    <t>7(15)</t>
    <phoneticPr fontId="2" type="noConversion"/>
  </si>
  <si>
    <t>8(16)</t>
    <phoneticPr fontId="2" type="noConversion"/>
  </si>
  <si>
    <t>1(17)</t>
    <phoneticPr fontId="2" type="noConversion"/>
  </si>
  <si>
    <t>2(18)</t>
    <phoneticPr fontId="2" type="noConversion"/>
  </si>
  <si>
    <t>3(19)</t>
    <phoneticPr fontId="2" type="noConversion"/>
  </si>
  <si>
    <t>4(20)</t>
    <phoneticPr fontId="2" type="noConversion"/>
  </si>
  <si>
    <t>5(21)</t>
    <phoneticPr fontId="2" type="noConversion"/>
  </si>
  <si>
    <t>6(22)</t>
    <phoneticPr fontId="2" type="noConversion"/>
  </si>
  <si>
    <t>7(23)</t>
    <phoneticPr fontId="2" type="noConversion"/>
  </si>
  <si>
    <t>8(24)</t>
    <phoneticPr fontId="2" type="noConversion"/>
  </si>
  <si>
    <t>서홍천 배전전력구 감시스템</t>
    <phoneticPr fontId="2" type="noConversion"/>
  </si>
  <si>
    <t>춘천열병합 RTU 전원리셋</t>
    <phoneticPr fontId="2" type="noConversion"/>
  </si>
  <si>
    <t>신양양-인제#1T/L</t>
    <phoneticPr fontId="2" type="noConversion"/>
  </si>
  <si>
    <t>신양양-인제#2T/L</t>
    <phoneticPr fontId="27" type="noConversion"/>
  </si>
  <si>
    <t>인제-(PTP:3)-신양양</t>
    <phoneticPr fontId="27" type="noConversion"/>
  </si>
  <si>
    <t>인제-(PTP:4)-신양양</t>
    <phoneticPr fontId="27" type="noConversion"/>
  </si>
  <si>
    <t>(구)춘천-(PTP#1:1)-(신)춘천-1-소양HP</t>
    <phoneticPr fontId="2" type="noConversion"/>
  </si>
  <si>
    <t>(구)춘천-(PTP#1:2)-(신)춘천(6:통합단말:3)-남춘천</t>
    <phoneticPr fontId="2" type="noConversion"/>
  </si>
  <si>
    <t>(구)춘천S/S - (PTP#1:5) - (신)춘천S/S</t>
    <phoneticPr fontId="2" type="noConversion"/>
  </si>
  <si>
    <t>(신)춘천-(PTP#2:2)-(구)춘천-2-홍천-9-남춘천</t>
    <phoneticPr fontId="2" type="noConversion"/>
  </si>
  <si>
    <t>(신)춘천-(PTP#2:1)-(구)춘천-15-홍천-5소양H/P</t>
    <phoneticPr fontId="2" type="noConversion"/>
  </si>
  <si>
    <t>춘천-(PTPU:3)-북춘천-5-화천수력</t>
    <phoneticPr fontId="2" type="noConversion"/>
  </si>
  <si>
    <t>춘천-(PTPU:2)-북춘천</t>
    <phoneticPr fontId="2" type="noConversion"/>
  </si>
  <si>
    <t>영동화력-14-강릉-13-본부+N164:N166-25-춘천</t>
    <phoneticPr fontId="2" type="noConversion"/>
  </si>
  <si>
    <t>디지털SCADA</t>
    <phoneticPr fontId="2" type="noConversion"/>
  </si>
  <si>
    <t>예비</t>
  </si>
  <si>
    <t>인제디지털SCADA</t>
  </si>
  <si>
    <t>인제디지털SCADA</t>
    <phoneticPr fontId="2" type="noConversion"/>
  </si>
  <si>
    <t>춘천(구)-(PTP:5)-북춘천-(PTPU:2)-화천HP-(PTPU:3)-양구-(OMS:2)-인제</t>
  </si>
  <si>
    <t>춘천(구)-(PTP:5)-북춘천-(PTPU:2)-화천HP-(PTPU:3)-양구-(OMS:2)-인제</t>
    <phoneticPr fontId="2" type="noConversion"/>
  </si>
  <si>
    <t>양구</t>
  </si>
  <si>
    <t>통합(P-to-P) E1/T1</t>
  </si>
  <si>
    <t>화천HP</t>
    <phoneticPr fontId="27" type="noConversion"/>
  </si>
  <si>
    <t>양구-화천HP#1</t>
    <phoneticPr fontId="27" type="noConversion"/>
  </si>
  <si>
    <t>양구-화천HP#2</t>
    <phoneticPr fontId="27" type="noConversion"/>
  </si>
  <si>
    <t>양구-(PTP:1)-화천HP</t>
    <phoneticPr fontId="27" type="noConversion"/>
  </si>
  <si>
    <t>양구-(PTP:2)-화천HP</t>
    <phoneticPr fontId="27" type="noConversion"/>
  </si>
  <si>
    <t>양구</t>
    <phoneticPr fontId="27" type="noConversion"/>
  </si>
  <si>
    <t>철거할것</t>
    <phoneticPr fontId="27" type="noConversion"/>
  </si>
  <si>
    <t>디지털SCADA</t>
    <phoneticPr fontId="27" type="noConversion"/>
  </si>
  <si>
    <t>인제 D-SCADA</t>
    <phoneticPr fontId="27" type="noConversion"/>
  </si>
  <si>
    <t>철거완료</t>
  </si>
  <si>
    <t>철거요</t>
    <phoneticPr fontId="2" type="noConversion"/>
  </si>
  <si>
    <t>화천B/O(파워콤OMA#2?)</t>
  </si>
  <si>
    <t>춘천-(19:통합단말:14)-화천</t>
  </si>
  <si>
    <t>C-MUX</t>
  </si>
  <si>
    <t>본부-춘천#1</t>
  </si>
  <si>
    <t>본부-춘천#2</t>
  </si>
  <si>
    <t>춘천S/S-강릉P/O</t>
  </si>
  <si>
    <t>춘천-동해</t>
  </si>
  <si>
    <t/>
  </si>
  <si>
    <t>통합(P-to-P)#1</t>
    <phoneticPr fontId="2" type="noConversion"/>
  </si>
  <si>
    <t>통합(P-to-P)#2</t>
    <phoneticPr fontId="2" type="noConversion"/>
  </si>
  <si>
    <t>데이터링크</t>
  </si>
  <si>
    <t>거래소-춘천</t>
  </si>
  <si>
    <t>급전분소 후비</t>
  </si>
  <si>
    <t>급전소-강릉</t>
  </si>
  <si>
    <t>급전소-원주</t>
  </si>
  <si>
    <t>송변전감시</t>
  </si>
  <si>
    <t>춘천-횡계</t>
  </si>
  <si>
    <t>춘천(구)-원주</t>
  </si>
  <si>
    <t>D-SCADA</t>
  </si>
  <si>
    <t>춘천-영월</t>
  </si>
  <si>
    <t>원주 LIU DS</t>
  </si>
  <si>
    <t>MMI</t>
  </si>
  <si>
    <t>강릉 원격MMI</t>
  </si>
  <si>
    <t>9.6K</t>
  </si>
  <si>
    <t>신재생 감시</t>
  </si>
  <si>
    <t>동해변전소 제어동</t>
  </si>
  <si>
    <t>화천배전전력구</t>
  </si>
  <si>
    <t>서홍천배전전력구</t>
  </si>
  <si>
    <t>북평화력</t>
  </si>
  <si>
    <t>삼척G/P</t>
  </si>
  <si>
    <t>남춘천 배전전력구 화상감시#1</t>
  </si>
  <si>
    <t>본사[MSPP_W 52-PQM-17]-(MSPP 52-PQM-15]강원DD-통합[1]-춘천S/S(급전소)</t>
  </si>
  <si>
    <t>강릉[MSPP_2_PQM-25]-강원DD[MSPP_52_PQM-30]-통합[4]-춘천S/S-ETH_CSU</t>
  </si>
  <si>
    <t>원주[MSPP_2_PQM-28]-강원DD[MSPP_52_PQM-41]-통합[5]-춘천S/S-ETH_CSU</t>
  </si>
  <si>
    <t>춘천-6(PTP)본부#2[MSPP PQM(2)-강릉PO[MSPP PQM(2)]</t>
  </si>
  <si>
    <t>춘천-7(PTP)-본부[MSPP PQM()-원주PO[MSPP PQM()]</t>
  </si>
  <si>
    <t>춘천-9(PTP)-본부#2[MSPP PQM(3)-태백PO[MSPP PQM(1)]</t>
  </si>
  <si>
    <t>춘천-10(PTP)-본부[MSPP PQM()-원주PO[MSPP PQM()]</t>
  </si>
  <si>
    <t>춘천-11(PTP)-본부[MSPP PQM()-강릉PO[MSPP PQM()]</t>
  </si>
  <si>
    <t>춘천-12(PTP)-본부[MSPP PQM()-강릉PO[MSPP PQM()]</t>
  </si>
  <si>
    <t>9.6k</t>
  </si>
  <si>
    <t>사용불가</t>
  </si>
  <si>
    <t>거래소(나주)-급전소</t>
  </si>
  <si>
    <t>거래소(나주)-춘천</t>
  </si>
  <si>
    <t>불량</t>
  </si>
  <si>
    <t>나주KPX-CH5-강원본부-37(C-MUX)-춘천변전소</t>
  </si>
  <si>
    <t>나주KPX-CH6-강원본부-38(C-MUX)-춘천변전소</t>
  </si>
  <si>
    <t>'</t>
    <phoneticPr fontId="2" type="noConversion"/>
  </si>
  <si>
    <t>청평PP-1-서홍천-1-열병합</t>
    <phoneticPr fontId="27" type="noConversion"/>
  </si>
  <si>
    <t>청평PP-2-서홍천</t>
    <phoneticPr fontId="27" type="noConversion"/>
  </si>
  <si>
    <t>청평PP-3-서홍천-3-열병합</t>
    <phoneticPr fontId="27" type="noConversion"/>
  </si>
  <si>
    <t>청평PP-5-서홍천</t>
    <phoneticPr fontId="27" type="noConversion"/>
  </si>
  <si>
    <t>P32-T</t>
  </si>
  <si>
    <t>신춘천-1-구춘천-1-소양HP</t>
    <phoneticPr fontId="2" type="noConversion"/>
  </si>
  <si>
    <t>화천 ECSU-(4:통합단말:9)-춘천(구)(PTP#2 : 4 ) - 본부CSU - ~</t>
    <phoneticPr fontId="2" type="noConversion"/>
  </si>
  <si>
    <t>서홍천 ECSU-(2:통합단말:9)-춘천(구)(PTP#2 : 5) - 본부CSU - ~</t>
    <phoneticPr fontId="2" type="noConversion"/>
  </si>
  <si>
    <t>미사용</t>
    <phoneticPr fontId="27" type="noConversion"/>
  </si>
  <si>
    <t>미사용</t>
    <phoneticPr fontId="27" type="noConversion"/>
  </si>
  <si>
    <t>인제 Digital SCADA</t>
  </si>
  <si>
    <t>양구 Digital SCADA</t>
  </si>
  <si>
    <t>강릉#3링 강릉-(1:통합단말:1)-양구-RTU</t>
  </si>
  <si>
    <t>강릉#3링 강릉-(2:통합단말:2)-인제-RTU</t>
  </si>
  <si>
    <t>동해 LIUDS 로 바꿀것</t>
    <phoneticPr fontId="2" type="noConversion"/>
  </si>
  <si>
    <t>PIU</t>
    <phoneticPr fontId="2" type="noConversion"/>
  </si>
  <si>
    <t>PIU</t>
    <phoneticPr fontId="2" type="noConversion"/>
  </si>
  <si>
    <t>E1</t>
    <phoneticPr fontId="2" type="noConversion"/>
  </si>
  <si>
    <t>?</t>
    <phoneticPr fontId="2" type="noConversion"/>
  </si>
  <si>
    <t>TX 단자대 1P~2P 수용(RX 단자대 미수용)</t>
  </si>
  <si>
    <t>?</t>
    <phoneticPr fontId="2" type="noConversion"/>
  </si>
  <si>
    <t>서홍천 Digital SCADA</t>
    <phoneticPr fontId="2" type="noConversion"/>
  </si>
  <si>
    <t>남춘천 Digital SCADA</t>
    <phoneticPr fontId="2" type="noConversion"/>
  </si>
  <si>
    <t>춘천-동해 LIU-DS Digital SCADA</t>
    <phoneticPr fontId="2" type="noConversion"/>
  </si>
  <si>
    <t>철원 FN5:1</t>
    <phoneticPr fontId="22" type="noConversion"/>
  </si>
  <si>
    <t>철원 FN5:2</t>
    <phoneticPr fontId="22" type="noConversion"/>
  </si>
  <si>
    <t>열병합 FN5:1</t>
    <phoneticPr fontId="22" type="noConversion"/>
  </si>
  <si>
    <t>열병합 FN5:2</t>
    <phoneticPr fontId="22" type="noConversion"/>
  </si>
  <si>
    <t>철원 FN5:3</t>
    <phoneticPr fontId="22" type="noConversion"/>
  </si>
  <si>
    <t>춘천-강릉 LIU-DS Digital SCADA</t>
    <phoneticPr fontId="22" type="noConversion"/>
  </si>
  <si>
    <t>춘천-원주 LIU-DS Digital SCADA</t>
    <phoneticPr fontId="22" type="noConversion"/>
  </si>
  <si>
    <t>양구 Digital SCADA</t>
    <phoneticPr fontId="2" type="noConversion"/>
  </si>
  <si>
    <t>인제 Digital SCADA</t>
    <phoneticPr fontId="2" type="noConversion"/>
  </si>
  <si>
    <t>춘천#1링 춘천-(14:통합단말:FN5[1])-화천-RTU</t>
    <phoneticPr fontId="2" type="noConversion"/>
  </si>
  <si>
    <t>춘천#1링 춘천-(2:통합단말:FN5[1])-북춘천-RTU</t>
    <phoneticPr fontId="2" type="noConversion"/>
  </si>
  <si>
    <t>춘천#2링 춘천-(14:통합단말:FN5[1])-남춘천-RTU</t>
    <phoneticPr fontId="2" type="noConversion"/>
  </si>
  <si>
    <t>춘천#2링 춘천-(15:통합단말:FN5[1])-서홍천-RTU</t>
    <phoneticPr fontId="2" type="noConversion"/>
  </si>
  <si>
    <t>춘천#3링 춘천-(1:통합단말:FN5[1])-양구-RTU</t>
    <phoneticPr fontId="22" type="noConversion"/>
  </si>
  <si>
    <t>춘천#3링 춘천-(2:통합단말:FN5[1])-인제-RTU</t>
    <phoneticPr fontId="22" type="noConversion"/>
  </si>
  <si>
    <t>춘천-10(PTP)-본부[MSPP PQM(12)-원주PO[MSPP PQM(12)]</t>
    <phoneticPr fontId="2" type="noConversion"/>
  </si>
  <si>
    <t>북춘천-9(통합PTP)9-화천HP</t>
    <phoneticPr fontId="2" type="noConversion"/>
  </si>
  <si>
    <t>케이블미철거</t>
    <phoneticPr fontId="27" type="noConversion"/>
  </si>
  <si>
    <t>케이블 미철거</t>
    <phoneticPr fontId="2" type="noConversion"/>
  </si>
  <si>
    <t>간성-인제#1T/L</t>
    <phoneticPr fontId="27" type="noConversion"/>
  </si>
  <si>
    <t>인제-5-간성</t>
    <phoneticPr fontId="27" type="noConversion"/>
  </si>
  <si>
    <t>간성-인제#2T/L</t>
    <phoneticPr fontId="27" type="noConversion"/>
  </si>
  <si>
    <t>화천HP-13-북춘천-(14:통합단말:26)-춘천-15-원주</t>
    <phoneticPr fontId="2" type="noConversion"/>
  </si>
  <si>
    <t>RTU-EMS</t>
    <phoneticPr fontId="2" type="noConversion"/>
  </si>
  <si>
    <t>안인개폐소</t>
    <phoneticPr fontId="2" type="noConversion"/>
  </si>
  <si>
    <t>나주KPX-(CMS:18)-강원D/D-(CMUX#1:13)-강릉-(PTPU:1)-강릉T/P-(PTPU:1)-안인개폐소</t>
    <phoneticPr fontId="2" type="noConversion"/>
  </si>
  <si>
    <t>나주KPX-(CMS:19)-강원D/D-(CMUX:29)-춘천변전소-(CMUX#2:13)-강릉P/O</t>
    <phoneticPr fontId="2" type="noConversion"/>
  </si>
  <si>
    <t>안인개폐소 급전(나주거래소)</t>
    <phoneticPr fontId="2" type="noConversion"/>
  </si>
  <si>
    <t>안인개폐소 RTU(나주거래소)</t>
    <phoneticPr fontId="2" type="noConversion"/>
  </si>
  <si>
    <t>나주KPX-(CMS:22)-강원D/D-(CMUX#1:16)-강릉-(PTPU:3)-강릉T/P</t>
    <phoneticPr fontId="2" type="noConversion"/>
  </si>
  <si>
    <t>강릉T/P RTU(나주거래소)</t>
    <phoneticPr fontId="2" type="noConversion"/>
  </si>
  <si>
    <t>나주KPX-(CMS:20)-강원D/D-(CMUX:12)-춘천변전소-(CMUX#2:15)-강릉P/O</t>
    <phoneticPr fontId="2" type="noConversion"/>
  </si>
  <si>
    <t>강릉T/P 급전(나주거래소)</t>
    <phoneticPr fontId="2" type="noConversion"/>
  </si>
  <si>
    <t>의왕KPX-(CMS:10)-강원본부-16(CMUX)-춘천-(CMUX#2:14)-강릉P/O</t>
    <phoneticPr fontId="2" type="noConversion"/>
  </si>
  <si>
    <t>안인개폐소(의왕KPX)</t>
    <phoneticPr fontId="2" type="noConversion"/>
  </si>
  <si>
    <t>의왕KPX-(CMS:11)-강원본부-17(CMUX)-춘천-(CMUX#2:16)-강릉P/O</t>
    <phoneticPr fontId="2" type="noConversion"/>
  </si>
  <si>
    <t>강릉T/P(의왕KPX)</t>
    <phoneticPr fontId="2" type="noConversion"/>
  </si>
  <si>
    <t>안인개폐소-(PTPU:2)-강릉T/P-(PTPU:2)-강릉P/O-(CMUX:15)-강원D/D-(CMUX:8)-의왕KPX</t>
    <phoneticPr fontId="2" type="noConversion"/>
  </si>
  <si>
    <t>강릉T/P-(PTPU:4)-강릉P/O-(CMUX:25)-강원D/D-(CMUX:10)-의왕KPX</t>
    <phoneticPr fontId="2" type="noConversion"/>
  </si>
  <si>
    <t>강릉T/P</t>
    <phoneticPr fontId="2" type="noConversion"/>
  </si>
  <si>
    <t>안인개폐소-ptpu(1)-강릉T/P-ptpu(1)-강릉-CMUX#1(13)-강원D/D-CMS(18)-나주KPX</t>
    <phoneticPr fontId="2" type="noConversion"/>
  </si>
  <si>
    <t>안인개폐소(나주KPX)</t>
    <phoneticPr fontId="2" type="noConversion"/>
  </si>
  <si>
    <t>강릉T/P(나주KPX)</t>
    <phoneticPr fontId="2" type="noConversion"/>
  </si>
  <si>
    <t>가평-1(통합PTP)1-북춘천-7(PTP)-화천HP</t>
    <phoneticPr fontId="2" type="noConversion"/>
  </si>
  <si>
    <t>X</t>
    <phoneticPr fontId="2" type="noConversion"/>
  </si>
  <si>
    <t>1호기로 라벨</t>
    <phoneticPr fontId="2" type="noConversion"/>
  </si>
  <si>
    <t>2호기로 라벨</t>
    <phoneticPr fontId="2" type="noConversion"/>
  </si>
  <si>
    <t>울진2발~신태백 구간 개통X</t>
    <phoneticPr fontId="2" type="noConversion"/>
  </si>
  <si>
    <t>삼척T/P RTU(나주)</t>
    <phoneticPr fontId="2" type="noConversion"/>
  </si>
  <si>
    <t>삼척T/P RTU(의왕)</t>
    <phoneticPr fontId="2" type="noConversion"/>
  </si>
  <si>
    <t>삼척T/P 급전전화(나주)</t>
    <phoneticPr fontId="2" type="noConversion"/>
  </si>
  <si>
    <t>삼척T/P 확보</t>
    <phoneticPr fontId="2" type="noConversion"/>
  </si>
  <si>
    <t>배전전력구감시시스템</t>
    <phoneticPr fontId="27" type="noConversion"/>
  </si>
  <si>
    <t>인제-5-상남-?</t>
    <phoneticPr fontId="27" type="noConversion"/>
  </si>
  <si>
    <t>21.1.6 07:16 LOS 알람발생/ 원주급전분소 배전센터 모두 확인했으나 CCTV 화면 두 장소 모두 감시 안하고있어서 포트 닫고 향후 철거 예정</t>
    <phoneticPr fontId="2" type="noConversion"/>
  </si>
  <si>
    <t>춘천에너지#1</t>
    <phoneticPr fontId="2" type="noConversion"/>
  </si>
  <si>
    <t>춘천에너지#2</t>
    <phoneticPr fontId="2" type="noConversion"/>
  </si>
  <si>
    <t>춘천에너지-춘천S/S SPS(중계)</t>
    <phoneticPr fontId="27" type="noConversion"/>
  </si>
  <si>
    <t>청평PP-3(OMS)-서홍천-3(OMS)-열병합-2(PTP#2)-춘천에너지</t>
    <phoneticPr fontId="27" type="noConversion"/>
  </si>
  <si>
    <t>청평PP-3(PTP)-열병합-1(PTP#1)-춘천에너지</t>
    <phoneticPr fontId="27" type="noConversion"/>
  </si>
  <si>
    <t>2022.01 UPDATE</t>
    <phoneticPr fontId="27" type="noConversion"/>
  </si>
  <si>
    <t>(신)춘천SS 광단국 선번장</t>
    <phoneticPr fontId="2" type="noConversion"/>
  </si>
  <si>
    <t>북춘천S/S 광단국 선번장</t>
    <phoneticPr fontId="2" type="noConversion"/>
  </si>
  <si>
    <t>서홍천S/S 광단국선번장</t>
    <phoneticPr fontId="27" type="noConversion"/>
  </si>
  <si>
    <t>철원S/S 광단국선번장</t>
    <phoneticPr fontId="31" type="noConversion"/>
  </si>
  <si>
    <t>화천S/S 광단국선번장</t>
    <phoneticPr fontId="27" type="noConversion"/>
  </si>
  <si>
    <t>열병합SY 광단국선번장</t>
    <phoneticPr fontId="27" type="noConversion"/>
  </si>
  <si>
    <t>(구)춘천S/S 광단국 선번장</t>
    <phoneticPr fontId="2" type="noConversion"/>
  </si>
  <si>
    <t>양구S/S 광단국선번장</t>
    <phoneticPr fontId="27" type="noConversion"/>
  </si>
  <si>
    <t>춘천HP 광단국선번장</t>
    <phoneticPr fontId="27" type="noConversion"/>
  </si>
  <si>
    <t>화천HP 소형광단국 선번장</t>
    <phoneticPr fontId="2" type="noConversion"/>
  </si>
  <si>
    <t>통합단말 선번장(춘천#1-DS1)</t>
    <phoneticPr fontId="2" type="noConversion"/>
  </si>
  <si>
    <t>통합단말 선번장(춘천#2-DS1)</t>
    <phoneticPr fontId="2" type="noConversion"/>
  </si>
  <si>
    <t>통합단말 선번장(춘천#3-DS1_인제,양구)</t>
    <phoneticPr fontId="2" type="noConversion"/>
  </si>
  <si>
    <t>통합단말 선번장(춘천COT-DS0)</t>
    <phoneticPr fontId="2" type="noConversion"/>
  </si>
  <si>
    <t>통합단말 선번장(춘천#1-DS0)</t>
    <phoneticPr fontId="2" type="noConversion"/>
  </si>
  <si>
    <t>통합단말 선번장(춘천#2-DS0)</t>
    <phoneticPr fontId="2" type="noConversion"/>
  </si>
  <si>
    <t>통합단말 선번장(춘천LIU-DS)</t>
    <phoneticPr fontId="2" type="noConversion"/>
  </si>
  <si>
    <t>2022.05 UPDATE</t>
    <phoneticPr fontId="2" type="noConversion"/>
  </si>
  <si>
    <t>송변PTPU</t>
    <phoneticPr fontId="2" type="noConversion"/>
  </si>
  <si>
    <t>남춘천 배전전력구 화상감시#1</t>
    <phoneticPr fontId="2" type="noConversion"/>
  </si>
  <si>
    <t>춘천-(송변PTPU:2)-강원본부[MSPP PQM()]-원주PO[MSPP PQM()]</t>
    <phoneticPr fontId="2" type="noConversion"/>
  </si>
  <si>
    <t>본부-(송변PTPU:1)-춘천</t>
    <phoneticPr fontId="2" type="noConversion"/>
  </si>
  <si>
    <t>춘천-(송변PTPU:3)-춘천</t>
    <phoneticPr fontId="2" type="noConversion"/>
  </si>
  <si>
    <t>춘천-(송변PTPU:4)-강원본부[MSPP PQM52(38)-강릉PO[MSPP PQM2(24)]</t>
    <phoneticPr fontId="2" type="noConversion"/>
  </si>
  <si>
    <t>춘천-(송변PTPU:5)-강원본부#2[MSPP PQM(4)-동해PO[MSPP PQM(4)]</t>
    <phoneticPr fontId="2" type="noConversion"/>
  </si>
  <si>
    <t>남춘천-(9:통합단말:10)-춘천-(송변PTPU:6)-본부</t>
    <phoneticPr fontId="2" type="noConversion"/>
  </si>
  <si>
    <t>남춘천 배전전력구 화상감시#2</t>
    <phoneticPr fontId="2" type="noConversion"/>
  </si>
  <si>
    <t>남춘천 배전전력구 화상감시#3</t>
    <phoneticPr fontId="2" type="noConversion"/>
  </si>
  <si>
    <t>남춘천-(10:통합단말:11)-춘천-(송변PTPU:7)-본부</t>
    <phoneticPr fontId="2" type="noConversion"/>
  </si>
  <si>
    <t>남춘천-(11:통합단말:12)-춘천-(송변PTPU:8)-본부</t>
    <phoneticPr fontId="2" type="noConversion"/>
  </si>
  <si>
    <t>2022.05 UPDATE</t>
    <phoneticPr fontId="27" type="noConversion"/>
  </si>
  <si>
    <t>청평PP-(OMS:1)-서홍천-(송변PTPU:1)-열병합</t>
    <phoneticPr fontId="27" type="noConversion"/>
  </si>
  <si>
    <t>서홍천-(송변PTPU:2)-열병합-(PTP:2)-청평PP</t>
    <phoneticPr fontId="27" type="noConversion"/>
  </si>
  <si>
    <t>청평PP-(OMS:3)-서홍천-(송변PTPU:3)-열병합-(PTP#2:2)-춘천에너지</t>
    <phoneticPr fontId="27" type="noConversion"/>
  </si>
  <si>
    <t>서홍천-(송변PTPU:5)-열병합</t>
    <phoneticPr fontId="27" type="noConversion"/>
  </si>
  <si>
    <t>서홍천-(송변PTPU:6)-열병합-(PTP:5)-남춘천-(PTP:3)-춘천(구)</t>
    <phoneticPr fontId="27" type="noConversion"/>
  </si>
  <si>
    <t>양구-(송변PTPU:4)-인제</t>
    <phoneticPr fontId="27" type="noConversion"/>
  </si>
  <si>
    <t>양구-(송변PTPU:5)-인제</t>
    <phoneticPr fontId="27" type="noConversion"/>
  </si>
  <si>
    <t>화천-화천HP #1T/L</t>
    <phoneticPr fontId="2" type="noConversion"/>
  </si>
  <si>
    <t>화천-화천HP #2T/L</t>
    <phoneticPr fontId="2" type="noConversion"/>
  </si>
  <si>
    <t>화천-(PTP:1)-화천HP</t>
    <phoneticPr fontId="27" type="noConversion"/>
  </si>
  <si>
    <t>화천-(PTP:2)-화천HP</t>
    <phoneticPr fontId="27" type="noConversion"/>
  </si>
  <si>
    <t>`22.09.14 구성</t>
    <phoneticPr fontId="27" type="noConversion"/>
  </si>
  <si>
    <t>남춘천S/S SA용 SCADA</t>
    <phoneticPr fontId="2" type="noConversion"/>
  </si>
  <si>
    <t>춘천-(FN5 18:통합단말:FN5 2)-남춘천</t>
    <phoneticPr fontId="2" type="noConversion"/>
  </si>
  <si>
    <t>남춘천 SA용 SCADA</t>
    <phoneticPr fontId="2" type="noConversion"/>
  </si>
  <si>
    <t>`22.09.27 구성</t>
    <phoneticPr fontId="2" type="noConversion"/>
  </si>
  <si>
    <t>`22. 09.27구성</t>
    <phoneticPr fontId="2" type="noConversion"/>
  </si>
  <si>
    <t>남춘천 SA용 SCADA 예비</t>
    <phoneticPr fontId="2" type="noConversion"/>
  </si>
  <si>
    <t>춘천#2링 춘천-(18:통합단말:FN5[2])-남춘천 SA 시스템</t>
    <phoneticPr fontId="22" type="noConversion"/>
  </si>
  <si>
    <t>`22.09.27 구성</t>
    <phoneticPr fontId="22" type="noConversion"/>
  </si>
  <si>
    <t>2022.10 UPDATE</t>
    <phoneticPr fontId="2" type="noConversion"/>
  </si>
  <si>
    <t>춘천-2(송변PTPU)-홍천-10-상남-6-인제</t>
    <phoneticPr fontId="2" type="noConversion"/>
  </si>
  <si>
    <t>홍천-3(송변PTPU)-춘천-5(OMS)-소양HP</t>
    <phoneticPr fontId="2" type="noConversion"/>
  </si>
  <si>
    <t>춘천-4(송변PTPU)-홍천-5소양H/P</t>
    <phoneticPr fontId="2" type="noConversion"/>
  </si>
  <si>
    <t>2022.10 UPDATE</t>
    <phoneticPr fontId="27" type="noConversion"/>
  </si>
  <si>
    <t>E1/T1</t>
    <phoneticPr fontId="2" type="noConversion"/>
  </si>
  <si>
    <t>22.10 구성</t>
    <phoneticPr fontId="2" type="noConversion"/>
  </si>
  <si>
    <t>22년 10.구성</t>
    <phoneticPr fontId="2" type="noConversion"/>
  </si>
  <si>
    <t>계통운영센터-동해TP</t>
    <phoneticPr fontId="2" type="noConversion"/>
  </si>
  <si>
    <t>계통운영센터-양양PP</t>
    <phoneticPr fontId="2" type="noConversion"/>
  </si>
  <si>
    <t>`22.12.29 수정</t>
    <phoneticPr fontId="2" type="noConversion"/>
  </si>
  <si>
    <t>양양P/P-LG 유플러스-본부-59(C-MUX)-춘천</t>
    <phoneticPr fontId="2" type="noConversion"/>
  </si>
  <si>
    <t>동해T/P-LG 유플러스-본부-60(C-MUX)-춘천</t>
    <phoneticPr fontId="2" type="noConversion"/>
  </si>
  <si>
    <t>신재생</t>
    <phoneticPr fontId="30" type="noConversion"/>
  </si>
  <si>
    <t>양구S/S 신재생감시시스템</t>
    <phoneticPr fontId="30" type="noConversion"/>
  </si>
  <si>
    <t>춘천#3링 춘천-(9:통합단말:4)-양구S/S</t>
    <phoneticPr fontId="30" type="noConversion"/>
  </si>
  <si>
    <t>LAN</t>
    <phoneticPr fontId="30" type="noConversion"/>
  </si>
  <si>
    <t>춘천#3링 춘천-(4:통합단말:4)-양구S/S</t>
    <phoneticPr fontId="30" type="noConversion"/>
  </si>
  <si>
    <t>신양양-나주</t>
    <phoneticPr fontId="2" type="noConversion"/>
  </si>
  <si>
    <t>신양양-[송광치(?)]-강릉-[C-MUX(1)]-본부-[CMS(3)]-나주</t>
    <phoneticPr fontId="2" type="noConversion"/>
  </si>
  <si>
    <t>2023.06.23 변경구성</t>
    <phoneticPr fontId="2" type="noConversion"/>
  </si>
  <si>
    <t>신양양-의왕</t>
    <phoneticPr fontId="2" type="noConversion"/>
  </si>
  <si>
    <t>신양양-[송광치(?)]-강릉-[C-MUX(7)]-본부-[CMS(13)]-의왕</t>
    <phoneticPr fontId="2" type="noConversion"/>
  </si>
  <si>
    <t>2023.006.23 변경구성</t>
    <phoneticPr fontId="2" type="noConversion"/>
  </si>
  <si>
    <t>신양양-[송광치(?)]-강릉-[C-MUX(26)]-본부-[CMS(3)]-나주</t>
    <phoneticPr fontId="2" type="noConversion"/>
  </si>
  <si>
    <t>신양양-[송광치(?)]-강릉-[C-MUX(27)]-본부-[CMUX(2)]-의왕</t>
    <phoneticPr fontId="2" type="noConversion"/>
  </si>
  <si>
    <t>신양양S/S 급전(의왕)</t>
    <phoneticPr fontId="2" type="noConversion"/>
  </si>
  <si>
    <t>2023.06.23 구성</t>
    <phoneticPr fontId="2" type="noConversion"/>
  </si>
  <si>
    <t>신양양-[송광치(?)]-강릉-[C-MUX(27)]-본부-[CMUX(2)]-의왕</t>
  </si>
  <si>
    <t>데이터링크</t>
    <phoneticPr fontId="2" type="noConversion"/>
  </si>
  <si>
    <t>거래소(의왕)-춘천</t>
    <phoneticPr fontId="2" type="noConversion"/>
  </si>
  <si>
    <t>춘천-(송변PTPU:2)-강원본부[KepCIT PQM()]-원주PO[MSPP PQM()]</t>
    <phoneticPr fontId="2" type="noConversion"/>
  </si>
  <si>
    <t>울진2발-?-신태백-?-태백-[C-MUX]19-본부</t>
    <phoneticPr fontId="2" type="noConversion"/>
  </si>
  <si>
    <t>울진2발-?-신태백-?-태백-[C-MUX]20-본부</t>
    <phoneticPr fontId="2" type="noConversion"/>
  </si>
  <si>
    <t>울진2발-8[CMS-P]8-신태백-8[P-32T]8-태백-24[C-MUX]24-본부</t>
    <phoneticPr fontId="2" type="noConversion"/>
  </si>
  <si>
    <t>울진2발-6[CMS-P]6-신태백-7[P-32T]7-태백-23[C-MUX]23-본부</t>
    <phoneticPr fontId="2" type="noConversion"/>
  </si>
  <si>
    <t>울진2발-5[CMS-P]5-신태백-3[P-32T]3-태백-22[C-MUX]-본부22</t>
    <phoneticPr fontId="2" type="noConversion"/>
  </si>
  <si>
    <t>울진2발-4[CMS-P]4-신태백-2[P-32T]2-태백-21[C-MUX]21-본부</t>
    <phoneticPr fontId="2" type="noConversion"/>
  </si>
  <si>
    <t>나주KPX-CH11-강원본부</t>
    <phoneticPr fontId="2" type="noConversion"/>
  </si>
  <si>
    <t>급전소-청평양수</t>
    <phoneticPr fontId="2" type="noConversion"/>
  </si>
  <si>
    <t>급전소-한강RCC</t>
    <phoneticPr fontId="2" type="noConversion"/>
  </si>
  <si>
    <t>본부-20(C-MUX)-춘천-18(통합단말)11-북춘천-16(P32T)-춘천HP</t>
    <phoneticPr fontId="2" type="noConversion"/>
  </si>
  <si>
    <t>본부-19(CMUX)-춘천-17(통합단말)13-서홍천-1(P32T)-청평PP</t>
    <phoneticPr fontId="2" type="noConversion"/>
  </si>
  <si>
    <t>급전소-청평PP</t>
    <phoneticPr fontId="10" type="noConversion"/>
  </si>
  <si>
    <t>급전소-한강RCC</t>
    <phoneticPr fontId="10" type="noConversion"/>
  </si>
  <si>
    <t>남춘천-춘천 PIU(예비)</t>
    <phoneticPr fontId="2" type="noConversion"/>
  </si>
  <si>
    <r>
      <rPr>
        <sz val="11"/>
        <color indexed="30"/>
        <rFont val="맑은 고딕"/>
        <family val="3"/>
        <charset val="129"/>
      </rPr>
      <t>(신)춘천-(PTP#2:2)-(구)춘천</t>
    </r>
    <r>
      <rPr>
        <sz val="11"/>
        <rFont val="맑은 고딕"/>
        <family val="3"/>
        <charset val="129"/>
      </rPr>
      <t>-(PTP:1)-홍천-(PTP:2)-남춘천</t>
    </r>
    <phoneticPr fontId="2" type="noConversion"/>
  </si>
  <si>
    <r>
      <t>(신)춘천-(PTP#2:2)-</t>
    </r>
    <r>
      <rPr>
        <sz val="11"/>
        <color indexed="30"/>
        <rFont val="맑은 고딕"/>
        <family val="3"/>
        <charset val="129"/>
      </rPr>
      <t>(구)춘천-(PTP:1)-홍천</t>
    </r>
    <r>
      <rPr>
        <sz val="11"/>
        <rFont val="맑은 고딕"/>
        <family val="3"/>
        <charset val="129"/>
      </rPr>
      <t>-(PTP:2)-남춘천</t>
    </r>
    <phoneticPr fontId="2" type="noConversion"/>
  </si>
  <si>
    <r>
      <t>(신)춘천-(PTP#2:2)-</t>
    </r>
    <r>
      <rPr>
        <sz val="11"/>
        <color indexed="8"/>
        <rFont val="맑은 고딕"/>
        <family val="3"/>
        <charset val="129"/>
      </rPr>
      <t>(구)춘천-(PTP:1)-</t>
    </r>
    <r>
      <rPr>
        <sz val="11"/>
        <color indexed="40"/>
        <rFont val="맑은 고딕"/>
        <family val="3"/>
        <charset val="129"/>
      </rPr>
      <t>홍천-(PTP:2)-남춘천</t>
    </r>
    <phoneticPr fontId="2" type="noConversion"/>
  </si>
  <si>
    <t>남춘천-춘천 PIU</t>
    <phoneticPr fontId="2" type="noConversion"/>
  </si>
  <si>
    <t>남춘천-홍천 PIU</t>
    <phoneticPr fontId="2" type="noConversion"/>
  </si>
  <si>
    <t>남춘천-(PTP:1)-홍천</t>
    <phoneticPr fontId="2" type="noConversion"/>
  </si>
  <si>
    <t>북춘천-화천수력 PIU(예)</t>
    <phoneticPr fontId="2" type="noConversion"/>
  </si>
  <si>
    <t>PIU</t>
    <phoneticPr fontId="27" type="noConversion"/>
  </si>
  <si>
    <t>가평-화천수력 PIU(예)</t>
    <phoneticPr fontId="2" type="noConversion"/>
  </si>
  <si>
    <t>춘천-북춘천#1,2T/L PITR(예비)</t>
    <phoneticPr fontId="2" type="noConversion"/>
  </si>
  <si>
    <t>(신)춘천-(통합PTP#2:3)-(구)춘천-(통합PTP:1)-북춘천</t>
    <phoneticPr fontId="2" type="noConversion"/>
  </si>
  <si>
    <t>OMS-PLUS#1</t>
    <phoneticPr fontId="2" type="noConversion"/>
  </si>
  <si>
    <t>운천</t>
    <phoneticPr fontId="2" type="noConversion"/>
  </si>
  <si>
    <t>OMS-PLUS#2</t>
    <phoneticPr fontId="2" type="noConversion"/>
  </si>
  <si>
    <t>강원풍력</t>
    <phoneticPr fontId="2" type="noConversion"/>
  </si>
  <si>
    <t>신태백-한울2발 3호기 MCR</t>
    <phoneticPr fontId="2" type="noConversion"/>
  </si>
  <si>
    <t>신태백-한울2발 4호기 MCR</t>
    <phoneticPr fontId="2" type="noConversion"/>
  </si>
  <si>
    <t>신태백-한울3발 5호기 MCR</t>
    <phoneticPr fontId="2" type="noConversion"/>
  </si>
  <si>
    <t>신태백-한울2발 S/Y</t>
    <phoneticPr fontId="2" type="noConversion"/>
  </si>
  <si>
    <t>울진NP2호기</t>
    <phoneticPr fontId="2" type="noConversion"/>
  </si>
  <si>
    <t>울진NP3호기</t>
    <phoneticPr fontId="2" type="noConversion"/>
  </si>
  <si>
    <t>울진NP4호기</t>
    <phoneticPr fontId="2" type="noConversion"/>
  </si>
  <si>
    <t>울진NP5호기</t>
    <phoneticPr fontId="2" type="noConversion"/>
  </si>
  <si>
    <t>울진NP6호기</t>
    <phoneticPr fontId="2" type="noConversion"/>
  </si>
  <si>
    <t>동해P/O 급전(거래소)(이거 동해SS아닐까..)</t>
    <phoneticPr fontId="2" type="noConversion"/>
  </si>
  <si>
    <t>직할급전분소(의왕거래소)</t>
    <phoneticPr fontId="2" type="noConversion"/>
  </si>
  <si>
    <t>원주급전분소(의왕거래소)</t>
    <phoneticPr fontId="2" type="noConversion"/>
  </si>
  <si>
    <t>직할급전분소(거래소)</t>
    <phoneticPr fontId="2" type="noConversion"/>
  </si>
  <si>
    <t>원주급전분소(거래소)</t>
    <phoneticPr fontId="2" type="noConversion"/>
  </si>
  <si>
    <t>본부통신실 광단국선번장('25.06.23)</t>
    <phoneticPr fontId="27" type="noConversion"/>
  </si>
  <si>
    <t>철원-화천 #1T/L</t>
    <phoneticPr fontId="2" type="noConversion"/>
  </si>
  <si>
    <t>철원-화천 #2T/L</t>
    <phoneticPr fontId="2" type="noConversion"/>
  </si>
  <si>
    <t>철원-2-화천</t>
    <phoneticPr fontId="2" type="noConversion"/>
  </si>
  <si>
    <t>E1</t>
    <phoneticPr fontId="27" type="noConversion"/>
  </si>
  <si>
    <t>PITR</t>
    <phoneticPr fontId="27" type="noConversion"/>
  </si>
  <si>
    <t>예비</t>
    <phoneticPr fontId="27" type="noConversion"/>
  </si>
  <si>
    <t>인제-(PTPU:2)-양구-(통합PTP:5)-상남</t>
    <phoneticPr fontId="27" type="noConversion"/>
  </si>
  <si>
    <t>인제-(PTPU:9)-양구-(통합PTP:9)-상남</t>
    <phoneticPr fontId="27" type="noConversion"/>
  </si>
  <si>
    <t>인제-상남#2</t>
    <phoneticPr fontId="27" type="noConversion"/>
  </si>
  <si>
    <t>인제-상남#1</t>
    <phoneticPr fontId="27" type="noConversion"/>
  </si>
  <si>
    <t>26. 3.11 변경</t>
    <phoneticPr fontId="27" type="noConversion"/>
  </si>
  <si>
    <t>사용X / '26.3.27 확인</t>
    <phoneticPr fontId="27" type="noConversion"/>
  </si>
  <si>
    <t>26. 3. 11 전원OFF</t>
    <phoneticPr fontId="27" type="noConversion"/>
  </si>
  <si>
    <t>춘천-11-인제-5-양구</t>
    <phoneticPr fontId="2" type="noConversion"/>
  </si>
  <si>
    <t>춘천-8-인제-6-양구</t>
    <phoneticPr fontId="2" type="noConversion"/>
  </si>
  <si>
    <t>Z</t>
    <phoneticPr fontId="30" type="noConversion"/>
  </si>
  <si>
    <t>P-32T 철거</t>
    <phoneticPr fontId="2" type="noConversion"/>
  </si>
  <si>
    <t>전원OFF / '26. 3. 11</t>
    <phoneticPr fontId="27" type="noConversion"/>
  </si>
  <si>
    <t>26. 3. 11 전원OFF(인제)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</si>
</sst>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7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u/>
      <sz val="30"/>
      <name val="굴림"/>
      <family val="3"/>
      <charset val="129"/>
    </font>
    <font>
      <b/>
      <sz val="10"/>
      <name val="굴림"/>
      <family val="3"/>
      <charset val="129"/>
    </font>
    <font>
      <sz val="9"/>
      <color indexed="81"/>
      <name val="돋움"/>
      <family val="3"/>
      <charset val="129"/>
    </font>
    <font>
      <sz val="12"/>
      <color indexed="81"/>
      <name val="돋움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1"/>
      <color indexed="30"/>
      <name val="맑은 고딕"/>
      <family val="3"/>
      <charset val="129"/>
    </font>
    <font>
      <u/>
      <sz val="11"/>
      <color indexed="30"/>
      <name val="맑은 고딕"/>
      <family val="3"/>
      <charset val="129"/>
    </font>
    <font>
      <u/>
      <sz val="11"/>
      <color indexed="30"/>
      <name val="맑은 고딕"/>
      <family val="3"/>
      <charset val="129"/>
    </font>
    <font>
      <b/>
      <sz val="14"/>
      <name val="맑은 고딕"/>
      <family val="3"/>
      <charset val="129"/>
    </font>
    <font>
      <b/>
      <u/>
      <sz val="30"/>
      <color indexed="8"/>
      <name val="HY헤드라인M"/>
      <family val="1"/>
      <charset val="129"/>
    </font>
    <font>
      <u/>
      <sz val="11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b/>
      <u/>
      <sz val="25"/>
      <name val="돋움"/>
      <family val="3"/>
      <charset val="129"/>
    </font>
    <font>
      <sz val="8"/>
      <name val="맑은 고딕"/>
      <family val="3"/>
      <charset val="129"/>
    </font>
    <font>
      <b/>
      <sz val="11"/>
      <name val="돋움"/>
      <family val="3"/>
      <charset val="129"/>
    </font>
    <font>
      <sz val="8"/>
      <name val="맑은 고딕"/>
      <family val="3"/>
      <charset val="129"/>
    </font>
    <font>
      <b/>
      <sz val="12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2"/>
      <name val="맑은 고딕"/>
      <family val="3"/>
      <charset val="129"/>
    </font>
    <font>
      <sz val="20"/>
      <name val="맑은 고딕"/>
      <family val="3"/>
      <charset val="129"/>
    </font>
    <font>
      <b/>
      <sz val="11"/>
      <name val="맑은 고딕"/>
      <family val="3"/>
      <charset val="129"/>
    </font>
    <font>
      <strike/>
      <sz val="11"/>
      <name val="맑은 고딕"/>
      <family val="3"/>
      <charset val="129"/>
    </font>
    <font>
      <b/>
      <sz val="26"/>
      <name val="맑은 고딕"/>
      <family val="3"/>
      <charset val="129"/>
    </font>
    <font>
      <u/>
      <sz val="36"/>
      <name val="맑은 고딕"/>
      <family val="3"/>
      <charset val="129"/>
    </font>
    <font>
      <u/>
      <sz val="26"/>
      <name val="맑은 고딕"/>
      <family val="3"/>
      <charset val="129"/>
    </font>
    <font>
      <u/>
      <sz val="30"/>
      <name val="굴림"/>
      <family val="3"/>
      <charset val="129"/>
    </font>
    <font>
      <sz val="12"/>
      <color indexed="81"/>
      <name val="Tahoma"/>
      <family val="2"/>
    </font>
    <font>
      <sz val="11"/>
      <color indexed="4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</font>
    <font>
      <strike/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0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2" fillId="0" borderId="0">
      <alignment vertical="center"/>
    </xf>
    <xf numFmtId="0" fontId="3" fillId="0" borderId="0"/>
  </cellStyleXfs>
  <cellXfs count="822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shrinkToFit="1"/>
    </xf>
    <xf numFmtId="0" fontId="0" fillId="0" borderId="1" xfId="0" applyFont="1" applyFill="1" applyBorder="1" applyAlignment="1">
      <alignment horizontal="center" vertical="center" shrinkToFit="1"/>
    </xf>
    <xf numFmtId="0" fontId="0" fillId="0" borderId="0" xfId="0" applyFont="1" applyFill="1">
      <alignment vertical="center"/>
    </xf>
    <xf numFmtId="0" fontId="13" fillId="0" borderId="0" xfId="0" applyFont="1" applyFill="1">
      <alignment vertic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14" fillId="0" borderId="8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0" xfId="0" applyFont="1" applyFill="1">
      <alignment vertical="center"/>
    </xf>
    <xf numFmtId="0" fontId="14" fillId="0" borderId="1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shrinkToFit="1"/>
    </xf>
    <xf numFmtId="0" fontId="0" fillId="0" borderId="1" xfId="0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 wrapText="1"/>
    </xf>
    <xf numFmtId="0" fontId="11" fillId="0" borderId="1" xfId="2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 shrinkToFit="1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shrinkToFit="1"/>
    </xf>
    <xf numFmtId="0" fontId="19" fillId="0" borderId="8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 shrinkToFit="1"/>
    </xf>
    <xf numFmtId="0" fontId="13" fillId="0" borderId="1" xfId="2" applyFont="1" applyFill="1" applyBorder="1" applyAlignment="1">
      <alignment horizontal="center" vertical="center" wrapText="1"/>
    </xf>
    <xf numFmtId="0" fontId="1" fillId="0" borderId="1" xfId="2" applyFont="1" applyFill="1" applyBorder="1" applyAlignment="1">
      <alignment horizontal="center" vertical="center" wrapText="1"/>
    </xf>
    <xf numFmtId="0" fontId="1" fillId="0" borderId="1" xfId="2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14" fillId="2" borderId="0" xfId="0" applyFont="1" applyFill="1">
      <alignment vertical="center"/>
    </xf>
    <xf numFmtId="0" fontId="0" fillId="4" borderId="1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 shrinkToFit="1"/>
    </xf>
    <xf numFmtId="0" fontId="45" fillId="0" borderId="1" xfId="0" applyFon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 vertical="center" shrinkToFit="1"/>
    </xf>
    <xf numFmtId="0" fontId="44" fillId="0" borderId="1" xfId="0" applyFont="1" applyFill="1" applyBorder="1" applyAlignment="1">
      <alignment horizontal="center" vertical="center"/>
    </xf>
    <xf numFmtId="0" fontId="44" fillId="0" borderId="1" xfId="2" applyFont="1" applyFill="1" applyBorder="1" applyAlignment="1">
      <alignment horizontal="center" vertical="center" wrapText="1"/>
    </xf>
    <xf numFmtId="0" fontId="46" fillId="0" borderId="0" xfId="0" applyFont="1">
      <alignment vertical="center"/>
    </xf>
    <xf numFmtId="0" fontId="46" fillId="0" borderId="0" xfId="0" applyFont="1" applyFill="1">
      <alignment vertical="center"/>
    </xf>
    <xf numFmtId="0" fontId="14" fillId="0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0" borderId="0" xfId="0" quotePrefix="1" applyFont="1" applyFill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Fill="1" applyAlignment="1">
      <alignment horizontal="center" vertical="center"/>
    </xf>
    <xf numFmtId="0" fontId="47" fillId="0" borderId="0" xfId="0" quotePrefix="1" applyFont="1" applyFill="1" applyAlignment="1">
      <alignment horizontal="center" vertical="center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13" fillId="0" borderId="0" xfId="0" applyFont="1" applyFill="1" applyAlignment="1">
      <alignment horizontal="right" vertical="center"/>
    </xf>
    <xf numFmtId="0" fontId="1" fillId="0" borderId="9" xfId="0" applyFont="1" applyFill="1" applyBorder="1" applyAlignment="1">
      <alignment horizontal="center" vertical="center"/>
    </xf>
    <xf numFmtId="0" fontId="46" fillId="0" borderId="0" xfId="0" quotePrefix="1" applyFont="1" applyFill="1" applyAlignment="1">
      <alignment horizontal="center" vertical="center"/>
    </xf>
    <xf numFmtId="0" fontId="44" fillId="0" borderId="0" xfId="0" applyFont="1" applyFill="1" applyBorder="1" applyAlignment="1">
      <alignment horizontal="center" vertical="center" shrinkToFit="1"/>
    </xf>
    <xf numFmtId="0" fontId="0" fillId="0" borderId="1" xfId="0" applyFont="1" applyFill="1" applyBorder="1">
      <alignment vertical="center"/>
    </xf>
    <xf numFmtId="0" fontId="45" fillId="0" borderId="1" xfId="0" applyFont="1" applyFill="1" applyBorder="1" applyAlignment="1">
      <alignment horizontal="center" vertical="center" shrinkToFit="1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1" fillId="0" borderId="0" xfId="0" quotePrefix="1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 shrinkToFit="1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shrinkToFit="1"/>
    </xf>
    <xf numFmtId="0" fontId="17" fillId="0" borderId="9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11" fillId="0" borderId="18" xfId="2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shrinkToFit="1"/>
    </xf>
    <xf numFmtId="0" fontId="0" fillId="0" borderId="19" xfId="0" applyFont="1" applyFill="1" applyBorder="1" applyAlignment="1">
      <alignment horizontal="center" vertical="center"/>
    </xf>
    <xf numFmtId="0" fontId="44" fillId="0" borderId="9" xfId="0" applyFont="1" applyFill="1" applyBorder="1" applyAlignment="1">
      <alignment horizontal="center" vertical="center"/>
    </xf>
    <xf numFmtId="0" fontId="44" fillId="0" borderId="9" xfId="0" applyFont="1" applyFill="1" applyBorder="1" applyAlignment="1">
      <alignment horizontal="center" vertical="center" shrinkToFit="1"/>
    </xf>
    <xf numFmtId="0" fontId="45" fillId="0" borderId="9" xfId="0" applyFont="1" applyFill="1" applyBorder="1" applyAlignment="1">
      <alignment horizontal="center" vertical="center"/>
    </xf>
    <xf numFmtId="0" fontId="11" fillId="0" borderId="18" xfId="2" applyFont="1" applyFill="1" applyBorder="1" applyAlignment="1">
      <alignment horizontal="center" vertical="center" shrinkToFit="1"/>
    </xf>
    <xf numFmtId="0" fontId="16" fillId="0" borderId="9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shrinkToFit="1"/>
    </xf>
    <xf numFmtId="0" fontId="13" fillId="4" borderId="9" xfId="0" applyFont="1" applyFill="1" applyBorder="1" applyAlignment="1">
      <alignment horizontal="center" vertical="center" shrinkToFit="1"/>
    </xf>
    <xf numFmtId="0" fontId="0" fillId="4" borderId="0" xfId="0" applyFont="1" applyFill="1">
      <alignment vertical="center"/>
    </xf>
    <xf numFmtId="0" fontId="21" fillId="4" borderId="0" xfId="0" quotePrefix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>
      <alignment vertical="center"/>
    </xf>
    <xf numFmtId="0" fontId="13" fillId="7" borderId="9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shrinkToFit="1"/>
    </xf>
    <xf numFmtId="0" fontId="0" fillId="7" borderId="1" xfId="0" applyFont="1" applyFill="1" applyBorder="1" applyAlignment="1">
      <alignment horizontal="center" vertical="center"/>
    </xf>
    <xf numFmtId="0" fontId="0" fillId="7" borderId="0" xfId="0" applyFont="1" applyFill="1">
      <alignment vertical="center"/>
    </xf>
    <xf numFmtId="0" fontId="46" fillId="7" borderId="0" xfId="0" applyFont="1" applyFill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shrinkToFit="1"/>
    </xf>
    <xf numFmtId="0" fontId="0" fillId="0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48" fillId="0" borderId="9" xfId="0" applyFont="1" applyFill="1" applyBorder="1" applyAlignment="1">
      <alignment horizontal="center" vertical="center"/>
    </xf>
    <xf numFmtId="0" fontId="43" fillId="0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26" fillId="8" borderId="2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shrinkToFit="1"/>
    </xf>
    <xf numFmtId="0" fontId="13" fillId="9" borderId="9" xfId="0" applyFont="1" applyFill="1" applyBorder="1" applyAlignment="1">
      <alignment horizontal="center" vertical="center"/>
    </xf>
    <xf numFmtId="0" fontId="48" fillId="0" borderId="0" xfId="0" applyFont="1" applyFill="1" applyBorder="1" applyAlignment="1">
      <alignment horizontal="center" vertical="center"/>
    </xf>
    <xf numFmtId="0" fontId="48" fillId="9" borderId="1" xfId="0" applyFont="1" applyFill="1" applyBorder="1" applyAlignment="1">
      <alignment horizontal="center" vertical="center"/>
    </xf>
    <xf numFmtId="0" fontId="48" fillId="9" borderId="1" xfId="0" applyFont="1" applyFill="1" applyBorder="1" applyAlignment="1">
      <alignment horizontal="center" vertical="center" shrinkToFit="1"/>
    </xf>
    <xf numFmtId="0" fontId="13" fillId="0" borderId="26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3" fillId="0" borderId="0" xfId="0" applyFont="1" applyFill="1" applyBorder="1">
      <alignment vertical="center"/>
    </xf>
    <xf numFmtId="0" fontId="13" fillId="0" borderId="10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9" fillId="0" borderId="28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 shrinkToFit="1"/>
    </xf>
    <xf numFmtId="0" fontId="13" fillId="0" borderId="31" xfId="0" applyFont="1" applyFill="1" applyBorder="1" applyAlignment="1">
      <alignment horizontal="center" vertical="center"/>
    </xf>
    <xf numFmtId="0" fontId="13" fillId="9" borderId="31" xfId="0" applyFont="1" applyFill="1" applyBorder="1" applyAlignment="1">
      <alignment horizontal="center" vertical="center"/>
    </xf>
    <xf numFmtId="0" fontId="13" fillId="9" borderId="31" xfId="0" applyFont="1" applyFill="1" applyBorder="1" applyAlignment="1">
      <alignment horizontal="center" vertical="center" shrinkToFit="1"/>
    </xf>
    <xf numFmtId="0" fontId="13" fillId="0" borderId="31" xfId="0" applyFont="1" applyFill="1" applyBorder="1" applyAlignment="1">
      <alignment horizontal="center" vertical="center" shrinkToFit="1"/>
    </xf>
    <xf numFmtId="0" fontId="13" fillId="0" borderId="32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 shrinkToFit="1"/>
    </xf>
    <xf numFmtId="0" fontId="13" fillId="0" borderId="31" xfId="2" applyFont="1" applyFill="1" applyBorder="1" applyAlignment="1">
      <alignment horizontal="center" vertical="center" wrapText="1"/>
    </xf>
    <xf numFmtId="0" fontId="13" fillId="0" borderId="31" xfId="2" applyFont="1" applyFill="1" applyBorder="1" applyAlignment="1">
      <alignment horizontal="center" vertical="center" shrinkToFit="1"/>
    </xf>
    <xf numFmtId="0" fontId="13" fillId="0" borderId="33" xfId="0" applyFont="1" applyFill="1" applyBorder="1" applyAlignment="1">
      <alignment horizontal="center" vertical="center"/>
    </xf>
    <xf numFmtId="0" fontId="13" fillId="0" borderId="33" xfId="2" applyFont="1" applyFill="1" applyBorder="1" applyAlignment="1">
      <alignment horizontal="center" vertical="center" wrapText="1"/>
    </xf>
    <xf numFmtId="0" fontId="13" fillId="0" borderId="33" xfId="0" applyFont="1" applyFill="1" applyBorder="1" applyAlignment="1">
      <alignment horizontal="center" vertical="center" shrinkToFit="1"/>
    </xf>
    <xf numFmtId="0" fontId="13" fillId="0" borderId="32" xfId="2" applyFont="1" applyFill="1" applyBorder="1" applyAlignment="1">
      <alignment horizontal="center" vertical="center" wrapText="1"/>
    </xf>
    <xf numFmtId="0" fontId="13" fillId="0" borderId="32" xfId="2" applyFont="1" applyFill="1" applyBorder="1" applyAlignment="1">
      <alignment horizontal="center" vertical="center" shrinkToFit="1"/>
    </xf>
    <xf numFmtId="0" fontId="13" fillId="0" borderId="30" xfId="2" applyFont="1" applyFill="1" applyBorder="1" applyAlignment="1">
      <alignment horizontal="center" vertical="center" wrapText="1"/>
    </xf>
    <xf numFmtId="0" fontId="13" fillId="0" borderId="30" xfId="2" applyFont="1" applyFill="1" applyBorder="1" applyAlignment="1">
      <alignment horizontal="center" vertical="center" shrinkToFit="1"/>
    </xf>
    <xf numFmtId="0" fontId="13" fillId="0" borderId="34" xfId="0" applyFont="1" applyFill="1" applyBorder="1">
      <alignment vertical="center"/>
    </xf>
    <xf numFmtId="0" fontId="13" fillId="0" borderId="34" xfId="0" applyFont="1" applyFill="1" applyBorder="1" applyAlignment="1">
      <alignment horizontal="center" vertical="center"/>
    </xf>
    <xf numFmtId="0" fontId="13" fillId="0" borderId="33" xfId="2" applyFont="1" applyFill="1" applyBorder="1" applyAlignment="1">
      <alignment horizontal="center" vertical="center" shrinkToFit="1"/>
    </xf>
    <xf numFmtId="0" fontId="13" fillId="0" borderId="35" xfId="0" applyFont="1" applyFill="1" applyBorder="1" applyAlignment="1">
      <alignment horizontal="center" vertical="center"/>
    </xf>
    <xf numFmtId="0" fontId="13" fillId="0" borderId="35" xfId="2" applyFont="1" applyFill="1" applyBorder="1" applyAlignment="1">
      <alignment horizontal="center" vertical="center" wrapText="1"/>
    </xf>
    <xf numFmtId="0" fontId="13" fillId="0" borderId="35" xfId="2" applyFont="1" applyFill="1" applyBorder="1" applyAlignment="1">
      <alignment horizontal="center" vertical="center" shrinkToFit="1"/>
    </xf>
    <xf numFmtId="0" fontId="12" fillId="0" borderId="31" xfId="2" applyFont="1" applyFill="1" applyBorder="1" applyAlignment="1">
      <alignment horizontal="center" vertical="center" wrapText="1"/>
    </xf>
    <xf numFmtId="0" fontId="13" fillId="0" borderId="31" xfId="0" applyFont="1" applyFill="1" applyBorder="1">
      <alignment vertical="center"/>
    </xf>
    <xf numFmtId="0" fontId="13" fillId="9" borderId="36" xfId="2" applyFont="1" applyFill="1" applyBorder="1" applyAlignment="1">
      <alignment vertical="center" wrapText="1"/>
    </xf>
    <xf numFmtId="0" fontId="13" fillId="9" borderId="34" xfId="2" applyFont="1" applyFill="1" applyBorder="1" applyAlignment="1">
      <alignment vertical="center" wrapText="1"/>
    </xf>
    <xf numFmtId="0" fontId="13" fillId="9" borderId="37" xfId="2" applyFont="1" applyFill="1" applyBorder="1" applyAlignment="1">
      <alignment vertical="center" wrapText="1"/>
    </xf>
    <xf numFmtId="0" fontId="13" fillId="0" borderId="35" xfId="0" applyFont="1" applyFill="1" applyBorder="1" applyAlignment="1">
      <alignment horizontal="center" vertical="center" shrinkToFit="1"/>
    </xf>
    <xf numFmtId="0" fontId="28" fillId="0" borderId="38" xfId="0" applyFont="1" applyFill="1" applyBorder="1" applyAlignment="1">
      <alignment horizontal="center" vertical="center"/>
    </xf>
    <xf numFmtId="0" fontId="28" fillId="0" borderId="39" xfId="0" applyFont="1" applyFill="1" applyBorder="1" applyAlignment="1">
      <alignment horizontal="center" vertical="center"/>
    </xf>
    <xf numFmtId="0" fontId="28" fillId="0" borderId="40" xfId="0" applyFont="1" applyFill="1" applyBorder="1" applyAlignment="1">
      <alignment horizontal="center" vertical="center"/>
    </xf>
    <xf numFmtId="0" fontId="13" fillId="9" borderId="32" xfId="0" applyFont="1" applyFill="1" applyBorder="1" applyAlignment="1">
      <alignment horizontal="center" vertical="center"/>
    </xf>
    <xf numFmtId="0" fontId="13" fillId="9" borderId="32" xfId="0" applyFont="1" applyFill="1" applyBorder="1" applyAlignment="1">
      <alignment horizontal="center" vertical="center" shrinkToFit="1"/>
    </xf>
    <xf numFmtId="0" fontId="13" fillId="9" borderId="35" xfId="0" applyFont="1" applyFill="1" applyBorder="1" applyAlignment="1">
      <alignment horizontal="center" vertical="center"/>
    </xf>
    <xf numFmtId="0" fontId="13" fillId="9" borderId="30" xfId="0" applyFont="1" applyFill="1" applyBorder="1" applyAlignment="1">
      <alignment horizontal="center" vertical="center"/>
    </xf>
    <xf numFmtId="0" fontId="13" fillId="9" borderId="30" xfId="0" applyFont="1" applyFill="1" applyBorder="1" applyAlignment="1">
      <alignment horizontal="center" vertical="center" shrinkToFit="1"/>
    </xf>
    <xf numFmtId="0" fontId="13" fillId="9" borderId="33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3" fillId="0" borderId="42" xfId="0" applyFont="1" applyFill="1" applyBorder="1" applyAlignment="1">
      <alignment horizontal="center" vertical="center"/>
    </xf>
    <xf numFmtId="0" fontId="13" fillId="0" borderId="43" xfId="0" applyFont="1" applyFill="1" applyBorder="1" applyAlignment="1">
      <alignment horizontal="center" vertical="center"/>
    </xf>
    <xf numFmtId="0" fontId="13" fillId="0" borderId="44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4" fillId="0" borderId="33" xfId="2" applyFont="1" applyFill="1" applyBorder="1" applyAlignment="1">
      <alignment horizontal="center" vertical="center" wrapText="1"/>
    </xf>
    <xf numFmtId="0" fontId="21" fillId="0" borderId="32" xfId="0" applyFont="1" applyFill="1" applyBorder="1" applyAlignment="1">
      <alignment horizontal="center" vertical="center"/>
    </xf>
    <xf numFmtId="0" fontId="13" fillId="4" borderId="31" xfId="2" applyFont="1" applyFill="1" applyBorder="1" applyAlignment="1">
      <alignment horizontal="center" vertical="center" wrapText="1"/>
    </xf>
    <xf numFmtId="0" fontId="13" fillId="4" borderId="31" xfId="2" applyFont="1" applyFill="1" applyBorder="1" applyAlignment="1">
      <alignment horizontal="center" vertical="center" shrinkToFit="1"/>
    </xf>
    <xf numFmtId="0" fontId="13" fillId="4" borderId="31" xfId="0" applyFont="1" applyFill="1" applyBorder="1" applyAlignment="1">
      <alignment horizontal="center" vertical="center"/>
    </xf>
    <xf numFmtId="0" fontId="48" fillId="4" borderId="0" xfId="0" applyFont="1" applyFill="1" applyBorder="1" applyAlignment="1">
      <alignment horizontal="center" vertical="center"/>
    </xf>
    <xf numFmtId="0" fontId="13" fillId="9" borderId="31" xfId="2" applyFont="1" applyFill="1" applyBorder="1" applyAlignment="1">
      <alignment horizontal="center" vertical="center" wrapText="1"/>
    </xf>
    <xf numFmtId="0" fontId="13" fillId="9" borderId="31" xfId="2" applyFont="1" applyFill="1" applyBorder="1" applyAlignment="1">
      <alignment horizontal="center" vertical="center" shrinkToFit="1"/>
    </xf>
    <xf numFmtId="0" fontId="48" fillId="0" borderId="31" xfId="0" applyFont="1" applyFill="1" applyBorder="1" applyAlignment="1">
      <alignment horizontal="center" vertical="center"/>
    </xf>
    <xf numFmtId="0" fontId="29" fillId="0" borderId="9" xfId="1" applyFont="1" applyFill="1" applyBorder="1" applyAlignment="1">
      <alignment horizontal="center" vertical="center" shrinkToFit="1"/>
    </xf>
    <xf numFmtId="0" fontId="49" fillId="0" borderId="0" xfId="0" applyFont="1" applyFill="1" applyBorder="1" applyAlignment="1">
      <alignment horizontal="center" vertical="center"/>
    </xf>
    <xf numFmtId="0" fontId="50" fillId="0" borderId="31" xfId="0" applyFont="1" applyFill="1" applyBorder="1" applyAlignment="1">
      <alignment horizontal="center" vertical="center"/>
    </xf>
    <xf numFmtId="0" fontId="50" fillId="0" borderId="31" xfId="2" applyFont="1" applyFill="1" applyBorder="1" applyAlignment="1">
      <alignment horizontal="center" vertical="center" shrinkToFit="1"/>
    </xf>
    <xf numFmtId="0" fontId="13" fillId="10" borderId="31" xfId="2" applyFont="1" applyFill="1" applyBorder="1" applyAlignment="1">
      <alignment horizontal="center" vertical="center" wrapText="1"/>
    </xf>
    <xf numFmtId="0" fontId="13" fillId="10" borderId="34" xfId="0" applyFont="1" applyFill="1" applyBorder="1" applyAlignment="1">
      <alignment horizontal="center" vertical="center"/>
    </xf>
    <xf numFmtId="0" fontId="13" fillId="10" borderId="31" xfId="0" applyFont="1" applyFill="1" applyBorder="1" applyAlignment="1">
      <alignment horizontal="center" vertical="center"/>
    </xf>
    <xf numFmtId="0" fontId="13" fillId="11" borderId="31" xfId="2" applyFont="1" applyFill="1" applyBorder="1" applyAlignment="1">
      <alignment horizontal="center" vertical="center" wrapText="1"/>
    </xf>
    <xf numFmtId="0" fontId="13" fillId="11" borderId="31" xfId="2" applyFont="1" applyFill="1" applyBorder="1" applyAlignment="1">
      <alignment horizontal="center" vertical="center" shrinkToFit="1"/>
    </xf>
    <xf numFmtId="0" fontId="13" fillId="11" borderId="31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9" borderId="43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9" borderId="0" xfId="0" applyFont="1" applyFill="1">
      <alignment vertical="center"/>
    </xf>
    <xf numFmtId="0" fontId="13" fillId="9" borderId="11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51" fillId="9" borderId="28" xfId="0" applyFont="1" applyFill="1" applyBorder="1" applyAlignment="1">
      <alignment horizontal="center" vertical="center"/>
    </xf>
    <xf numFmtId="0" fontId="50" fillId="9" borderId="31" xfId="0" applyFont="1" applyFill="1" applyBorder="1" applyAlignment="1">
      <alignment horizontal="center" vertical="center"/>
    </xf>
    <xf numFmtId="0" fontId="50" fillId="9" borderId="31" xfId="2" applyFont="1" applyFill="1" applyBorder="1" applyAlignment="1">
      <alignment horizontal="center" vertical="center" wrapText="1"/>
    </xf>
    <xf numFmtId="0" fontId="50" fillId="9" borderId="31" xfId="2" applyFont="1" applyFill="1" applyBorder="1" applyAlignment="1">
      <alignment horizontal="center" vertical="center" shrinkToFit="1"/>
    </xf>
    <xf numFmtId="0" fontId="50" fillId="9" borderId="30" xfId="0" applyFont="1" applyFill="1" applyBorder="1" applyAlignment="1">
      <alignment horizontal="center" vertical="center"/>
    </xf>
    <xf numFmtId="0" fontId="5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3" fillId="4" borderId="30" xfId="2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 shrinkToFit="1"/>
    </xf>
    <xf numFmtId="0" fontId="13" fillId="4" borderId="30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 shrinkToFit="1"/>
    </xf>
    <xf numFmtId="0" fontId="13" fillId="4" borderId="45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 vertical="center"/>
    </xf>
    <xf numFmtId="0" fontId="48" fillId="0" borderId="41" xfId="0" applyFont="1" applyFill="1" applyBorder="1" applyAlignment="1">
      <alignment horizontal="center" vertical="center"/>
    </xf>
    <xf numFmtId="0" fontId="7" fillId="0" borderId="46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7" fillId="0" borderId="48" xfId="0" applyFont="1" applyFill="1" applyBorder="1" applyAlignment="1">
      <alignment horizontal="center" vertical="center"/>
    </xf>
    <xf numFmtId="0" fontId="7" fillId="0" borderId="49" xfId="0" applyFont="1" applyFill="1" applyBorder="1" applyAlignment="1">
      <alignment horizontal="center" vertical="center"/>
    </xf>
    <xf numFmtId="0" fontId="1" fillId="0" borderId="50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50" xfId="0" applyFont="1" applyFill="1" applyBorder="1" applyAlignment="1">
      <alignment horizontal="center" vertical="center"/>
    </xf>
    <xf numFmtId="0" fontId="52" fillId="0" borderId="14" xfId="0" applyFont="1" applyFill="1" applyBorder="1" applyAlignment="1">
      <alignment horizontal="center" vertical="center"/>
    </xf>
    <xf numFmtId="0" fontId="13" fillId="0" borderId="51" xfId="0" applyFont="1" applyFill="1" applyBorder="1" applyAlignment="1">
      <alignment horizontal="center" vertical="center"/>
    </xf>
    <xf numFmtId="0" fontId="49" fillId="0" borderId="50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43" fillId="7" borderId="8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shrinkToFit="1"/>
    </xf>
    <xf numFmtId="0" fontId="17" fillId="9" borderId="9" xfId="0" applyFont="1" applyFill="1" applyBorder="1" applyAlignment="1">
      <alignment horizontal="center" vertical="center"/>
    </xf>
    <xf numFmtId="0" fontId="11" fillId="9" borderId="1" xfId="2" applyFont="1" applyFill="1" applyBorder="1" applyAlignment="1">
      <alignment horizontal="center" vertical="center" wrapText="1"/>
    </xf>
    <xf numFmtId="0" fontId="43" fillId="9" borderId="8" xfId="0" applyFont="1" applyFill="1" applyBorder="1" applyAlignment="1">
      <alignment horizontal="center" vertical="center"/>
    </xf>
    <xf numFmtId="0" fontId="0" fillId="9" borderId="8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shrinkToFit="1"/>
    </xf>
    <xf numFmtId="0" fontId="0" fillId="9" borderId="1" xfId="0" applyFont="1" applyFill="1" applyBorder="1" applyAlignment="1">
      <alignment horizontal="center" vertical="center" shrinkToFit="1"/>
    </xf>
    <xf numFmtId="0" fontId="0" fillId="9" borderId="9" xfId="0" applyFont="1" applyFill="1" applyBorder="1" applyAlignment="1">
      <alignment horizontal="center" vertical="center"/>
    </xf>
    <xf numFmtId="0" fontId="46" fillId="9" borderId="1" xfId="0" applyFont="1" applyFill="1" applyBorder="1" applyAlignment="1">
      <alignment horizontal="center" vertical="center" shrinkToFit="1"/>
    </xf>
    <xf numFmtId="0" fontId="46" fillId="9" borderId="1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43" fillId="0" borderId="9" xfId="0" applyFont="1" applyFill="1" applyBorder="1" applyAlignment="1">
      <alignment horizontal="center" vertical="center"/>
    </xf>
    <xf numFmtId="0" fontId="28" fillId="0" borderId="46" xfId="0" applyFont="1" applyFill="1" applyBorder="1" applyAlignment="1">
      <alignment horizontal="center" vertical="center"/>
    </xf>
    <xf numFmtId="0" fontId="28" fillId="0" borderId="47" xfId="0" applyFont="1" applyFill="1" applyBorder="1" applyAlignment="1">
      <alignment horizontal="center" vertical="center"/>
    </xf>
    <xf numFmtId="0" fontId="28" fillId="0" borderId="48" xfId="0" applyFont="1" applyFill="1" applyBorder="1" applyAlignment="1">
      <alignment horizontal="center" vertical="center"/>
    </xf>
    <xf numFmtId="0" fontId="51" fillId="9" borderId="52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0" fontId="19" fillId="0" borderId="54" xfId="0" applyFont="1" applyFill="1" applyBorder="1" applyAlignment="1">
      <alignment horizontal="center" vertical="center"/>
    </xf>
    <xf numFmtId="0" fontId="13" fillId="0" borderId="55" xfId="0" applyFont="1" applyFill="1" applyBorder="1">
      <alignment vertical="center"/>
    </xf>
    <xf numFmtId="0" fontId="53" fillId="0" borderId="8" xfId="0" applyFont="1" applyFill="1" applyBorder="1" applyAlignment="1">
      <alignment horizontal="center" vertical="center"/>
    </xf>
    <xf numFmtId="0" fontId="49" fillId="0" borderId="56" xfId="0" applyFont="1" applyFill="1" applyBorder="1" applyAlignment="1">
      <alignment horizontal="center" vertical="center"/>
    </xf>
    <xf numFmtId="0" fontId="53" fillId="9" borderId="8" xfId="0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 vertical="center" shrinkToFit="1"/>
    </xf>
    <xf numFmtId="0" fontId="53" fillId="0" borderId="56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19" fillId="9" borderId="28" xfId="0" applyFont="1" applyFill="1" applyBorder="1" applyAlignment="1">
      <alignment horizontal="center" vertical="center"/>
    </xf>
    <xf numFmtId="0" fontId="13" fillId="0" borderId="57" xfId="0" applyFont="1" applyFill="1" applyBorder="1">
      <alignment vertical="center"/>
    </xf>
    <xf numFmtId="0" fontId="13" fillId="0" borderId="1" xfId="0" applyFont="1" applyFill="1" applyBorder="1">
      <alignment vertical="center"/>
    </xf>
    <xf numFmtId="0" fontId="13" fillId="0" borderId="9" xfId="0" applyFont="1" applyFill="1" applyBorder="1">
      <alignment vertical="center"/>
    </xf>
    <xf numFmtId="0" fontId="13" fillId="0" borderId="58" xfId="0" applyFont="1" applyFill="1" applyBorder="1">
      <alignment vertical="center"/>
    </xf>
    <xf numFmtId="0" fontId="13" fillId="0" borderId="18" xfId="0" applyFont="1" applyFill="1" applyBorder="1">
      <alignment vertical="center"/>
    </xf>
    <xf numFmtId="0" fontId="13" fillId="0" borderId="18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 shrinkToFit="1"/>
    </xf>
    <xf numFmtId="0" fontId="13" fillId="0" borderId="19" xfId="0" applyFont="1" applyFill="1" applyBorder="1">
      <alignment vertical="center"/>
    </xf>
    <xf numFmtId="0" fontId="13" fillId="0" borderId="57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 shrinkToFit="1"/>
    </xf>
    <xf numFmtId="0" fontId="11" fillId="9" borderId="1" xfId="2" applyFont="1" applyFill="1" applyBorder="1" applyAlignment="1">
      <alignment horizontal="center" vertical="center" wrapText="1"/>
    </xf>
    <xf numFmtId="0" fontId="48" fillId="9" borderId="31" xfId="0" applyFont="1" applyFill="1" applyBorder="1" applyAlignment="1">
      <alignment horizontal="center" vertical="center"/>
    </xf>
    <xf numFmtId="0" fontId="46" fillId="9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0" fillId="9" borderId="0" xfId="0" applyFont="1" applyFill="1">
      <alignment vertical="center"/>
    </xf>
    <xf numFmtId="0" fontId="13" fillId="0" borderId="59" xfId="2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53" fillId="0" borderId="0" xfId="0" applyFont="1" applyFill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 shrinkToFit="1"/>
    </xf>
    <xf numFmtId="0" fontId="43" fillId="9" borderId="1" xfId="0" applyFont="1" applyFill="1" applyBorder="1" applyAlignment="1">
      <alignment horizontal="center" vertical="center"/>
    </xf>
    <xf numFmtId="0" fontId="1" fillId="9" borderId="1" xfId="2" applyFont="1" applyFill="1" applyBorder="1" applyAlignment="1">
      <alignment horizontal="center" vertical="center" wrapText="1"/>
    </xf>
    <xf numFmtId="0" fontId="1" fillId="9" borderId="1" xfId="2" applyFont="1" applyFill="1" applyBorder="1" applyAlignment="1">
      <alignment horizontal="center" vertical="center" shrinkToFit="1"/>
    </xf>
    <xf numFmtId="0" fontId="17" fillId="7" borderId="1" xfId="0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center" vertical="center"/>
    </xf>
    <xf numFmtId="0" fontId="49" fillId="9" borderId="9" xfId="0" applyFont="1" applyFill="1" applyBorder="1" applyAlignment="1">
      <alignment horizontal="center" vertical="center"/>
    </xf>
    <xf numFmtId="0" fontId="43" fillId="9" borderId="1" xfId="0" applyFont="1" applyFill="1" applyBorder="1" applyAlignment="1">
      <alignment horizontal="center" vertical="center" shrinkToFit="1"/>
    </xf>
    <xf numFmtId="0" fontId="0" fillId="9" borderId="18" xfId="0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shrinkToFit="1"/>
    </xf>
    <xf numFmtId="0" fontId="0" fillId="9" borderId="19" xfId="0" applyFont="1" applyFill="1" applyBorder="1" applyAlignment="1">
      <alignment horizontal="center" vertical="center"/>
    </xf>
    <xf numFmtId="0" fontId="48" fillId="7" borderId="1" xfId="0" applyFont="1" applyFill="1" applyBorder="1" applyAlignment="1">
      <alignment horizontal="center" vertical="center"/>
    </xf>
    <xf numFmtId="0" fontId="48" fillId="7" borderId="1" xfId="0" applyFont="1" applyFill="1" applyBorder="1" applyAlignment="1">
      <alignment horizontal="center" vertical="center" shrinkToFit="1"/>
    </xf>
    <xf numFmtId="0" fontId="49" fillId="7" borderId="9" xfId="0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shrinkToFit="1"/>
    </xf>
    <xf numFmtId="0" fontId="13" fillId="0" borderId="62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shrinkToFit="1"/>
    </xf>
    <xf numFmtId="0" fontId="13" fillId="0" borderId="63" xfId="0" applyFont="1" applyFill="1" applyBorder="1" applyAlignment="1">
      <alignment horizontal="center" vertical="center"/>
    </xf>
    <xf numFmtId="0" fontId="7" fillId="0" borderId="64" xfId="0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shrinkToFit="1"/>
    </xf>
    <xf numFmtId="0" fontId="13" fillId="0" borderId="67" xfId="0" applyFont="1" applyFill="1" applyBorder="1" applyAlignment="1">
      <alignment horizontal="center" vertical="center"/>
    </xf>
    <xf numFmtId="0" fontId="19" fillId="0" borderId="52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 shrinkToFit="1"/>
    </xf>
    <xf numFmtId="0" fontId="13" fillId="0" borderId="68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3" fillId="12" borderId="8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shrinkToFit="1"/>
    </xf>
    <xf numFmtId="0" fontId="0" fillId="12" borderId="9" xfId="0" applyFill="1" applyBorder="1" applyAlignment="1">
      <alignment horizontal="center" vertical="center" shrinkToFit="1"/>
    </xf>
    <xf numFmtId="0" fontId="46" fillId="12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0" fontId="0" fillId="12" borderId="0" xfId="0" applyFont="1" applyFill="1">
      <alignment vertical="center"/>
    </xf>
    <xf numFmtId="0" fontId="13" fillId="12" borderId="1" xfId="0" applyFont="1" applyFill="1" applyBorder="1" applyAlignment="1">
      <alignment horizontal="center" vertical="center" shrinkToFit="1"/>
    </xf>
    <xf numFmtId="0" fontId="13" fillId="12" borderId="9" xfId="0" applyFont="1" applyFill="1" applyBorder="1" applyAlignment="1">
      <alignment horizontal="center" vertical="center"/>
    </xf>
    <xf numFmtId="0" fontId="13" fillId="12" borderId="0" xfId="0" quotePrefix="1" applyFont="1" applyFill="1" applyAlignment="1">
      <alignment horizontal="center" vertical="center"/>
    </xf>
    <xf numFmtId="0" fontId="54" fillId="0" borderId="0" xfId="0" quotePrefix="1" applyFont="1" applyFill="1" applyBorder="1" applyAlignment="1">
      <alignment horizontal="center" vertical="center"/>
    </xf>
    <xf numFmtId="0" fontId="13" fillId="4" borderId="32" xfId="2" applyFont="1" applyFill="1" applyBorder="1" applyAlignment="1">
      <alignment horizontal="center" vertical="center" wrapText="1"/>
    </xf>
    <xf numFmtId="0" fontId="13" fillId="4" borderId="32" xfId="2" applyFont="1" applyFill="1" applyBorder="1" applyAlignment="1">
      <alignment horizontal="center" vertical="center" shrinkToFit="1"/>
    </xf>
    <xf numFmtId="0" fontId="13" fillId="4" borderId="42" xfId="0" applyFont="1" applyFill="1" applyBorder="1" applyAlignment="1">
      <alignment horizontal="center" vertical="center"/>
    </xf>
    <xf numFmtId="0" fontId="43" fillId="0" borderId="0" xfId="0" applyFont="1" applyFill="1" applyAlignment="1">
      <alignment horizontal="center" vertical="center"/>
    </xf>
    <xf numFmtId="0" fontId="43" fillId="0" borderId="0" xfId="0" applyFont="1" applyFill="1">
      <alignment vertical="center"/>
    </xf>
    <xf numFmtId="0" fontId="50" fillId="9" borderId="9" xfId="0" applyFont="1" applyFill="1" applyBorder="1" applyAlignment="1">
      <alignment horizontal="center" vertical="center"/>
    </xf>
    <xf numFmtId="0" fontId="48" fillId="0" borderId="31" xfId="2" applyFont="1" applyFill="1" applyBorder="1" applyAlignment="1">
      <alignment horizontal="center" vertical="center" shrinkToFit="1"/>
    </xf>
    <xf numFmtId="0" fontId="48" fillId="0" borderId="31" xfId="2" applyFont="1" applyFill="1" applyBorder="1" applyAlignment="1">
      <alignment horizontal="center" vertical="center" wrapText="1"/>
    </xf>
    <xf numFmtId="0" fontId="48" fillId="9" borderId="31" xfId="2" applyFont="1" applyFill="1" applyBorder="1" applyAlignment="1">
      <alignment horizontal="center" vertical="center" shrinkToFit="1"/>
    </xf>
    <xf numFmtId="0" fontId="48" fillId="9" borderId="31" xfId="2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48" fillId="9" borderId="0" xfId="0" applyFont="1" applyFill="1" applyBorder="1" applyAlignment="1">
      <alignment horizontal="center" vertical="center"/>
    </xf>
    <xf numFmtId="0" fontId="50" fillId="9" borderId="0" xfId="0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horizontal="center" vertical="center"/>
    </xf>
    <xf numFmtId="0" fontId="13" fillId="10" borderId="0" xfId="0" applyFont="1" applyFill="1" applyBorder="1" applyAlignment="1">
      <alignment horizontal="center" vertical="center"/>
    </xf>
    <xf numFmtId="0" fontId="29" fillId="0" borderId="0" xfId="1" applyFont="1" applyFill="1" applyBorder="1" applyAlignment="1">
      <alignment horizontal="center" vertical="center" shrinkToFit="1"/>
    </xf>
    <xf numFmtId="0" fontId="32" fillId="0" borderId="0" xfId="0" applyFont="1" applyFill="1">
      <alignment vertical="center"/>
    </xf>
    <xf numFmtId="0" fontId="32" fillId="0" borderId="0" xfId="0" applyFont="1" applyFill="1" applyAlignment="1">
      <alignment horizontal="center" vertical="center"/>
    </xf>
    <xf numFmtId="0" fontId="32" fillId="0" borderId="0" xfId="0" applyFont="1" applyFill="1" applyAlignment="1">
      <alignment horizontal="center" vertical="center" shrinkToFit="1"/>
    </xf>
    <xf numFmtId="0" fontId="32" fillId="0" borderId="69" xfId="0" applyFont="1" applyFill="1" applyBorder="1" applyAlignment="1">
      <alignment horizontal="center" vertical="center"/>
    </xf>
    <xf numFmtId="0" fontId="11" fillId="9" borderId="1" xfId="2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 shrinkToFit="1"/>
    </xf>
    <xf numFmtId="0" fontId="11" fillId="13" borderId="1" xfId="2" applyFont="1" applyFill="1" applyBorder="1" applyAlignment="1">
      <alignment horizontal="center" vertical="center" wrapText="1"/>
    </xf>
    <xf numFmtId="0" fontId="17" fillId="13" borderId="9" xfId="0" applyFont="1" applyFill="1" applyBorder="1" applyAlignment="1">
      <alignment horizontal="center" vertical="center"/>
    </xf>
    <xf numFmtId="0" fontId="50" fillId="9" borderId="1" xfId="2" applyFont="1" applyFill="1" applyBorder="1" applyAlignment="1">
      <alignment horizontal="center" vertical="center" wrapText="1"/>
    </xf>
    <xf numFmtId="0" fontId="50" fillId="0" borderId="9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center" vertical="center" shrinkToFit="1"/>
    </xf>
    <xf numFmtId="0" fontId="50" fillId="0" borderId="1" xfId="0" applyFont="1" applyFill="1" applyBorder="1" applyAlignment="1">
      <alignment horizontal="center" vertical="center" shrinkToFit="1"/>
    </xf>
    <xf numFmtId="0" fontId="50" fillId="0" borderId="1" xfId="0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 shrinkToFit="1"/>
    </xf>
    <xf numFmtId="0" fontId="13" fillId="13" borderId="1" xfId="2" applyFont="1" applyFill="1" applyBorder="1" applyAlignment="1">
      <alignment horizontal="center" vertical="center" wrapText="1"/>
    </xf>
    <xf numFmtId="0" fontId="13" fillId="14" borderId="41" xfId="0" applyFont="1" applyFill="1" applyBorder="1" applyAlignment="1">
      <alignment horizontal="center" vertical="center"/>
    </xf>
    <xf numFmtId="0" fontId="13" fillId="15" borderId="31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3" fillId="14" borderId="31" xfId="0" applyFont="1" applyFill="1" applyBorder="1" applyAlignment="1">
      <alignment horizontal="center" vertical="center"/>
    </xf>
    <xf numFmtId="0" fontId="13" fillId="14" borderId="31" xfId="0" applyFont="1" applyFill="1" applyBorder="1" applyAlignment="1">
      <alignment horizontal="center" vertical="center" shrinkToFit="1"/>
    </xf>
    <xf numFmtId="0" fontId="13" fillId="0" borderId="5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31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0" xfId="0" quotePrefix="1" applyFont="1" applyFill="1" applyBorder="1" applyAlignment="1">
      <alignment horizontal="center" vertical="center"/>
    </xf>
    <xf numFmtId="0" fontId="13" fillId="0" borderId="31" xfId="0" quotePrefix="1" applyFont="1" applyFill="1" applyBorder="1" applyAlignment="1">
      <alignment horizontal="center" vertical="center" shrinkToFit="1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 shrinkToFit="1"/>
    </xf>
    <xf numFmtId="0" fontId="13" fillId="0" borderId="30" xfId="2" quotePrefix="1" applyFont="1" applyFill="1" applyBorder="1" applyAlignment="1">
      <alignment horizontal="center" vertical="center" wrapText="1"/>
    </xf>
    <xf numFmtId="0" fontId="13" fillId="0" borderId="31" xfId="2" quotePrefix="1" applyFont="1" applyFill="1" applyBorder="1" applyAlignment="1">
      <alignment horizontal="center" vertical="center" wrapText="1"/>
    </xf>
    <xf numFmtId="0" fontId="13" fillId="0" borderId="33" xfId="2" quotePrefix="1" applyFont="1" applyFill="1" applyBorder="1" applyAlignment="1">
      <alignment horizontal="center" vertical="center" wrapText="1"/>
    </xf>
    <xf numFmtId="0" fontId="13" fillId="0" borderId="30" xfId="0" quotePrefix="1" applyFont="1" applyFill="1" applyBorder="1" applyAlignment="1">
      <alignment horizontal="center" vertical="center" shrinkToFit="1"/>
    </xf>
    <xf numFmtId="0" fontId="13" fillId="0" borderId="31" xfId="2" quotePrefix="1" applyFont="1" applyFill="1" applyBorder="1" applyAlignment="1">
      <alignment horizontal="center" vertical="center" shrinkToFit="1"/>
    </xf>
    <xf numFmtId="0" fontId="13" fillId="0" borderId="33" xfId="0" quotePrefix="1" applyFont="1" applyFill="1" applyBorder="1" applyAlignment="1">
      <alignment horizontal="center" vertical="center" shrinkToFit="1"/>
    </xf>
    <xf numFmtId="0" fontId="13" fillId="0" borderId="35" xfId="2" quotePrefix="1" applyFont="1" applyFill="1" applyBorder="1" applyAlignment="1">
      <alignment horizontal="center" vertical="center" wrapText="1"/>
    </xf>
    <xf numFmtId="0" fontId="13" fillId="0" borderId="32" xfId="2" quotePrefix="1" applyFont="1" applyFill="1" applyBorder="1" applyAlignment="1">
      <alignment horizontal="center" vertical="center" wrapText="1"/>
    </xf>
    <xf numFmtId="0" fontId="13" fillId="0" borderId="33" xfId="0" applyFont="1" applyFill="1" applyBorder="1" applyAlignment="1">
      <alignment horizontal="center" vertical="center" wrapText="1"/>
    </xf>
    <xf numFmtId="0" fontId="13" fillId="0" borderId="35" xfId="0" quotePrefix="1" applyFont="1" applyFill="1" applyBorder="1" applyAlignment="1">
      <alignment horizontal="center" vertical="center"/>
    </xf>
    <xf numFmtId="0" fontId="13" fillId="0" borderId="41" xfId="0" quotePrefix="1" applyFont="1" applyFill="1" applyBorder="1" applyAlignment="1">
      <alignment horizontal="center" vertical="center"/>
    </xf>
    <xf numFmtId="0" fontId="13" fillId="0" borderId="42" xfId="0" quotePrefix="1" applyFont="1" applyFill="1" applyBorder="1" applyAlignment="1">
      <alignment horizontal="center" vertical="center"/>
    </xf>
    <xf numFmtId="0" fontId="13" fillId="0" borderId="32" xfId="2" quotePrefix="1" applyFont="1" applyFill="1" applyBorder="1" applyAlignment="1">
      <alignment horizontal="center" vertical="center" shrinkToFit="1"/>
    </xf>
    <xf numFmtId="0" fontId="13" fillId="0" borderId="35" xfId="2" quotePrefix="1" applyFont="1" applyFill="1" applyBorder="1" applyAlignment="1">
      <alignment horizontal="center" vertical="center" shrinkToFit="1"/>
    </xf>
    <xf numFmtId="0" fontId="13" fillId="0" borderId="35" xfId="0" quotePrefix="1" applyFont="1" applyFill="1" applyBorder="1" applyAlignment="1">
      <alignment horizontal="center" vertical="center" shrinkToFit="1"/>
    </xf>
    <xf numFmtId="0" fontId="13" fillId="0" borderId="44" xfId="0" quotePrefix="1" applyFont="1" applyFill="1" applyBorder="1" applyAlignment="1">
      <alignment horizontal="center" vertical="center"/>
    </xf>
    <xf numFmtId="0" fontId="13" fillId="0" borderId="45" xfId="0" quotePrefix="1" applyFont="1" applyFill="1" applyBorder="1" applyAlignment="1">
      <alignment horizontal="center" vertical="center"/>
    </xf>
    <xf numFmtId="0" fontId="13" fillId="0" borderId="43" xfId="0" quotePrefix="1" applyFont="1" applyFill="1" applyBorder="1" applyAlignment="1">
      <alignment horizontal="center" vertical="center"/>
    </xf>
    <xf numFmtId="0" fontId="21" fillId="0" borderId="32" xfId="0" quotePrefix="1" applyFont="1" applyFill="1" applyBorder="1" applyAlignment="1">
      <alignment horizontal="center" vertical="center"/>
    </xf>
    <xf numFmtId="0" fontId="51" fillId="0" borderId="15" xfId="0" applyFont="1" applyFill="1" applyBorder="1" applyAlignment="1">
      <alignment horizontal="center" vertical="center"/>
    </xf>
    <xf numFmtId="0" fontId="51" fillId="0" borderId="17" xfId="0" applyFont="1" applyFill="1" applyBorder="1" applyAlignment="1">
      <alignment horizontal="center" vertical="center"/>
    </xf>
    <xf numFmtId="0" fontId="13" fillId="0" borderId="70" xfId="0" applyFont="1" applyFill="1" applyBorder="1" applyAlignment="1">
      <alignment horizontal="center" vertical="center"/>
    </xf>
    <xf numFmtId="0" fontId="13" fillId="0" borderId="71" xfId="0" applyFont="1" applyFill="1" applyBorder="1" applyAlignment="1">
      <alignment horizontal="center" vertical="center"/>
    </xf>
    <xf numFmtId="0" fontId="13" fillId="0" borderId="72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8" xfId="0" quotePrefix="1" applyFont="1" applyFill="1" applyBorder="1" applyAlignment="1">
      <alignment horizontal="center" vertical="center"/>
    </xf>
    <xf numFmtId="0" fontId="13" fillId="0" borderId="1" xfId="0" quotePrefix="1" applyFont="1" applyFill="1" applyBorder="1" applyAlignment="1">
      <alignment horizontal="center" vertical="center" shrinkToFit="1"/>
    </xf>
    <xf numFmtId="0" fontId="13" fillId="0" borderId="1" xfId="0" quotePrefix="1" applyFont="1" applyFill="1" applyBorder="1" applyAlignment="1">
      <alignment horizontal="center" vertical="center"/>
    </xf>
    <xf numFmtId="0" fontId="13" fillId="0" borderId="11" xfId="0" quotePrefix="1" applyFont="1" applyFill="1" applyBorder="1" applyAlignment="1">
      <alignment horizontal="center" vertical="center"/>
    </xf>
    <xf numFmtId="0" fontId="13" fillId="0" borderId="15" xfId="0" quotePrefix="1" applyFont="1" applyFill="1" applyBorder="1" applyAlignment="1">
      <alignment horizontal="center" vertical="center"/>
    </xf>
    <xf numFmtId="0" fontId="13" fillId="0" borderId="10" xfId="0" quotePrefix="1" applyFont="1" applyFill="1" applyBorder="1" applyAlignment="1">
      <alignment horizontal="center" vertical="center"/>
    </xf>
    <xf numFmtId="0" fontId="13" fillId="0" borderId="18" xfId="0" quotePrefix="1" applyFont="1" applyFill="1" applyBorder="1" applyAlignment="1">
      <alignment horizontal="center" vertical="center" shrinkToFit="1"/>
    </xf>
    <xf numFmtId="0" fontId="13" fillId="0" borderId="16" xfId="0" quotePrefix="1" applyFont="1" applyFill="1" applyBorder="1" applyAlignment="1">
      <alignment horizontal="center" vertical="center"/>
    </xf>
    <xf numFmtId="0" fontId="13" fillId="0" borderId="18" xfId="0" quotePrefix="1" applyFont="1" applyFill="1" applyBorder="1" applyAlignment="1">
      <alignment horizontal="center" vertical="center"/>
    </xf>
    <xf numFmtId="0" fontId="13" fillId="0" borderId="29" xfId="0" quotePrefix="1" applyFont="1" applyFill="1" applyBorder="1" applyAlignment="1">
      <alignment horizontal="center" vertical="center"/>
    </xf>
    <xf numFmtId="0" fontId="13" fillId="0" borderId="73" xfId="0" quotePrefix="1" applyFont="1" applyFill="1" applyBorder="1" applyAlignment="1">
      <alignment horizontal="center" vertical="center"/>
    </xf>
    <xf numFmtId="0" fontId="13" fillId="0" borderId="57" xfId="0" quotePrefix="1" applyFont="1" applyFill="1" applyBorder="1" applyAlignment="1">
      <alignment horizontal="center" vertical="center"/>
    </xf>
    <xf numFmtId="0" fontId="13" fillId="0" borderId="58" xfId="0" quotePrefix="1" applyFont="1" applyFill="1" applyBorder="1" applyAlignment="1">
      <alignment horizontal="center" vertical="center"/>
    </xf>
    <xf numFmtId="0" fontId="13" fillId="0" borderId="6" xfId="0" quotePrefix="1" applyFont="1" applyFill="1" applyBorder="1" applyAlignment="1">
      <alignment horizontal="center" vertical="center"/>
    </xf>
    <xf numFmtId="0" fontId="13" fillId="14" borderId="31" xfId="0" quotePrefix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3" fillId="0" borderId="9" xfId="0" quotePrefix="1" applyFont="1" applyFill="1" applyBorder="1" applyAlignment="1">
      <alignment horizontal="center" vertical="center"/>
    </xf>
    <xf numFmtId="0" fontId="13" fillId="15" borderId="35" xfId="2" applyFont="1" applyFill="1" applyBorder="1" applyAlignment="1">
      <alignment horizontal="center" vertical="center" wrapText="1"/>
    </xf>
    <xf numFmtId="0" fontId="13" fillId="15" borderId="31" xfId="2" applyFont="1" applyFill="1" applyBorder="1" applyAlignment="1">
      <alignment horizontal="center" vertical="center" wrapText="1"/>
    </xf>
    <xf numFmtId="0" fontId="13" fillId="15" borderId="32" xfId="2" applyFont="1" applyFill="1" applyBorder="1" applyAlignment="1">
      <alignment horizontal="center" vertical="center" wrapText="1"/>
    </xf>
    <xf numFmtId="0" fontId="13" fillId="15" borderId="30" xfId="2" applyFont="1" applyFill="1" applyBorder="1" applyAlignment="1">
      <alignment horizontal="center" vertical="center" wrapText="1"/>
    </xf>
    <xf numFmtId="0" fontId="13" fillId="15" borderId="33" xfId="2" applyFont="1" applyFill="1" applyBorder="1" applyAlignment="1">
      <alignment horizontal="center" vertical="center" wrapText="1"/>
    </xf>
    <xf numFmtId="0" fontId="13" fillId="15" borderId="35" xfId="0" applyFont="1" applyFill="1" applyBorder="1" applyAlignment="1">
      <alignment horizontal="center" vertical="center"/>
    </xf>
    <xf numFmtId="0" fontId="13" fillId="15" borderId="30" xfId="0" applyFont="1" applyFill="1" applyBorder="1" applyAlignment="1">
      <alignment horizontal="center" vertical="center"/>
    </xf>
    <xf numFmtId="0" fontId="13" fillId="15" borderId="32" xfId="0" applyFont="1" applyFill="1" applyBorder="1" applyAlignment="1">
      <alignment horizontal="center" vertical="center"/>
    </xf>
    <xf numFmtId="0" fontId="13" fillId="15" borderId="33" xfId="2" quotePrefix="1" applyFont="1" applyFill="1" applyBorder="1" applyAlignment="1">
      <alignment horizontal="center" vertical="center" wrapText="1"/>
    </xf>
    <xf numFmtId="0" fontId="13" fillId="15" borderId="31" xfId="2" quotePrefix="1" applyFont="1" applyFill="1" applyBorder="1" applyAlignment="1">
      <alignment horizontal="center" vertical="center" wrapText="1"/>
    </xf>
    <xf numFmtId="0" fontId="13" fillId="15" borderId="30" xfId="2" quotePrefix="1" applyFont="1" applyFill="1" applyBorder="1" applyAlignment="1">
      <alignment horizontal="center" vertical="center" wrapText="1"/>
    </xf>
    <xf numFmtId="0" fontId="13" fillId="15" borderId="35" xfId="2" quotePrefix="1" applyFont="1" applyFill="1" applyBorder="1" applyAlignment="1">
      <alignment horizontal="center" vertical="center" wrapText="1"/>
    </xf>
    <xf numFmtId="0" fontId="13" fillId="15" borderId="32" xfId="2" quotePrefix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9" borderId="1" xfId="2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55" fillId="0" borderId="31" xfId="2" applyFont="1" applyFill="1" applyBorder="1" applyAlignment="1">
      <alignment horizontal="center" vertical="center" wrapText="1"/>
    </xf>
    <xf numFmtId="0" fontId="55" fillId="0" borderId="31" xfId="2" applyFont="1" applyFill="1" applyBorder="1" applyAlignment="1">
      <alignment horizontal="center" vertical="center" shrinkToFit="1"/>
    </xf>
    <xf numFmtId="0" fontId="55" fillId="0" borderId="31" xfId="0" applyFont="1" applyFill="1" applyBorder="1" applyAlignment="1">
      <alignment horizontal="center" vertical="center"/>
    </xf>
    <xf numFmtId="0" fontId="55" fillId="0" borderId="41" xfId="0" applyFont="1" applyFill="1" applyBorder="1" applyAlignment="1">
      <alignment horizontal="center" vertical="center"/>
    </xf>
    <xf numFmtId="0" fontId="56" fillId="0" borderId="0" xfId="0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 shrinkToFit="1"/>
    </xf>
    <xf numFmtId="0" fontId="55" fillId="0" borderId="60" xfId="0" applyFont="1" applyFill="1" applyBorder="1" applyAlignment="1">
      <alignment horizontal="center" vertical="center"/>
    </xf>
    <xf numFmtId="0" fontId="56" fillId="0" borderId="0" xfId="0" applyFont="1" applyFill="1">
      <alignment vertical="center"/>
    </xf>
    <xf numFmtId="0" fontId="48" fillId="0" borderId="32" xfId="0" applyFont="1" applyFill="1" applyBorder="1" applyAlignment="1">
      <alignment horizontal="center" vertical="center" shrinkToFit="1"/>
    </xf>
    <xf numFmtId="0" fontId="48" fillId="0" borderId="32" xfId="0" applyFont="1" applyFill="1" applyBorder="1" applyAlignment="1">
      <alignment horizontal="center" vertical="center"/>
    </xf>
    <xf numFmtId="0" fontId="48" fillId="0" borderId="42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 shrinkToFit="1"/>
    </xf>
    <xf numFmtId="0" fontId="50" fillId="0" borderId="31" xfId="2" applyFont="1" applyFill="1" applyBorder="1" applyAlignment="1">
      <alignment horizontal="center" vertical="center" wrapText="1"/>
    </xf>
    <xf numFmtId="0" fontId="49" fillId="0" borderId="31" xfId="2" applyFont="1" applyFill="1" applyBorder="1" applyAlignment="1">
      <alignment horizontal="center" vertical="center" wrapText="1"/>
    </xf>
    <xf numFmtId="0" fontId="49" fillId="0" borderId="31" xfId="2" applyFont="1" applyFill="1" applyBorder="1" applyAlignment="1">
      <alignment horizontal="center" vertical="center" shrinkToFit="1"/>
    </xf>
    <xf numFmtId="0" fontId="49" fillId="0" borderId="31" xfId="0" applyFont="1" applyFill="1" applyBorder="1" applyAlignment="1">
      <alignment horizontal="center" vertical="center"/>
    </xf>
    <xf numFmtId="0" fontId="13" fillId="4" borderId="31" xfId="2" quotePrefix="1" applyFont="1" applyFill="1" applyBorder="1" applyAlignment="1">
      <alignment horizontal="center" vertical="center" wrapText="1"/>
    </xf>
    <xf numFmtId="0" fontId="13" fillId="4" borderId="31" xfId="0" quotePrefix="1" applyFont="1" applyFill="1" applyBorder="1" applyAlignment="1">
      <alignment horizontal="center" vertical="center"/>
    </xf>
    <xf numFmtId="0" fontId="13" fillId="4" borderId="33" xfId="2" applyFont="1" applyFill="1" applyBorder="1" applyAlignment="1">
      <alignment horizontal="center" vertical="center" wrapText="1"/>
    </xf>
    <xf numFmtId="0" fontId="13" fillId="4" borderId="33" xfId="2" quotePrefix="1" applyFont="1" applyFill="1" applyBorder="1" applyAlignment="1">
      <alignment horizontal="center" vertical="center" wrapText="1"/>
    </xf>
    <xf numFmtId="0" fontId="13" fillId="4" borderId="30" xfId="2" quotePrefix="1" applyFont="1" applyFill="1" applyBorder="1" applyAlignment="1">
      <alignment horizontal="center"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52" fillId="4" borderId="15" xfId="0" applyFont="1" applyFill="1" applyBorder="1" applyAlignment="1">
      <alignment horizontal="center" vertical="center"/>
    </xf>
    <xf numFmtId="0" fontId="52" fillId="4" borderId="28" xfId="0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 vertical="center"/>
    </xf>
    <xf numFmtId="0" fontId="13" fillId="16" borderId="31" xfId="2" applyFont="1" applyFill="1" applyBorder="1" applyAlignment="1">
      <alignment horizontal="center" vertical="center" shrinkToFit="1"/>
    </xf>
    <xf numFmtId="0" fontId="13" fillId="16" borderId="31" xfId="2" applyFont="1" applyFill="1" applyBorder="1" applyAlignment="1">
      <alignment horizontal="center" vertical="center" wrapText="1"/>
    </xf>
    <xf numFmtId="0" fontId="13" fillId="16" borderId="31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13" fillId="16" borderId="30" xfId="0" applyFont="1" applyFill="1" applyBorder="1" applyAlignment="1">
      <alignment horizontal="center" vertical="center"/>
    </xf>
    <xf numFmtId="0" fontId="13" fillId="16" borderId="41" xfId="0" applyFont="1" applyFill="1" applyBorder="1" applyAlignment="1">
      <alignment horizontal="center" vertical="center"/>
    </xf>
    <xf numFmtId="0" fontId="13" fillId="16" borderId="33" xfId="0" applyFont="1" applyFill="1" applyBorder="1" applyAlignment="1">
      <alignment horizontal="center" vertical="center" shrinkToFit="1"/>
    </xf>
    <xf numFmtId="0" fontId="13" fillId="16" borderId="33" xfId="0" applyFont="1" applyFill="1" applyBorder="1" applyAlignment="1">
      <alignment horizontal="center" vertical="center"/>
    </xf>
    <xf numFmtId="0" fontId="13" fillId="16" borderId="44" xfId="0" applyFont="1" applyFill="1" applyBorder="1" applyAlignment="1">
      <alignment horizontal="center" vertical="center"/>
    </xf>
    <xf numFmtId="0" fontId="13" fillId="16" borderId="31" xfId="0" applyFont="1" applyFill="1" applyBorder="1" applyAlignment="1">
      <alignment horizontal="center" vertical="center" shrinkToFit="1"/>
    </xf>
    <xf numFmtId="0" fontId="13" fillId="16" borderId="1" xfId="0" applyFont="1" applyFill="1" applyBorder="1" applyAlignment="1">
      <alignment horizontal="center" vertical="center" shrinkToFit="1"/>
    </xf>
    <xf numFmtId="0" fontId="13" fillId="16" borderId="1" xfId="0" applyFont="1" applyFill="1" applyBorder="1" applyAlignment="1">
      <alignment horizontal="center" vertical="center"/>
    </xf>
    <xf numFmtId="0" fontId="13" fillId="16" borderId="60" xfId="0" applyFont="1" applyFill="1" applyBorder="1" applyAlignment="1">
      <alignment horizontal="center" vertical="center"/>
    </xf>
    <xf numFmtId="0" fontId="48" fillId="4" borderId="30" xfId="0" applyFont="1" applyFill="1" applyBorder="1" applyAlignment="1">
      <alignment horizontal="center" vertical="center"/>
    </xf>
    <xf numFmtId="0" fontId="35" fillId="17" borderId="1" xfId="0" applyFont="1" applyFill="1" applyBorder="1" applyAlignment="1">
      <alignment horizontal="center" vertical="center"/>
    </xf>
    <xf numFmtId="0" fontId="53" fillId="0" borderId="0" xfId="0" applyFont="1" applyFill="1" applyAlignment="1">
      <alignment horizontal="left" vertical="center"/>
    </xf>
    <xf numFmtId="0" fontId="53" fillId="0" borderId="0" xfId="0" applyFont="1" applyFill="1">
      <alignment vertical="center"/>
    </xf>
    <xf numFmtId="0" fontId="0" fillId="0" borderId="1" xfId="0" applyFill="1" applyBorder="1" applyAlignment="1">
      <alignment horizontal="center" vertical="center"/>
    </xf>
    <xf numFmtId="0" fontId="11" fillId="4" borderId="1" xfId="2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/>
    </xf>
    <xf numFmtId="0" fontId="13" fillId="0" borderId="74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 shrinkToFit="1"/>
    </xf>
    <xf numFmtId="0" fontId="13" fillId="0" borderId="75" xfId="0" applyFont="1" applyFill="1" applyBorder="1" applyAlignment="1">
      <alignment horizontal="center" vertical="center"/>
    </xf>
    <xf numFmtId="0" fontId="51" fillId="0" borderId="54" xfId="0" applyFont="1" applyFill="1" applyBorder="1" applyAlignment="1">
      <alignment horizontal="center" vertical="center"/>
    </xf>
    <xf numFmtId="0" fontId="5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shrinkToFit="1"/>
    </xf>
    <xf numFmtId="0" fontId="1" fillId="0" borderId="6" xfId="0" quotePrefix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3" fillId="0" borderId="76" xfId="0" applyFont="1" applyFill="1" applyBorder="1" applyAlignment="1">
      <alignment horizontal="center" vertical="center"/>
    </xf>
    <xf numFmtId="0" fontId="13" fillId="0" borderId="77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78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3" fillId="0" borderId="79" xfId="0" applyFont="1" applyFill="1" applyBorder="1" applyAlignment="1">
      <alignment horizontal="center" vertical="center"/>
    </xf>
    <xf numFmtId="0" fontId="13" fillId="0" borderId="80" xfId="0" applyFont="1" applyFill="1" applyBorder="1" applyAlignment="1">
      <alignment horizontal="center" vertical="center"/>
    </xf>
    <xf numFmtId="0" fontId="13" fillId="0" borderId="81" xfId="0" applyFont="1" applyFill="1" applyBorder="1" applyAlignment="1">
      <alignment horizontal="center" vertical="center"/>
    </xf>
    <xf numFmtId="0" fontId="13" fillId="0" borderId="82" xfId="0" applyFont="1" applyFill="1" applyBorder="1" applyAlignment="1">
      <alignment horizontal="center" vertical="center"/>
    </xf>
    <xf numFmtId="0" fontId="13" fillId="0" borderId="37" xfId="0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3" fillId="9" borderId="60" xfId="0" applyFont="1" applyFill="1" applyBorder="1" applyAlignment="1">
      <alignment horizontal="center" vertical="center"/>
    </xf>
    <xf numFmtId="0" fontId="13" fillId="6" borderId="30" xfId="2" applyFont="1" applyFill="1" applyBorder="1" applyAlignment="1">
      <alignment horizontal="center" vertical="center" wrapText="1"/>
    </xf>
    <xf numFmtId="0" fontId="13" fillId="6" borderId="30" xfId="2" quotePrefix="1" applyFont="1" applyFill="1" applyBorder="1" applyAlignment="1">
      <alignment horizontal="center" vertical="center" wrapText="1"/>
    </xf>
    <xf numFmtId="0" fontId="13" fillId="6" borderId="31" xfId="2" applyFont="1" applyFill="1" applyBorder="1" applyAlignment="1">
      <alignment horizontal="center" vertical="center" wrapText="1"/>
    </xf>
    <xf numFmtId="0" fontId="13" fillId="6" borderId="31" xfId="2" quotePrefix="1" applyFont="1" applyFill="1" applyBorder="1" applyAlignment="1">
      <alignment horizontal="center" vertical="center" wrapText="1"/>
    </xf>
    <xf numFmtId="0" fontId="13" fillId="6" borderId="35" xfId="0" applyFont="1" applyFill="1" applyBorder="1" applyAlignment="1">
      <alignment horizontal="center" vertical="center"/>
    </xf>
    <xf numFmtId="0" fontId="13" fillId="6" borderId="31" xfId="0" applyFont="1" applyFill="1" applyBorder="1" applyAlignment="1">
      <alignment horizontal="center" vertical="center"/>
    </xf>
    <xf numFmtId="0" fontId="13" fillId="6" borderId="30" xfId="2" applyFont="1" applyFill="1" applyBorder="1" applyAlignment="1">
      <alignment horizontal="center" vertical="center" shrinkToFit="1"/>
    </xf>
    <xf numFmtId="0" fontId="13" fillId="6" borderId="30" xfId="1" applyFont="1" applyFill="1" applyBorder="1" applyAlignment="1">
      <alignment horizontal="center" vertical="center"/>
    </xf>
    <xf numFmtId="0" fontId="13" fillId="6" borderId="31" xfId="1" applyFont="1" applyFill="1" applyBorder="1" applyAlignment="1">
      <alignment horizontal="center" vertical="center"/>
    </xf>
    <xf numFmtId="0" fontId="13" fillId="6" borderId="0" xfId="1" applyFont="1" applyFill="1" applyAlignment="1">
      <alignment horizontal="center" vertical="center"/>
    </xf>
    <xf numFmtId="0" fontId="13" fillId="6" borderId="31" xfId="2" applyFont="1" applyFill="1" applyBorder="1" applyAlignment="1">
      <alignment horizontal="center" vertical="center" shrinkToFit="1"/>
    </xf>
    <xf numFmtId="0" fontId="13" fillId="6" borderId="35" xfId="2" applyFont="1" applyFill="1" applyBorder="1" applyAlignment="1">
      <alignment horizontal="center" vertical="center" shrinkToFit="1"/>
    </xf>
    <xf numFmtId="0" fontId="13" fillId="6" borderId="35" xfId="1" applyFont="1" applyFill="1" applyBorder="1" applyAlignment="1">
      <alignment horizontal="center" vertical="center"/>
    </xf>
    <xf numFmtId="0" fontId="13" fillId="0" borderId="31" xfId="1" applyFont="1" applyFill="1" applyBorder="1" applyAlignment="1">
      <alignment horizontal="center" vertical="center"/>
    </xf>
    <xf numFmtId="0" fontId="13" fillId="6" borderId="34" xfId="1" applyFont="1" applyFill="1" applyBorder="1" applyAlignment="1">
      <alignment horizontal="center" vertical="center"/>
    </xf>
    <xf numFmtId="0" fontId="50" fillId="6" borderId="30" xfId="1" applyFont="1" applyFill="1" applyBorder="1" applyAlignment="1">
      <alignment horizontal="center" vertical="center"/>
    </xf>
    <xf numFmtId="0" fontId="50" fillId="6" borderId="31" xfId="1" applyFont="1" applyFill="1" applyBorder="1" applyAlignment="1">
      <alignment horizontal="center" vertical="center"/>
    </xf>
    <xf numFmtId="0" fontId="50" fillId="6" borderId="34" xfId="1" applyFont="1" applyFill="1" applyBorder="1" applyAlignment="1">
      <alignment horizontal="center" vertical="center"/>
    </xf>
    <xf numFmtId="0" fontId="13" fillId="0" borderId="70" xfId="0" applyFont="1" applyFill="1" applyBorder="1" applyAlignment="1">
      <alignment horizontal="center" vertical="center" shrinkToFit="1"/>
    </xf>
    <xf numFmtId="0" fontId="13" fillId="0" borderId="71" xfId="0" applyFont="1" applyFill="1" applyBorder="1" applyAlignment="1">
      <alignment horizontal="center" vertical="center" shrinkToFit="1"/>
    </xf>
    <xf numFmtId="0" fontId="13" fillId="24" borderId="9" xfId="0" applyFont="1" applyFill="1" applyBorder="1" applyAlignment="1">
      <alignment horizontal="center" vertical="center"/>
    </xf>
    <xf numFmtId="0" fontId="13" fillId="24" borderId="57" xfId="0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center" vertical="center" shrinkToFit="1"/>
    </xf>
    <xf numFmtId="0" fontId="13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 shrinkToFit="1"/>
    </xf>
    <xf numFmtId="0" fontId="13" fillId="24" borderId="1" xfId="0" quotePrefix="1" applyFont="1" applyFill="1" applyBorder="1" applyAlignment="1">
      <alignment horizontal="center" vertical="center"/>
    </xf>
    <xf numFmtId="0" fontId="13" fillId="24" borderId="1" xfId="0" quotePrefix="1" applyFont="1" applyFill="1" applyBorder="1" applyAlignment="1">
      <alignment horizontal="center" vertical="center" shrinkToFit="1"/>
    </xf>
    <xf numFmtId="0" fontId="48" fillId="0" borderId="14" xfId="0" applyFont="1" applyFill="1" applyBorder="1" applyAlignment="1">
      <alignment horizontal="center" vertical="center"/>
    </xf>
    <xf numFmtId="0" fontId="52" fillId="0" borderId="54" xfId="0" applyFont="1" applyFill="1" applyBorder="1" applyAlignment="1">
      <alignment horizontal="center" vertical="center"/>
    </xf>
    <xf numFmtId="0" fontId="52" fillId="0" borderId="12" xfId="0" applyFont="1" applyFill="1" applyBorder="1" applyAlignment="1">
      <alignment horizontal="center" vertical="center"/>
    </xf>
    <xf numFmtId="0" fontId="48" fillId="0" borderId="35" xfId="0" applyFont="1" applyFill="1" applyBorder="1" applyAlignment="1">
      <alignment horizontal="center" vertical="center"/>
    </xf>
    <xf numFmtId="0" fontId="48" fillId="9" borderId="35" xfId="0" applyFont="1" applyFill="1" applyBorder="1" applyAlignment="1">
      <alignment horizontal="center" vertical="center"/>
    </xf>
    <xf numFmtId="0" fontId="48" fillId="9" borderId="35" xfId="0" applyFont="1" applyFill="1" applyBorder="1" applyAlignment="1">
      <alignment horizontal="center" vertical="center" shrinkToFit="1"/>
    </xf>
    <xf numFmtId="0" fontId="48" fillId="9" borderId="45" xfId="0" applyFont="1" applyFill="1" applyBorder="1" applyAlignment="1">
      <alignment horizontal="center" vertical="center"/>
    </xf>
    <xf numFmtId="0" fontId="48" fillId="0" borderId="31" xfId="0" applyFont="1" applyFill="1" applyBorder="1" applyAlignment="1">
      <alignment horizontal="center" vertical="center" shrinkToFit="1"/>
    </xf>
    <xf numFmtId="0" fontId="48" fillId="14" borderId="31" xfId="0" applyFont="1" applyFill="1" applyBorder="1" applyAlignment="1">
      <alignment horizontal="center" vertical="center"/>
    </xf>
    <xf numFmtId="0" fontId="48" fillId="14" borderId="31" xfId="0" applyFont="1" applyFill="1" applyBorder="1" applyAlignment="1">
      <alignment horizontal="center" vertical="center" shrinkToFit="1"/>
    </xf>
    <xf numFmtId="0" fontId="48" fillId="14" borderId="41" xfId="0" applyFont="1" applyFill="1" applyBorder="1" applyAlignment="1">
      <alignment horizontal="center" vertical="center"/>
    </xf>
    <xf numFmtId="0" fontId="48" fillId="9" borderId="14" xfId="0" applyFont="1" applyFill="1" applyBorder="1" applyAlignment="1">
      <alignment horizontal="center" vertical="center"/>
    </xf>
    <xf numFmtId="0" fontId="48" fillId="9" borderId="11" xfId="0" applyFont="1" applyFill="1" applyBorder="1" applyAlignment="1">
      <alignment horizontal="center" vertical="center"/>
    </xf>
    <xf numFmtId="0" fontId="48" fillId="9" borderId="31" xfId="0" applyFont="1" applyFill="1" applyBorder="1" applyAlignment="1">
      <alignment horizontal="center" vertical="center" shrinkToFit="1"/>
    </xf>
    <xf numFmtId="0" fontId="48" fillId="9" borderId="41" xfId="0" applyFont="1" applyFill="1" applyBorder="1" applyAlignment="1">
      <alignment horizontal="center" vertical="center"/>
    </xf>
    <xf numFmtId="0" fontId="48" fillId="15" borderId="31" xfId="0" applyFont="1" applyFill="1" applyBorder="1" applyAlignment="1">
      <alignment horizontal="center" vertical="center" shrinkToFit="1"/>
    </xf>
    <xf numFmtId="0" fontId="48" fillId="15" borderId="31" xfId="0" applyFont="1" applyFill="1" applyBorder="1" applyAlignment="1">
      <alignment horizontal="center" vertical="center"/>
    </xf>
    <xf numFmtId="0" fontId="48" fillId="15" borderId="41" xfId="0" applyFont="1" applyFill="1" applyBorder="1" applyAlignment="1">
      <alignment horizontal="center" vertical="center"/>
    </xf>
    <xf numFmtId="0" fontId="48" fillId="0" borderId="11" xfId="0" applyFont="1" applyFill="1" applyBorder="1" applyAlignment="1">
      <alignment horizontal="center" vertical="center"/>
    </xf>
    <xf numFmtId="0" fontId="48" fillId="9" borderId="41" xfId="0" applyFont="1" applyFill="1" applyBorder="1" applyAlignment="1">
      <alignment horizontal="center" vertical="center" shrinkToFit="1"/>
    </xf>
    <xf numFmtId="0" fontId="48" fillId="0" borderId="53" xfId="0" applyFont="1" applyFill="1" applyBorder="1" applyAlignment="1">
      <alignment horizontal="center" vertical="center"/>
    </xf>
    <xf numFmtId="0" fontId="48" fillId="0" borderId="29" xfId="0" applyFont="1" applyFill="1" applyBorder="1" applyAlignment="1">
      <alignment horizontal="center" vertical="center"/>
    </xf>
    <xf numFmtId="0" fontId="48" fillId="0" borderId="33" xfId="0" applyFont="1" applyFill="1" applyBorder="1" applyAlignment="1">
      <alignment horizontal="center" vertical="center" shrinkToFit="1"/>
    </xf>
    <xf numFmtId="0" fontId="48" fillId="0" borderId="44" xfId="0" applyFont="1" applyFill="1" applyBorder="1" applyAlignment="1">
      <alignment horizontal="center" vertical="center"/>
    </xf>
    <xf numFmtId="0" fontId="13" fillId="0" borderId="57" xfId="0" applyFont="1" applyFill="1" applyBorder="1" applyAlignment="1">
      <alignment horizontal="center" vertical="center"/>
    </xf>
    <xf numFmtId="0" fontId="52" fillId="0" borderId="14" xfId="0" applyFont="1" applyFill="1" applyBorder="1" applyAlignment="1">
      <alignment horizontal="center" vertical="center"/>
    </xf>
    <xf numFmtId="0" fontId="52" fillId="0" borderId="1" xfId="0" applyFont="1" applyFill="1" applyBorder="1" applyAlignment="1">
      <alignment horizontal="center" vertical="center"/>
    </xf>
    <xf numFmtId="0" fontId="48" fillId="0" borderId="31" xfId="0" applyFont="1" applyFill="1" applyBorder="1" applyAlignment="1">
      <alignment horizontal="center" vertical="center"/>
    </xf>
    <xf numFmtId="0" fontId="48" fillId="0" borderId="33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8" borderId="85" xfId="0" applyFont="1" applyFill="1" applyBorder="1" applyAlignment="1">
      <alignment horizontal="center" vertical="center"/>
    </xf>
    <xf numFmtId="0" fontId="26" fillId="8" borderId="21" xfId="0" applyFont="1" applyFill="1" applyBorder="1" applyAlignment="1">
      <alignment horizontal="center" vertical="center"/>
    </xf>
    <xf numFmtId="0" fontId="26" fillId="8" borderId="86" xfId="0" applyFont="1" applyFill="1" applyBorder="1" applyAlignment="1">
      <alignment horizontal="center" vertical="center"/>
    </xf>
    <xf numFmtId="0" fontId="26" fillId="8" borderId="20" xfId="0" applyFont="1" applyFill="1" applyBorder="1" applyAlignment="1">
      <alignment horizontal="center" vertical="center"/>
    </xf>
    <xf numFmtId="0" fontId="26" fillId="8" borderId="87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8" borderId="88" xfId="0" applyFont="1" applyFill="1" applyBorder="1" applyAlignment="1">
      <alignment horizontal="center" vertical="center"/>
    </xf>
    <xf numFmtId="0" fontId="26" fillId="8" borderId="89" xfId="0" applyFont="1" applyFill="1" applyBorder="1" applyAlignment="1">
      <alignment horizontal="center" vertical="center"/>
    </xf>
    <xf numFmtId="0" fontId="26" fillId="8" borderId="90" xfId="0" applyFont="1" applyFill="1" applyBorder="1" applyAlignment="1">
      <alignment horizontal="center" vertical="center"/>
    </xf>
    <xf numFmtId="0" fontId="32" fillId="0" borderId="91" xfId="0" applyFont="1" applyFill="1" applyBorder="1" applyAlignment="1">
      <alignment horizontal="center" vertical="center" shrinkToFit="1"/>
    </xf>
    <xf numFmtId="0" fontId="32" fillId="0" borderId="92" xfId="0" applyFont="1" applyFill="1" applyBorder="1" applyAlignment="1">
      <alignment horizontal="center" vertical="center" shrinkToFit="1"/>
    </xf>
    <xf numFmtId="0" fontId="32" fillId="0" borderId="93" xfId="0" applyFont="1" applyFill="1" applyBorder="1" applyAlignment="1">
      <alignment horizontal="center" vertical="center" shrinkToFit="1"/>
    </xf>
    <xf numFmtId="0" fontId="13" fillId="18" borderId="20" xfId="0" applyFont="1" applyFill="1" applyBorder="1" applyAlignment="1">
      <alignment horizontal="center" vertical="center"/>
    </xf>
    <xf numFmtId="0" fontId="13" fillId="18" borderId="36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32" fillId="0" borderId="91" xfId="0" applyFont="1" applyFill="1" applyBorder="1" applyAlignment="1">
      <alignment horizontal="center" vertical="center"/>
    </xf>
    <xf numFmtId="0" fontId="32" fillId="0" borderId="92" xfId="0" applyFont="1" applyFill="1" applyBorder="1" applyAlignment="1">
      <alignment horizontal="center" vertical="center"/>
    </xf>
    <xf numFmtId="0" fontId="32" fillId="0" borderId="93" xfId="0" applyFont="1" applyFill="1" applyBorder="1" applyAlignment="1">
      <alignment horizontal="center" vertical="center"/>
    </xf>
    <xf numFmtId="0" fontId="49" fillId="0" borderId="94" xfId="0" applyFont="1" applyFill="1" applyBorder="1" applyAlignment="1">
      <alignment horizontal="center" vertical="center"/>
    </xf>
    <xf numFmtId="0" fontId="49" fillId="0" borderId="71" xfId="0" applyFont="1" applyFill="1" applyBorder="1" applyAlignment="1">
      <alignment horizontal="center" vertical="center"/>
    </xf>
    <xf numFmtId="0" fontId="32" fillId="0" borderId="91" xfId="0" applyFont="1" applyFill="1" applyBorder="1" applyAlignment="1">
      <alignment horizontal="center" vertical="center" wrapText="1" shrinkToFit="1"/>
    </xf>
    <xf numFmtId="0" fontId="32" fillId="0" borderId="92" xfId="0" applyFont="1" applyFill="1" applyBorder="1" applyAlignment="1">
      <alignment horizontal="center" vertical="center" wrapText="1" shrinkToFit="1"/>
    </xf>
    <xf numFmtId="0" fontId="32" fillId="0" borderId="93" xfId="0" applyFont="1" applyFill="1" applyBorder="1" applyAlignment="1">
      <alignment horizontal="center" vertical="center" wrapText="1" shrinkToFit="1"/>
    </xf>
    <xf numFmtId="0" fontId="13" fillId="0" borderId="20" xfId="2" applyFont="1" applyFill="1" applyBorder="1" applyAlignment="1">
      <alignment horizontal="center" vertical="center" wrapText="1"/>
    </xf>
    <xf numFmtId="0" fontId="33" fillId="0" borderId="0" xfId="0" applyFont="1" applyFill="1" applyAlignment="1">
      <alignment horizontal="center" vertical="center"/>
    </xf>
    <xf numFmtId="0" fontId="19" fillId="0" borderId="94" xfId="0" applyFont="1" applyFill="1" applyBorder="1" applyAlignment="1">
      <alignment horizontal="center" vertical="center"/>
    </xf>
    <xf numFmtId="0" fontId="19" fillId="0" borderId="71" xfId="0" applyFont="1" applyFill="1" applyBorder="1" applyAlignment="1">
      <alignment horizontal="center" vertical="center"/>
    </xf>
    <xf numFmtId="0" fontId="13" fillId="12" borderId="20" xfId="2" applyFont="1" applyFill="1" applyBorder="1" applyAlignment="1">
      <alignment horizontal="center" vertical="center" wrapText="1"/>
    </xf>
    <xf numFmtId="0" fontId="13" fillId="4" borderId="36" xfId="2" applyFont="1" applyFill="1" applyBorder="1" applyAlignment="1">
      <alignment horizontal="center" vertical="center" wrapText="1"/>
    </xf>
    <xf numFmtId="0" fontId="13" fillId="4" borderId="34" xfId="2" applyFont="1" applyFill="1" applyBorder="1" applyAlignment="1">
      <alignment horizontal="center" vertical="center" wrapText="1"/>
    </xf>
    <xf numFmtId="0" fontId="13" fillId="4" borderId="37" xfId="2" applyFont="1" applyFill="1" applyBorder="1" applyAlignment="1">
      <alignment horizontal="center" vertical="center" wrapText="1"/>
    </xf>
    <xf numFmtId="0" fontId="39" fillId="0" borderId="0" xfId="0" applyFont="1" applyFill="1" applyAlignment="1">
      <alignment horizontal="center" vertical="center"/>
    </xf>
    <xf numFmtId="0" fontId="28" fillId="0" borderId="3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15" borderId="20" xfId="2" applyFont="1" applyFill="1" applyBorder="1" applyAlignment="1">
      <alignment horizontal="center" vertical="center" wrapText="1"/>
    </xf>
    <xf numFmtId="0" fontId="13" fillId="19" borderId="37" xfId="2" applyFont="1" applyFill="1" applyBorder="1" applyAlignment="1">
      <alignment horizontal="center" vertical="center" wrapText="1"/>
    </xf>
    <xf numFmtId="0" fontId="13" fillId="19" borderId="20" xfId="2" applyFont="1" applyFill="1" applyBorder="1" applyAlignment="1">
      <alignment horizontal="center" vertical="center" wrapText="1"/>
    </xf>
    <xf numFmtId="0" fontId="13" fillId="6" borderId="20" xfId="2" applyFont="1" applyFill="1" applyBorder="1" applyAlignment="1">
      <alignment horizontal="center" vertical="center" wrapText="1"/>
    </xf>
    <xf numFmtId="0" fontId="13" fillId="20" borderId="20" xfId="2" applyFont="1" applyFill="1" applyBorder="1" applyAlignment="1">
      <alignment horizontal="center" vertical="center" wrapText="1"/>
    </xf>
    <xf numFmtId="0" fontId="13" fillId="21" borderId="20" xfId="2" applyFont="1" applyFill="1" applyBorder="1" applyAlignment="1">
      <alignment horizontal="center" vertical="center" wrapText="1"/>
    </xf>
    <xf numFmtId="0" fontId="13" fillId="10" borderId="20" xfId="2" applyFont="1" applyFill="1" applyBorder="1" applyAlignment="1">
      <alignment horizontal="center" vertical="center" wrapText="1"/>
    </xf>
    <xf numFmtId="0" fontId="49" fillId="0" borderId="95" xfId="0" applyFont="1" applyFill="1" applyBorder="1" applyAlignment="1">
      <alignment horizontal="center" vertical="center" wrapText="1"/>
    </xf>
    <xf numFmtId="0" fontId="49" fillId="0" borderId="42" xfId="0" applyFont="1" applyFill="1" applyBorder="1" applyAlignment="1">
      <alignment horizontal="center" vertical="center" wrapText="1"/>
    </xf>
    <xf numFmtId="0" fontId="49" fillId="0" borderId="96" xfId="0" applyFont="1" applyFill="1" applyBorder="1" applyAlignment="1">
      <alignment horizontal="center" vertical="center" wrapText="1"/>
    </xf>
    <xf numFmtId="0" fontId="49" fillId="0" borderId="45" xfId="0" applyFont="1" applyFill="1" applyBorder="1" applyAlignment="1">
      <alignment horizontal="center" vertical="center" wrapText="1"/>
    </xf>
    <xf numFmtId="0" fontId="13" fillId="2" borderId="37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18" borderId="97" xfId="0" applyFont="1" applyFill="1" applyBorder="1" applyAlignment="1">
      <alignment horizontal="center" vertical="center"/>
    </xf>
    <xf numFmtId="0" fontId="13" fillId="18" borderId="98" xfId="0" applyFont="1" applyFill="1" applyBorder="1" applyAlignment="1">
      <alignment horizontal="center" vertical="center"/>
    </xf>
    <xf numFmtId="0" fontId="13" fillId="18" borderId="34" xfId="0" applyFont="1" applyFill="1" applyBorder="1" applyAlignment="1">
      <alignment horizontal="center" vertical="center"/>
    </xf>
    <xf numFmtId="0" fontId="13" fillId="18" borderId="37" xfId="0" applyFont="1" applyFill="1" applyBorder="1" applyAlignment="1">
      <alignment horizontal="center" vertical="center"/>
    </xf>
    <xf numFmtId="0" fontId="13" fillId="12" borderId="97" xfId="0" applyFont="1" applyFill="1" applyBorder="1" applyAlignment="1">
      <alignment horizontal="center" vertical="center"/>
    </xf>
    <xf numFmtId="0" fontId="13" fillId="12" borderId="98" xfId="0" applyFont="1" applyFill="1" applyBorder="1" applyAlignment="1">
      <alignment horizontal="center" vertical="center"/>
    </xf>
    <xf numFmtId="0" fontId="13" fillId="12" borderId="99" xfId="0" applyFont="1" applyFill="1" applyBorder="1" applyAlignment="1">
      <alignment horizontal="center" vertical="center"/>
    </xf>
    <xf numFmtId="0" fontId="13" fillId="12" borderId="34" xfId="0" applyFont="1" applyFill="1" applyBorder="1" applyAlignment="1">
      <alignment horizontal="center" vertical="center"/>
    </xf>
    <xf numFmtId="0" fontId="13" fillId="12" borderId="37" xfId="0" applyFont="1" applyFill="1" applyBorder="1" applyAlignment="1">
      <alignment horizontal="center" vertical="center"/>
    </xf>
    <xf numFmtId="0" fontId="13" fillId="12" borderId="36" xfId="0" applyFont="1" applyFill="1" applyBorder="1" applyAlignment="1">
      <alignment horizontal="center" vertical="center"/>
    </xf>
    <xf numFmtId="0" fontId="13" fillId="18" borderId="0" xfId="0" applyFont="1" applyFill="1" applyBorder="1" applyAlignment="1">
      <alignment horizontal="center" vertical="center"/>
    </xf>
    <xf numFmtId="0" fontId="13" fillId="12" borderId="79" xfId="0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center" vertical="center"/>
    </xf>
    <xf numFmtId="0" fontId="13" fillId="12" borderId="82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3" fillId="0" borderId="30" xfId="2" applyFont="1" applyFill="1" applyBorder="1" applyAlignment="1">
      <alignment horizontal="center" vertical="center" wrapText="1"/>
    </xf>
    <xf numFmtId="0" fontId="13" fillId="0" borderId="31" xfId="2" applyFont="1" applyFill="1" applyBorder="1" applyAlignment="1">
      <alignment horizontal="center" vertical="center" wrapText="1"/>
    </xf>
    <xf numFmtId="0" fontId="13" fillId="0" borderId="33" xfId="2" applyFont="1" applyFill="1" applyBorder="1" applyAlignment="1">
      <alignment horizontal="center" vertical="center" wrapText="1"/>
    </xf>
    <xf numFmtId="0" fontId="13" fillId="0" borderId="35" xfId="2" applyFont="1" applyFill="1" applyBorder="1" applyAlignment="1">
      <alignment horizontal="center" vertical="center" wrapText="1"/>
    </xf>
    <xf numFmtId="0" fontId="13" fillId="0" borderId="32" xfId="2" applyFont="1" applyFill="1" applyBorder="1" applyAlignment="1">
      <alignment horizontal="center" vertical="center" wrapText="1"/>
    </xf>
    <xf numFmtId="0" fontId="13" fillId="15" borderId="35" xfId="2" applyFont="1" applyFill="1" applyBorder="1" applyAlignment="1">
      <alignment horizontal="center" vertical="center" wrapText="1"/>
    </xf>
    <xf numFmtId="0" fontId="13" fillId="15" borderId="31" xfId="2" applyFont="1" applyFill="1" applyBorder="1" applyAlignment="1">
      <alignment horizontal="center" vertical="center" wrapText="1"/>
    </xf>
    <xf numFmtId="0" fontId="13" fillId="15" borderId="32" xfId="2" applyFont="1" applyFill="1" applyBorder="1" applyAlignment="1">
      <alignment horizontal="center" vertical="center" wrapText="1"/>
    </xf>
    <xf numFmtId="0" fontId="13" fillId="21" borderId="30" xfId="2" applyFont="1" applyFill="1" applyBorder="1" applyAlignment="1">
      <alignment horizontal="center" vertical="center" wrapText="1"/>
    </xf>
    <xf numFmtId="0" fontId="13" fillId="21" borderId="31" xfId="2" applyFont="1" applyFill="1" applyBorder="1" applyAlignment="1">
      <alignment horizontal="center" vertical="center" wrapText="1"/>
    </xf>
    <xf numFmtId="0" fontId="13" fillId="21" borderId="33" xfId="2" applyFont="1" applyFill="1" applyBorder="1" applyAlignment="1">
      <alignment horizontal="center" vertical="center" wrapText="1"/>
    </xf>
    <xf numFmtId="0" fontId="13" fillId="12" borderId="30" xfId="2" applyFont="1" applyFill="1" applyBorder="1" applyAlignment="1">
      <alignment horizontal="center" vertical="center" wrapText="1"/>
    </xf>
    <xf numFmtId="0" fontId="13" fillId="12" borderId="31" xfId="2" applyFont="1" applyFill="1" applyBorder="1" applyAlignment="1">
      <alignment horizontal="center" vertical="center" wrapText="1"/>
    </xf>
    <xf numFmtId="0" fontId="13" fillId="12" borderId="33" xfId="2" applyFont="1" applyFill="1" applyBorder="1" applyAlignment="1">
      <alignment horizontal="center" vertical="center" wrapText="1"/>
    </xf>
    <xf numFmtId="0" fontId="13" fillId="12" borderId="35" xfId="2" applyFont="1" applyFill="1" applyBorder="1" applyAlignment="1">
      <alignment horizontal="center" vertical="center" wrapText="1"/>
    </xf>
    <xf numFmtId="0" fontId="13" fillId="12" borderId="32" xfId="2" applyFont="1" applyFill="1" applyBorder="1" applyAlignment="1">
      <alignment horizontal="center" vertical="center" wrapText="1"/>
    </xf>
    <xf numFmtId="0" fontId="13" fillId="12" borderId="37" xfId="2" applyFont="1" applyFill="1" applyBorder="1" applyAlignment="1">
      <alignment horizontal="center" vertical="center" wrapText="1"/>
    </xf>
    <xf numFmtId="0" fontId="13" fillId="12" borderId="36" xfId="2" applyFont="1" applyFill="1" applyBorder="1" applyAlignment="1">
      <alignment horizontal="center" vertical="center" wrapText="1"/>
    </xf>
    <xf numFmtId="0" fontId="13" fillId="21" borderId="35" xfId="2" applyFont="1" applyFill="1" applyBorder="1" applyAlignment="1">
      <alignment horizontal="center" vertical="center" wrapText="1"/>
    </xf>
    <xf numFmtId="0" fontId="13" fillId="21" borderId="32" xfId="2" applyFont="1" applyFill="1" applyBorder="1" applyAlignment="1">
      <alignment horizontal="center" vertical="center" wrapText="1"/>
    </xf>
    <xf numFmtId="0" fontId="49" fillId="0" borderId="100" xfId="0" applyFont="1" applyFill="1" applyBorder="1" applyAlignment="1">
      <alignment horizontal="center" vertical="center"/>
    </xf>
    <xf numFmtId="0" fontId="13" fillId="15" borderId="37" xfId="2" applyFont="1" applyFill="1" applyBorder="1" applyAlignment="1">
      <alignment horizontal="center" vertical="center" wrapText="1"/>
    </xf>
    <xf numFmtId="0" fontId="13" fillId="15" borderId="36" xfId="2" applyFont="1" applyFill="1" applyBorder="1" applyAlignment="1">
      <alignment horizontal="center" vertical="center" wrapText="1"/>
    </xf>
    <xf numFmtId="0" fontId="13" fillId="19" borderId="36" xfId="2" applyFont="1" applyFill="1" applyBorder="1" applyAlignment="1">
      <alignment horizontal="center" vertical="center" wrapText="1"/>
    </xf>
    <xf numFmtId="0" fontId="13" fillId="18" borderId="79" xfId="0" applyFont="1" applyFill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/>
    </xf>
    <xf numFmtId="0" fontId="13" fillId="15" borderId="30" xfId="2" applyFont="1" applyFill="1" applyBorder="1" applyAlignment="1">
      <alignment horizontal="center" vertical="center" wrapText="1"/>
    </xf>
    <xf numFmtId="0" fontId="13" fillId="15" borderId="33" xfId="2" applyFont="1" applyFill="1" applyBorder="1" applyAlignment="1">
      <alignment horizontal="center" vertical="center" wrapText="1"/>
    </xf>
    <xf numFmtId="0" fontId="13" fillId="18" borderId="34" xfId="0" quotePrefix="1" applyFont="1" applyFill="1" applyBorder="1" applyAlignment="1">
      <alignment horizontal="center" vertical="center"/>
    </xf>
    <xf numFmtId="0" fontId="14" fillId="22" borderId="36" xfId="2" applyFont="1" applyFill="1" applyBorder="1" applyAlignment="1">
      <alignment horizontal="center" vertical="center" wrapText="1"/>
    </xf>
    <xf numFmtId="0" fontId="14" fillId="22" borderId="34" xfId="2" applyFont="1" applyFill="1" applyBorder="1" applyAlignment="1">
      <alignment horizontal="center" vertical="center" wrapText="1"/>
    </xf>
    <xf numFmtId="0" fontId="14" fillId="22" borderId="37" xfId="2" applyFont="1" applyFill="1" applyBorder="1" applyAlignment="1">
      <alignment horizontal="center" vertical="center" wrapText="1"/>
    </xf>
    <xf numFmtId="0" fontId="34" fillId="0" borderId="94" xfId="0" applyFont="1" applyFill="1" applyBorder="1" applyAlignment="1">
      <alignment horizontal="center" vertical="center"/>
    </xf>
    <xf numFmtId="0" fontId="34" fillId="0" borderId="41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horizontal="center" vertical="center"/>
    </xf>
    <xf numFmtId="0" fontId="13" fillId="0" borderId="36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13" fillId="0" borderId="37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49" fillId="0" borderId="41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3" fillId="23" borderId="36" xfId="0" applyFont="1" applyFill="1" applyBorder="1" applyAlignment="1">
      <alignment horizontal="center" vertical="center"/>
    </xf>
    <xf numFmtId="0" fontId="13" fillId="23" borderId="34" xfId="0" applyFont="1" applyFill="1" applyBorder="1" applyAlignment="1">
      <alignment horizontal="center" vertical="center"/>
    </xf>
    <xf numFmtId="0" fontId="13" fillId="23" borderId="37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3" fillId="23" borderId="76" xfId="0" applyFont="1" applyFill="1" applyBorder="1" applyAlignment="1">
      <alignment horizontal="center" vertical="center"/>
    </xf>
    <xf numFmtId="0" fontId="13" fillId="23" borderId="56" xfId="0" applyFont="1" applyFill="1" applyBorder="1" applyAlignment="1">
      <alignment horizontal="center" vertical="center"/>
    </xf>
    <xf numFmtId="0" fontId="13" fillId="23" borderId="81" xfId="0" applyFont="1" applyFill="1" applyBorder="1" applyAlignment="1">
      <alignment horizontal="center" vertical="center"/>
    </xf>
    <xf numFmtId="0" fontId="13" fillId="23" borderId="3" xfId="0" applyFont="1" applyFill="1" applyBorder="1" applyAlignment="1">
      <alignment horizontal="center" vertical="center"/>
    </xf>
    <xf numFmtId="0" fontId="13" fillId="23" borderId="101" xfId="0" applyFont="1" applyFill="1" applyBorder="1" applyAlignment="1">
      <alignment horizontal="center" vertical="center"/>
    </xf>
    <xf numFmtId="0" fontId="13" fillId="23" borderId="102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3" fillId="9" borderId="34" xfId="0" applyFont="1" applyFill="1" applyBorder="1" applyAlignment="1">
      <alignment horizontal="center" vertical="center"/>
    </xf>
    <xf numFmtId="0" fontId="13" fillId="9" borderId="36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3" fillId="0" borderId="1" xfId="2" applyFont="1" applyFill="1" applyBorder="1" applyAlignment="1">
      <alignment horizontal="center" vertical="center" wrapText="1"/>
    </xf>
    <xf numFmtId="0" fontId="13" fillId="0" borderId="59" xfId="2" applyFont="1" applyFill="1" applyBorder="1" applyAlignment="1">
      <alignment horizontal="center" vertical="center" wrapText="1"/>
    </xf>
    <xf numFmtId="0" fontId="13" fillId="0" borderId="101" xfId="2" applyFont="1" applyFill="1" applyBorder="1" applyAlignment="1">
      <alignment horizontal="center" vertical="center" wrapText="1"/>
    </xf>
    <xf numFmtId="0" fontId="13" fillId="0" borderId="6" xfId="2" applyFont="1" applyFill="1" applyBorder="1" applyAlignment="1">
      <alignment horizontal="center" vertical="center" wrapText="1"/>
    </xf>
    <xf numFmtId="0" fontId="13" fillId="15" borderId="1" xfId="2" applyFont="1" applyFill="1" applyBorder="1" applyAlignment="1">
      <alignment horizontal="center" vertical="center" wrapText="1"/>
    </xf>
    <xf numFmtId="0" fontId="51" fillId="0" borderId="14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52" fillId="0" borderId="14" xfId="0" applyFont="1" applyFill="1" applyBorder="1" applyAlignment="1">
      <alignment horizontal="center" vertical="center"/>
    </xf>
    <xf numFmtId="0" fontId="52" fillId="0" borderId="1" xfId="0" applyFont="1" applyFill="1" applyBorder="1" applyAlignment="1">
      <alignment horizontal="center" vertical="center"/>
    </xf>
    <xf numFmtId="0" fontId="19" fillId="0" borderId="100" xfId="0" applyFont="1" applyFill="1" applyBorder="1" applyAlignment="1">
      <alignment horizontal="center" vertical="center"/>
    </xf>
    <xf numFmtId="0" fontId="19" fillId="0" borderId="57" xfId="0" applyFont="1" applyFill="1" applyBorder="1" applyAlignment="1">
      <alignment horizontal="center" vertical="center"/>
    </xf>
    <xf numFmtId="0" fontId="13" fillId="0" borderId="100" xfId="0" applyFont="1" applyFill="1" applyBorder="1" applyAlignment="1">
      <alignment horizontal="center" vertical="center"/>
    </xf>
    <xf numFmtId="0" fontId="13" fillId="0" borderId="57" xfId="0" applyFont="1" applyFill="1" applyBorder="1" applyAlignment="1">
      <alignment horizontal="center" vertical="center"/>
    </xf>
    <xf numFmtId="0" fontId="38" fillId="0" borderId="103" xfId="0" applyFont="1" applyFill="1" applyBorder="1" applyAlignment="1">
      <alignment horizontal="center" vertical="center"/>
    </xf>
    <xf numFmtId="0" fontId="36" fillId="0" borderId="103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13" fillId="12" borderId="31" xfId="0" applyFont="1" applyFill="1" applyBorder="1" applyAlignment="1">
      <alignment horizontal="center" vertical="center"/>
    </xf>
    <xf numFmtId="0" fontId="13" fillId="12" borderId="33" xfId="0" applyFont="1" applyFill="1" applyBorder="1" applyAlignment="1">
      <alignment horizontal="center" vertical="center"/>
    </xf>
    <xf numFmtId="0" fontId="28" fillId="0" borderId="47" xfId="0" applyFont="1" applyFill="1" applyBorder="1" applyAlignment="1">
      <alignment horizontal="center" vertical="center"/>
    </xf>
    <xf numFmtId="0" fontId="51" fillId="0" borderId="11" xfId="0" applyFont="1" applyFill="1" applyBorder="1" applyAlignment="1">
      <alignment horizontal="center" vertical="center"/>
    </xf>
    <xf numFmtId="0" fontId="13" fillId="18" borderId="35" xfId="0" applyFont="1" applyFill="1" applyBorder="1" applyAlignment="1">
      <alignment horizontal="center" vertical="center"/>
    </xf>
    <xf numFmtId="0" fontId="13" fillId="18" borderId="31" xfId="0" applyFont="1" applyFill="1" applyBorder="1" applyAlignment="1">
      <alignment horizontal="center" vertical="center"/>
    </xf>
    <xf numFmtId="0" fontId="48" fillId="0" borderId="31" xfId="0" applyFont="1" applyFill="1" applyBorder="1" applyAlignment="1">
      <alignment horizontal="center" vertical="center"/>
    </xf>
    <xf numFmtId="0" fontId="48" fillId="0" borderId="33" xfId="0" applyFont="1" applyFill="1" applyBorder="1" applyAlignment="1">
      <alignment horizontal="center" vertical="center"/>
    </xf>
    <xf numFmtId="0" fontId="48" fillId="2" borderId="35" xfId="0" applyFont="1" applyFill="1" applyBorder="1" applyAlignment="1">
      <alignment horizontal="center" vertical="center"/>
    </xf>
    <xf numFmtId="0" fontId="48" fillId="2" borderId="31" xfId="0" applyFont="1" applyFill="1" applyBorder="1" applyAlignment="1">
      <alignment horizontal="center" vertical="center"/>
    </xf>
    <xf numFmtId="0" fontId="52" fillId="0" borderId="100" xfId="0" applyFont="1" applyFill="1" applyBorder="1" applyAlignment="1">
      <alignment horizontal="center" vertical="center"/>
    </xf>
    <xf numFmtId="0" fontId="52" fillId="0" borderId="7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18" borderId="101" xfId="0" applyFont="1" applyFill="1" applyBorder="1" applyAlignment="1">
      <alignment horizontal="center" vertical="center"/>
    </xf>
    <xf numFmtId="0" fontId="13" fillId="18" borderId="6" xfId="0" applyFont="1" applyFill="1" applyBorder="1" applyAlignment="1">
      <alignment horizontal="center" vertical="center"/>
    </xf>
    <xf numFmtId="0" fontId="13" fillId="12" borderId="16" xfId="2" applyFont="1" applyFill="1" applyBorder="1" applyAlignment="1">
      <alignment horizontal="center" vertical="center" wrapText="1"/>
    </xf>
    <xf numFmtId="0" fontId="37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61" xfId="2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3" fillId="23" borderId="59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/>
    </xf>
    <xf numFmtId="0" fontId="13" fillId="23" borderId="6" xfId="0" applyFont="1" applyFill="1" applyBorder="1" applyAlignment="1">
      <alignment horizontal="center" vertical="center"/>
    </xf>
    <xf numFmtId="0" fontId="13" fillId="18" borderId="59" xfId="0" applyFont="1" applyFill="1" applyBorder="1" applyAlignment="1">
      <alignment horizontal="center" vertical="center"/>
    </xf>
    <xf numFmtId="0" fontId="13" fillId="18" borderId="16" xfId="0" applyFont="1" applyFill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 wrapText="1"/>
    </xf>
    <xf numFmtId="0" fontId="11" fillId="0" borderId="18" xfId="2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1" fillId="9" borderId="1" xfId="2" applyFont="1" applyFill="1" applyBorder="1" applyAlignment="1">
      <alignment horizontal="center" vertical="center" wrapText="1"/>
    </xf>
    <xf numFmtId="0" fontId="1" fillId="9" borderId="18" xfId="2" applyFont="1" applyFill="1" applyBorder="1" applyAlignment="1">
      <alignment horizontal="center" vertical="center" wrapText="1"/>
    </xf>
    <xf numFmtId="0" fontId="1" fillId="0" borderId="1" xfId="2" applyFont="1" applyFill="1" applyBorder="1" applyAlignment="1">
      <alignment horizontal="center" vertical="center" wrapText="1"/>
    </xf>
    <xf numFmtId="0" fontId="11" fillId="9" borderId="1" xfId="2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52" fillId="0" borderId="52" xfId="0" applyFont="1" applyFill="1" applyBorder="1" applyAlignment="1">
      <alignment horizontal="center" vertical="center"/>
    </xf>
    <xf numFmtId="0" fontId="52" fillId="0" borderId="28" xfId="0" applyFont="1" applyFill="1" applyBorder="1" applyAlignment="1">
      <alignment horizontal="center" vertical="center"/>
    </xf>
    <xf numFmtId="0" fontId="48" fillId="12" borderId="35" xfId="2" applyFont="1" applyFill="1" applyBorder="1" applyAlignment="1">
      <alignment horizontal="center" vertical="center" wrapText="1"/>
    </xf>
    <xf numFmtId="0" fontId="48" fillId="15" borderId="35" xfId="2" applyFont="1" applyFill="1" applyBorder="1" applyAlignment="1">
      <alignment horizontal="center" vertical="center" wrapText="1"/>
    </xf>
    <xf numFmtId="0" fontId="48" fillId="0" borderId="45" xfId="0" applyFont="1" applyFill="1" applyBorder="1" applyAlignment="1">
      <alignment horizontal="center" vertical="center"/>
    </xf>
    <xf numFmtId="0" fontId="52" fillId="0" borderId="11" xfId="0" applyFont="1" applyFill="1" applyBorder="1" applyAlignment="1">
      <alignment horizontal="center" vertical="center"/>
    </xf>
    <xf numFmtId="0" fontId="48" fillId="12" borderId="31" xfId="2" applyFont="1" applyFill="1" applyBorder="1" applyAlignment="1">
      <alignment horizontal="center" vertical="center" wrapText="1"/>
    </xf>
    <xf numFmtId="0" fontId="48" fillId="15" borderId="31" xfId="2" applyFont="1" applyFill="1" applyBorder="1" applyAlignment="1">
      <alignment horizontal="center" vertical="center" wrapText="1"/>
    </xf>
    <xf numFmtId="0" fontId="48" fillId="0" borderId="0" xfId="0" applyFont="1" applyFill="1" applyAlignment="1">
      <alignment horizontal="center" vertical="center"/>
    </xf>
    <xf numFmtId="0" fontId="52" fillId="0" borderId="11" xfId="0" applyFont="1" applyFill="1" applyBorder="1" applyAlignment="1">
      <alignment horizontal="center" vertical="center"/>
    </xf>
    <xf numFmtId="0" fontId="48" fillId="0" borderId="30" xfId="0" applyFont="1" applyFill="1" applyBorder="1" applyAlignment="1">
      <alignment horizontal="center" vertical="center"/>
    </xf>
    <xf numFmtId="0" fontId="48" fillId="12" borderId="30" xfId="2" applyFont="1" applyFill="1" applyBorder="1" applyAlignment="1">
      <alignment horizontal="center" vertical="center" wrapText="1"/>
    </xf>
    <xf numFmtId="0" fontId="48" fillId="0" borderId="30" xfId="2" applyFont="1" applyFill="1" applyBorder="1" applyAlignment="1">
      <alignment horizontal="center" vertical="center" wrapText="1"/>
    </xf>
    <xf numFmtId="0" fontId="48" fillId="0" borderId="31" xfId="2" applyFont="1" applyFill="1" applyBorder="1" applyAlignment="1">
      <alignment horizontal="center" vertical="center" wrapText="1"/>
    </xf>
    <xf numFmtId="0" fontId="48" fillId="12" borderId="32" xfId="2" applyFont="1" applyFill="1" applyBorder="1" applyAlignment="1">
      <alignment horizontal="center" vertical="center" wrapText="1"/>
    </xf>
    <xf numFmtId="0" fontId="48" fillId="0" borderId="32" xfId="2" applyFont="1" applyFill="1" applyBorder="1" applyAlignment="1">
      <alignment horizontal="center" vertical="center" wrapText="1"/>
    </xf>
    <xf numFmtId="0" fontId="48" fillId="0" borderId="33" xfId="2" applyFont="1" applyFill="1" applyBorder="1" applyAlignment="1">
      <alignment horizontal="center" vertical="center" wrapText="1"/>
    </xf>
    <xf numFmtId="0" fontId="48" fillId="21" borderId="35" xfId="2" applyFont="1" applyFill="1" applyBorder="1" applyAlignment="1">
      <alignment horizontal="center" vertical="center" wrapText="1"/>
    </xf>
    <xf numFmtId="0" fontId="48" fillId="21" borderId="31" xfId="2" applyFont="1" applyFill="1" applyBorder="1" applyAlignment="1">
      <alignment horizontal="center" vertical="center" wrapText="1"/>
    </xf>
    <xf numFmtId="0" fontId="48" fillId="21" borderId="32" xfId="2" applyFont="1" applyFill="1" applyBorder="1" applyAlignment="1">
      <alignment horizontal="center" vertical="center" wrapText="1"/>
    </xf>
    <xf numFmtId="0" fontId="48" fillId="0" borderId="35" xfId="2" applyFont="1" applyFill="1" applyBorder="1" applyAlignment="1">
      <alignment horizontal="center" vertical="center" wrapText="1"/>
    </xf>
    <xf numFmtId="0" fontId="48" fillId="21" borderId="30" xfId="2" applyFont="1" applyFill="1" applyBorder="1" applyAlignment="1">
      <alignment horizontal="center" vertical="center" wrapText="1"/>
    </xf>
    <xf numFmtId="0" fontId="48" fillId="21" borderId="33" xfId="2" applyFont="1" applyFill="1" applyBorder="1" applyAlignment="1">
      <alignment horizontal="center" vertical="center" wrapText="1"/>
    </xf>
    <xf numFmtId="0" fontId="48" fillId="12" borderId="33" xfId="2" applyFont="1" applyFill="1" applyBorder="1" applyAlignment="1">
      <alignment horizontal="center" vertical="center" wrapText="1"/>
    </xf>
    <xf numFmtId="0" fontId="48" fillId="15" borderId="32" xfId="2" applyFont="1" applyFill="1" applyBorder="1" applyAlignment="1">
      <alignment horizontal="center" vertical="center" wrapText="1"/>
    </xf>
    <xf numFmtId="0" fontId="48" fillId="0" borderId="43" xfId="0" applyFont="1" applyFill="1" applyBorder="1" applyAlignment="1">
      <alignment horizontal="center" vertical="center"/>
    </xf>
    <xf numFmtId="0" fontId="48" fillId="12" borderId="1" xfId="2" applyFont="1" applyFill="1" applyBorder="1" applyAlignment="1">
      <alignment horizontal="center" vertical="center" wrapText="1"/>
    </xf>
    <xf numFmtId="0" fontId="48" fillId="15" borderId="1" xfId="2" applyFont="1" applyFill="1" applyBorder="1" applyAlignment="1">
      <alignment horizontal="center" vertical="center" wrapText="1"/>
    </xf>
    <xf numFmtId="0" fontId="52" fillId="7" borderId="14" xfId="0" applyFont="1" applyFill="1" applyBorder="1" applyAlignment="1">
      <alignment horizontal="center" vertical="center"/>
    </xf>
    <xf numFmtId="0" fontId="52" fillId="7" borderId="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0" fontId="48" fillId="7" borderId="9" xfId="0" applyFont="1" applyFill="1" applyBorder="1" applyAlignment="1">
      <alignment horizontal="center" vertical="center"/>
    </xf>
    <xf numFmtId="0" fontId="48" fillId="7" borderId="50" xfId="0" applyFont="1" applyFill="1" applyBorder="1" applyAlignment="1">
      <alignment horizontal="center" vertical="center"/>
    </xf>
    <xf numFmtId="0" fontId="48" fillId="0" borderId="1" xfId="0" quotePrefix="1" applyFont="1" applyFill="1" applyBorder="1" applyAlignment="1">
      <alignment horizontal="center" vertical="center"/>
    </xf>
    <xf numFmtId="0" fontId="48" fillId="0" borderId="1" xfId="0" quotePrefix="1" applyFont="1" applyFill="1" applyBorder="1" applyAlignment="1">
      <alignment horizontal="center" vertical="center" shrinkToFit="1"/>
    </xf>
    <xf numFmtId="0" fontId="48" fillId="0" borderId="9" xfId="0" quotePrefix="1" applyFont="1" applyFill="1" applyBorder="1" applyAlignment="1">
      <alignment horizontal="center" vertical="center"/>
    </xf>
    <xf numFmtId="0" fontId="48" fillId="0" borderId="50" xfId="0" applyFont="1" applyFill="1" applyBorder="1" applyAlignment="1">
      <alignment horizontal="center" vertical="center"/>
    </xf>
    <xf numFmtId="0" fontId="49" fillId="7" borderId="50" xfId="0" applyFont="1" applyFill="1" applyBorder="1" applyAlignment="1">
      <alignment horizontal="center" vertical="center"/>
    </xf>
    <xf numFmtId="0" fontId="49" fillId="3" borderId="50" xfId="0" applyFont="1" applyFill="1" applyBorder="1" applyAlignment="1">
      <alignment horizontal="center" vertical="center" shrinkToFit="1"/>
    </xf>
    <xf numFmtId="0" fontId="48" fillId="9" borderId="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 vertical="center"/>
    </xf>
    <xf numFmtId="0" fontId="48" fillId="0" borderId="0" xfId="0" quotePrefix="1" applyFont="1" applyFill="1" applyAlignment="1">
      <alignment horizontal="center" vertical="center"/>
    </xf>
    <xf numFmtId="0" fontId="48" fillId="0" borderId="0" xfId="0" quotePrefix="1" applyFont="1" applyFill="1" applyBorder="1">
      <alignment vertical="center"/>
    </xf>
    <xf numFmtId="0" fontId="48" fillId="0" borderId="57" xfId="0" applyFont="1" applyFill="1" applyBorder="1" applyAlignment="1">
      <alignment horizontal="center" vertical="center"/>
    </xf>
    <xf numFmtId="0" fontId="48" fillId="0" borderId="0" xfId="0" applyFont="1" applyFill="1">
      <alignment vertical="center"/>
    </xf>
  </cellXfs>
  <cellStyles count="3">
    <cellStyle name="표준" xfId="0" builtinId="0"/>
    <cellStyle name="표준 2 2" xfId="1"/>
    <cellStyle name="표준_kepco(1)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I12" sqref="I12"/>
    </sheetView>
  </sheetViews>
  <sheetFormatPr defaultRowHeight="16.5" x14ac:dyDescent="0.3"/>
  <cols>
    <col min="1" max="1" width="13" customWidth="1"/>
    <col min="2" max="2" width="11.75" customWidth="1"/>
    <col min="3" max="3" width="12.125" customWidth="1"/>
    <col min="4" max="4" width="11" customWidth="1"/>
    <col min="5" max="5" width="9.875" bestFit="1" customWidth="1"/>
    <col min="6" max="7" width="16.375" bestFit="1" customWidth="1"/>
    <col min="8" max="8" width="30.875" customWidth="1"/>
  </cols>
  <sheetData>
    <row r="1" spans="1:9" ht="32.25" x14ac:dyDescent="0.3">
      <c r="A1" s="592" t="s">
        <v>270</v>
      </c>
      <c r="B1" s="592"/>
      <c r="C1" s="592"/>
      <c r="D1" s="592"/>
      <c r="E1" s="592"/>
      <c r="F1" s="592"/>
      <c r="G1" s="592"/>
      <c r="H1" s="592"/>
      <c r="I1" s="592"/>
    </row>
    <row r="2" spans="1:9" ht="17.25" thickBot="1" x14ac:dyDescent="0.35">
      <c r="A2" s="122"/>
      <c r="B2" s="122"/>
      <c r="C2" s="122"/>
      <c r="D2" s="122"/>
      <c r="E2" s="122"/>
      <c r="F2" s="122"/>
      <c r="G2" s="122"/>
      <c r="H2" s="122"/>
      <c r="I2" s="123"/>
    </row>
    <row r="3" spans="1:9" ht="27" customHeight="1" x14ac:dyDescent="0.3">
      <c r="A3" s="593" t="s">
        <v>260</v>
      </c>
      <c r="B3" s="599" t="s">
        <v>271</v>
      </c>
      <c r="C3" s="601"/>
      <c r="D3" s="601"/>
      <c r="E3" s="600"/>
      <c r="F3" s="599" t="s">
        <v>261</v>
      </c>
      <c r="G3" s="600"/>
      <c r="H3" s="595" t="s">
        <v>262</v>
      </c>
      <c r="I3" s="597" t="s">
        <v>263</v>
      </c>
    </row>
    <row r="4" spans="1:9" ht="26.25" customHeight="1" x14ac:dyDescent="0.3">
      <c r="A4" s="594"/>
      <c r="B4" s="124" t="s">
        <v>52</v>
      </c>
      <c r="C4" s="124" t="s">
        <v>264</v>
      </c>
      <c r="D4" s="124" t="s">
        <v>265</v>
      </c>
      <c r="E4" s="124" t="s">
        <v>266</v>
      </c>
      <c r="F4" s="124" t="s">
        <v>267</v>
      </c>
      <c r="G4" s="124" t="s">
        <v>268</v>
      </c>
      <c r="H4" s="596"/>
      <c r="I4" s="598"/>
    </row>
    <row r="5" spans="1:9" ht="29.25" customHeight="1" x14ac:dyDescent="0.3">
      <c r="A5" s="127" t="s">
        <v>269</v>
      </c>
      <c r="B5" s="125" t="s">
        <v>278</v>
      </c>
      <c r="C5" s="125" t="s">
        <v>272</v>
      </c>
      <c r="D5" s="125" t="s">
        <v>273</v>
      </c>
      <c r="E5" s="126" t="s">
        <v>274</v>
      </c>
      <c r="F5" s="125" t="s">
        <v>276</v>
      </c>
      <c r="G5" s="125" t="s">
        <v>277</v>
      </c>
      <c r="H5" s="125" t="s">
        <v>275</v>
      </c>
      <c r="I5" s="128"/>
    </row>
    <row r="6" spans="1:9" ht="29.25" customHeight="1" x14ac:dyDescent="0.3">
      <c r="A6" s="127" t="s">
        <v>269</v>
      </c>
      <c r="B6" s="125" t="s">
        <v>278</v>
      </c>
      <c r="C6" s="125" t="s">
        <v>279</v>
      </c>
      <c r="D6" s="125" t="s">
        <v>273</v>
      </c>
      <c r="E6" s="126" t="s">
        <v>280</v>
      </c>
      <c r="F6" s="125" t="s">
        <v>277</v>
      </c>
      <c r="G6" s="125" t="s">
        <v>277</v>
      </c>
      <c r="H6" s="125" t="s">
        <v>275</v>
      </c>
      <c r="I6" s="128"/>
    </row>
    <row r="7" spans="1:9" ht="29.25" customHeight="1" x14ac:dyDescent="0.3">
      <c r="A7" s="590" t="s">
        <v>281</v>
      </c>
      <c r="B7" s="125" t="s">
        <v>282</v>
      </c>
      <c r="C7" s="125" t="s">
        <v>283</v>
      </c>
      <c r="D7" s="125" t="s">
        <v>285</v>
      </c>
      <c r="E7" s="126" t="s">
        <v>287</v>
      </c>
      <c r="F7" s="125"/>
      <c r="G7" s="125"/>
      <c r="H7" s="125" t="s">
        <v>275</v>
      </c>
      <c r="I7" s="128"/>
    </row>
    <row r="8" spans="1:9" ht="29.25" customHeight="1" x14ac:dyDescent="0.3">
      <c r="A8" s="591"/>
      <c r="B8" s="125" t="s">
        <v>282</v>
      </c>
      <c r="C8" s="125" t="s">
        <v>284</v>
      </c>
      <c r="D8" s="125" t="s">
        <v>285</v>
      </c>
      <c r="E8" s="126" t="s">
        <v>286</v>
      </c>
      <c r="F8" s="125"/>
      <c r="G8" s="125"/>
      <c r="H8" s="125" t="s">
        <v>275</v>
      </c>
      <c r="I8" s="128"/>
    </row>
    <row r="9" spans="1:9" ht="29.25" customHeight="1" x14ac:dyDescent="0.3">
      <c r="A9" s="590" t="s">
        <v>453</v>
      </c>
      <c r="B9" s="125" t="s">
        <v>454</v>
      </c>
      <c r="C9" s="125" t="s">
        <v>456</v>
      </c>
      <c r="D9" s="125" t="s">
        <v>285</v>
      </c>
      <c r="E9" s="126" t="s">
        <v>457</v>
      </c>
      <c r="F9" s="125" t="s">
        <v>276</v>
      </c>
      <c r="G9" s="125" t="s">
        <v>462</v>
      </c>
      <c r="H9" s="125" t="s">
        <v>461</v>
      </c>
      <c r="I9" s="128"/>
    </row>
    <row r="10" spans="1:9" ht="29.25" customHeight="1" x14ac:dyDescent="0.3">
      <c r="A10" s="591"/>
      <c r="B10" s="125" t="s">
        <v>455</v>
      </c>
      <c r="C10" s="125" t="s">
        <v>456</v>
      </c>
      <c r="D10" s="125" t="s">
        <v>285</v>
      </c>
      <c r="E10" s="126" t="s">
        <v>458</v>
      </c>
      <c r="F10" s="125" t="s">
        <v>459</v>
      </c>
      <c r="G10" s="125" t="s">
        <v>460</v>
      </c>
      <c r="H10" s="125" t="s">
        <v>461</v>
      </c>
      <c r="I10" s="128"/>
    </row>
    <row r="11" spans="1:9" ht="29.25" customHeight="1" x14ac:dyDescent="0.3">
      <c r="A11" s="590" t="s">
        <v>463</v>
      </c>
      <c r="B11" s="125" t="s">
        <v>454</v>
      </c>
      <c r="C11" s="125" t="s">
        <v>465</v>
      </c>
      <c r="D11" s="125" t="s">
        <v>466</v>
      </c>
      <c r="E11" s="126" t="s">
        <v>470</v>
      </c>
      <c r="F11" s="125" t="s">
        <v>276</v>
      </c>
      <c r="G11" s="125" t="s">
        <v>472</v>
      </c>
      <c r="H11" s="125" t="s">
        <v>461</v>
      </c>
      <c r="I11" s="128"/>
    </row>
    <row r="12" spans="1:9" ht="29.25" customHeight="1" x14ac:dyDescent="0.3">
      <c r="A12" s="591"/>
      <c r="B12" s="125" t="s">
        <v>455</v>
      </c>
      <c r="C12" s="125" t="s">
        <v>464</v>
      </c>
      <c r="D12" s="125" t="s">
        <v>466</v>
      </c>
      <c r="E12" s="126" t="s">
        <v>470</v>
      </c>
      <c r="F12" s="125" t="s">
        <v>276</v>
      </c>
      <c r="G12" s="125" t="s">
        <v>472</v>
      </c>
      <c r="H12" s="125" t="s">
        <v>461</v>
      </c>
      <c r="I12" s="128"/>
    </row>
    <row r="13" spans="1:9" ht="29.25" customHeight="1" x14ac:dyDescent="0.3">
      <c r="A13" s="590" t="s">
        <v>474</v>
      </c>
      <c r="B13" s="125" t="s">
        <v>454</v>
      </c>
      <c r="C13" s="125" t="s">
        <v>467</v>
      </c>
      <c r="D13" s="125" t="s">
        <v>469</v>
      </c>
      <c r="E13" s="126" t="s">
        <v>471</v>
      </c>
      <c r="F13" s="125" t="s">
        <v>276</v>
      </c>
      <c r="G13" s="125" t="s">
        <v>473</v>
      </c>
      <c r="H13" s="125" t="s">
        <v>461</v>
      </c>
      <c r="I13" s="128"/>
    </row>
    <row r="14" spans="1:9" ht="29.25" customHeight="1" x14ac:dyDescent="0.3">
      <c r="A14" s="591"/>
      <c r="B14" s="125" t="s">
        <v>455</v>
      </c>
      <c r="C14" s="125" t="s">
        <v>468</v>
      </c>
      <c r="D14" s="125" t="s">
        <v>469</v>
      </c>
      <c r="E14" s="126" t="s">
        <v>471</v>
      </c>
      <c r="F14" s="125" t="s">
        <v>276</v>
      </c>
      <c r="G14" s="125" t="s">
        <v>473</v>
      </c>
      <c r="H14" s="125" t="s">
        <v>461</v>
      </c>
      <c r="I14" s="128"/>
    </row>
    <row r="15" spans="1:9" ht="29.25" customHeight="1" x14ac:dyDescent="0.3">
      <c r="A15" s="127"/>
      <c r="B15" s="125"/>
      <c r="C15" s="125"/>
      <c r="D15" s="125"/>
      <c r="E15" s="126"/>
      <c r="F15" s="125"/>
      <c r="G15" s="125"/>
      <c r="H15" s="125"/>
      <c r="I15" s="128"/>
    </row>
    <row r="16" spans="1:9" ht="29.25" customHeight="1" x14ac:dyDescent="0.3">
      <c r="A16" s="127"/>
      <c r="B16" s="125"/>
      <c r="C16" s="125"/>
      <c r="D16" s="125"/>
      <c r="E16" s="126"/>
      <c r="F16" s="125"/>
      <c r="G16" s="125"/>
      <c r="H16" s="125"/>
      <c r="I16" s="128"/>
    </row>
    <row r="17" spans="1:9" ht="29.25" customHeight="1" x14ac:dyDescent="0.3">
      <c r="A17" s="127"/>
      <c r="B17" s="125"/>
      <c r="C17" s="125"/>
      <c r="D17" s="125"/>
      <c r="E17" s="126"/>
      <c r="F17" s="125"/>
      <c r="G17" s="125"/>
      <c r="H17" s="125"/>
      <c r="I17" s="128"/>
    </row>
    <row r="18" spans="1:9" ht="29.25" customHeight="1" x14ac:dyDescent="0.3">
      <c r="A18" s="127"/>
      <c r="B18" s="125"/>
      <c r="C18" s="125"/>
      <c r="D18" s="125"/>
      <c r="E18" s="126"/>
      <c r="F18" s="125"/>
      <c r="G18" s="125"/>
      <c r="H18" s="125"/>
      <c r="I18" s="128"/>
    </row>
    <row r="19" spans="1:9" ht="29.25" customHeight="1" x14ac:dyDescent="0.3">
      <c r="A19" s="127"/>
      <c r="B19" s="125"/>
      <c r="C19" s="125"/>
      <c r="D19" s="125"/>
      <c r="E19" s="126"/>
      <c r="F19" s="125"/>
      <c r="G19" s="125"/>
      <c r="H19" s="125"/>
      <c r="I19" s="128"/>
    </row>
    <row r="20" spans="1:9" ht="29.25" customHeight="1" x14ac:dyDescent="0.3">
      <c r="A20" s="127"/>
      <c r="B20" s="125"/>
      <c r="C20" s="125"/>
      <c r="D20" s="125"/>
      <c r="E20" s="126"/>
      <c r="F20" s="125"/>
      <c r="G20" s="125"/>
      <c r="H20" s="125"/>
      <c r="I20" s="128"/>
    </row>
    <row r="21" spans="1:9" ht="29.25" customHeight="1" x14ac:dyDescent="0.3">
      <c r="A21" s="127"/>
      <c r="B21" s="125"/>
      <c r="C21" s="125"/>
      <c r="D21" s="125"/>
      <c r="E21" s="126"/>
      <c r="F21" s="125"/>
      <c r="G21" s="125"/>
      <c r="H21" s="125"/>
      <c r="I21" s="128"/>
    </row>
    <row r="22" spans="1:9" ht="29.25" customHeight="1" x14ac:dyDescent="0.3">
      <c r="A22" s="127"/>
      <c r="B22" s="125"/>
      <c r="C22" s="125"/>
      <c r="D22" s="125"/>
      <c r="E22" s="126"/>
      <c r="F22" s="125"/>
      <c r="G22" s="125"/>
      <c r="H22" s="125"/>
      <c r="I22" s="128"/>
    </row>
    <row r="23" spans="1:9" ht="29.25" customHeight="1" x14ac:dyDescent="0.3">
      <c r="A23" s="127"/>
      <c r="B23" s="125"/>
      <c r="C23" s="125"/>
      <c r="D23" s="125"/>
      <c r="E23" s="126"/>
      <c r="F23" s="125"/>
      <c r="G23" s="125"/>
      <c r="H23" s="125"/>
      <c r="I23" s="128"/>
    </row>
    <row r="24" spans="1:9" ht="29.25" customHeight="1" x14ac:dyDescent="0.3">
      <c r="A24" s="127"/>
      <c r="B24" s="125"/>
      <c r="C24" s="125"/>
      <c r="D24" s="125"/>
      <c r="E24" s="126"/>
      <c r="F24" s="125"/>
      <c r="G24" s="125"/>
      <c r="H24" s="125"/>
      <c r="I24" s="128"/>
    </row>
    <row r="25" spans="1:9" ht="29.25" customHeight="1" x14ac:dyDescent="0.3">
      <c r="A25" s="127"/>
      <c r="B25" s="125"/>
      <c r="C25" s="125"/>
      <c r="D25" s="125"/>
      <c r="E25" s="126"/>
      <c r="F25" s="125"/>
      <c r="G25" s="125"/>
      <c r="H25" s="125"/>
      <c r="I25" s="128"/>
    </row>
    <row r="26" spans="1:9" ht="29.25" customHeight="1" x14ac:dyDescent="0.3">
      <c r="A26" s="127"/>
      <c r="B26" s="125"/>
      <c r="C26" s="125"/>
      <c r="D26" s="125"/>
      <c r="E26" s="126"/>
      <c r="F26" s="125"/>
      <c r="G26" s="125"/>
      <c r="H26" s="125"/>
      <c r="I26" s="128"/>
    </row>
    <row r="27" spans="1:9" ht="29.25" customHeight="1" x14ac:dyDescent="0.3">
      <c r="A27" s="127"/>
      <c r="B27" s="125"/>
      <c r="C27" s="125"/>
      <c r="D27" s="125"/>
      <c r="E27" s="126"/>
      <c r="F27" s="125"/>
      <c r="G27" s="125"/>
      <c r="H27" s="125"/>
      <c r="I27" s="128"/>
    </row>
    <row r="28" spans="1:9" ht="29.25" customHeight="1" x14ac:dyDescent="0.3">
      <c r="A28" s="127"/>
      <c r="B28" s="125"/>
      <c r="C28" s="125"/>
      <c r="D28" s="125"/>
      <c r="E28" s="126"/>
      <c r="F28" s="125"/>
      <c r="G28" s="125"/>
      <c r="H28" s="125"/>
      <c r="I28" s="128"/>
    </row>
    <row r="29" spans="1:9" ht="29.25" customHeight="1" x14ac:dyDescent="0.3">
      <c r="A29" s="127"/>
      <c r="B29" s="125"/>
      <c r="C29" s="125"/>
      <c r="D29" s="125"/>
      <c r="E29" s="126"/>
      <c r="F29" s="125"/>
      <c r="G29" s="125"/>
      <c r="H29" s="125"/>
      <c r="I29" s="128"/>
    </row>
    <row r="30" spans="1:9" ht="29.25" customHeight="1" thickBot="1" x14ac:dyDescent="0.35">
      <c r="A30" s="129"/>
      <c r="B30" s="130"/>
      <c r="C30" s="130"/>
      <c r="D30" s="130"/>
      <c r="E30" s="131"/>
      <c r="F30" s="130"/>
      <c r="G30" s="130"/>
      <c r="H30" s="130"/>
      <c r="I30" s="132"/>
    </row>
  </sheetData>
  <mergeCells count="10">
    <mergeCell ref="A13:A14"/>
    <mergeCell ref="A11:A12"/>
    <mergeCell ref="A9:A10"/>
    <mergeCell ref="A7:A8"/>
    <mergeCell ref="A1:I1"/>
    <mergeCell ref="A3:A4"/>
    <mergeCell ref="H3:H4"/>
    <mergeCell ref="I3:I4"/>
    <mergeCell ref="F3:G3"/>
    <mergeCell ref="B3:E3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369"/>
  <sheetViews>
    <sheetView view="pageBreakPreview" zoomScale="70" zoomScaleNormal="70" zoomScaleSheetLayoutView="70" workbookViewId="0">
      <selection sqref="A1:J1"/>
    </sheetView>
  </sheetViews>
  <sheetFormatPr defaultRowHeight="16.5" x14ac:dyDescent="0.3"/>
  <cols>
    <col min="1" max="1" width="12.625" style="6" customWidth="1"/>
    <col min="2" max="2" width="13.75" style="6" customWidth="1"/>
    <col min="3" max="4" width="7.625" style="6" customWidth="1"/>
    <col min="5" max="5" width="5.625" style="18" customWidth="1"/>
    <col min="6" max="6" width="12.625" style="19" customWidth="1"/>
    <col min="7" max="7" width="5.625" style="18" customWidth="1"/>
    <col min="8" max="8" width="31.25" style="18" bestFit="1" customWidth="1"/>
    <col min="9" max="9" width="7.625" style="6" customWidth="1"/>
    <col min="10" max="10" width="89.625" style="6" bestFit="1" customWidth="1"/>
    <col min="11" max="11" width="70.625" style="6" customWidth="1"/>
    <col min="12" max="12" width="19.75" style="6" customWidth="1"/>
    <col min="13" max="13" width="14.5" style="18" customWidth="1"/>
    <col min="14" max="14" width="4.125" style="6" customWidth="1"/>
    <col min="15" max="16384" width="9" style="6"/>
  </cols>
  <sheetData>
    <row r="1" spans="1:13" ht="26.25" customHeight="1" x14ac:dyDescent="0.3">
      <c r="A1" s="626" t="s">
        <v>932</v>
      </c>
      <c r="B1" s="626"/>
      <c r="C1" s="626"/>
      <c r="D1" s="626"/>
      <c r="E1" s="626"/>
      <c r="F1" s="626"/>
      <c r="G1" s="626"/>
      <c r="H1" s="626"/>
      <c r="I1" s="626"/>
      <c r="J1" s="626"/>
      <c r="K1" s="94"/>
      <c r="L1" s="94"/>
    </row>
    <row r="2" spans="1:13" ht="30" customHeight="1" x14ac:dyDescent="0.15">
      <c r="A2" s="181" t="s">
        <v>0</v>
      </c>
      <c r="B2" s="182" t="s">
        <v>1</v>
      </c>
      <c r="C2" s="182" t="s">
        <v>289</v>
      </c>
      <c r="D2" s="182" t="s">
        <v>290</v>
      </c>
      <c r="E2" s="627" t="s">
        <v>291</v>
      </c>
      <c r="F2" s="627"/>
      <c r="G2" s="627"/>
      <c r="H2" s="627"/>
      <c r="I2" s="182" t="s">
        <v>290</v>
      </c>
      <c r="J2" s="183" t="s">
        <v>292</v>
      </c>
      <c r="K2" s="359"/>
      <c r="L2" s="100"/>
    </row>
    <row r="3" spans="1:13" s="16" customFormat="1" ht="24" customHeight="1" x14ac:dyDescent="0.3">
      <c r="A3" s="140" t="s">
        <v>22</v>
      </c>
      <c r="B3" s="145" t="s">
        <v>212</v>
      </c>
      <c r="C3" s="152">
        <v>1</v>
      </c>
      <c r="D3" s="628" t="s">
        <v>293</v>
      </c>
      <c r="E3" s="152" t="s">
        <v>6</v>
      </c>
      <c r="F3" s="152" t="s">
        <v>675</v>
      </c>
      <c r="G3" s="396" t="s">
        <v>680</v>
      </c>
      <c r="H3" s="152" t="s">
        <v>676</v>
      </c>
      <c r="I3" s="628" t="s">
        <v>293</v>
      </c>
      <c r="J3" s="152" t="s">
        <v>827</v>
      </c>
      <c r="K3" s="102"/>
      <c r="L3" s="102"/>
      <c r="M3" s="51"/>
    </row>
    <row r="4" spans="1:13" s="16" customFormat="1" ht="24" customHeight="1" x14ac:dyDescent="0.3">
      <c r="A4" s="607" t="s">
        <v>824</v>
      </c>
      <c r="B4" s="608"/>
      <c r="C4" s="154">
        <v>2</v>
      </c>
      <c r="D4" s="628"/>
      <c r="E4" s="154" t="s">
        <v>6</v>
      </c>
      <c r="F4" s="154" t="s">
        <v>886</v>
      </c>
      <c r="G4" s="394" t="s">
        <v>680</v>
      </c>
      <c r="H4" s="154" t="s">
        <v>887</v>
      </c>
      <c r="I4" s="628"/>
      <c r="J4" s="154" t="s">
        <v>888</v>
      </c>
      <c r="K4" s="102"/>
      <c r="L4" s="102"/>
      <c r="M4" s="51"/>
    </row>
    <row r="5" spans="1:13" s="16" customFormat="1" ht="24" customHeight="1" x14ac:dyDescent="0.3">
      <c r="A5" s="613" t="s">
        <v>823</v>
      </c>
      <c r="B5" s="614"/>
      <c r="C5" s="154">
        <v>3</v>
      </c>
      <c r="D5" s="628"/>
      <c r="E5" s="154" t="s">
        <v>25</v>
      </c>
      <c r="F5" s="154" t="s">
        <v>675</v>
      </c>
      <c r="G5" s="154" t="s">
        <v>680</v>
      </c>
      <c r="H5" s="154" t="s">
        <v>677</v>
      </c>
      <c r="I5" s="628"/>
      <c r="J5" s="154" t="s">
        <v>828</v>
      </c>
      <c r="K5" s="102"/>
      <c r="L5" s="102"/>
      <c r="M5" s="51"/>
    </row>
    <row r="6" spans="1:13" s="16" customFormat="1" ht="24" customHeight="1" x14ac:dyDescent="0.3">
      <c r="A6" s="41"/>
      <c r="B6" s="147"/>
      <c r="C6" s="154">
        <v>4</v>
      </c>
      <c r="D6" s="628"/>
      <c r="E6" s="154" t="s">
        <v>6</v>
      </c>
      <c r="F6" s="154" t="s">
        <v>675</v>
      </c>
      <c r="G6" s="154" t="s">
        <v>680</v>
      </c>
      <c r="H6" s="154" t="s">
        <v>678</v>
      </c>
      <c r="I6" s="628"/>
      <c r="J6" s="154" t="s">
        <v>829</v>
      </c>
      <c r="K6" s="102"/>
      <c r="L6" s="102"/>
      <c r="M6" s="51"/>
    </row>
    <row r="7" spans="1:13" s="16" customFormat="1" ht="24" customHeight="1" x14ac:dyDescent="0.3">
      <c r="A7" s="41"/>
      <c r="B7" s="147"/>
      <c r="C7" s="154">
        <v>5</v>
      </c>
      <c r="D7" s="628" t="s">
        <v>293</v>
      </c>
      <c r="E7" s="162" t="s">
        <v>6</v>
      </c>
      <c r="F7" s="162" t="s">
        <v>675</v>
      </c>
      <c r="G7" s="162" t="s">
        <v>680</v>
      </c>
      <c r="H7" s="162" t="s">
        <v>679</v>
      </c>
      <c r="I7" s="628" t="s">
        <v>293</v>
      </c>
      <c r="J7" s="154" t="s">
        <v>830</v>
      </c>
      <c r="K7" s="102"/>
      <c r="L7" s="102"/>
      <c r="M7" s="51"/>
    </row>
    <row r="8" spans="1:13" s="16" customFormat="1" ht="24" customHeight="1" x14ac:dyDescent="0.3">
      <c r="A8" s="41"/>
      <c r="B8" s="147"/>
      <c r="C8" s="154">
        <v>6</v>
      </c>
      <c r="D8" s="628"/>
      <c r="E8" s="154" t="s">
        <v>28</v>
      </c>
      <c r="F8" s="154" t="s">
        <v>368</v>
      </c>
      <c r="G8" s="154"/>
      <c r="H8" s="154" t="s">
        <v>825</v>
      </c>
      <c r="I8" s="628"/>
      <c r="J8" s="154" t="s">
        <v>831</v>
      </c>
      <c r="K8" s="102"/>
      <c r="L8" s="101"/>
      <c r="M8" s="51"/>
    </row>
    <row r="9" spans="1:13" s="16" customFormat="1" ht="24" customHeight="1" x14ac:dyDescent="0.3">
      <c r="A9" s="41"/>
      <c r="B9" s="147"/>
      <c r="C9" s="154">
        <v>7</v>
      </c>
      <c r="D9" s="628"/>
      <c r="E9" s="154" t="s">
        <v>28</v>
      </c>
      <c r="F9" s="154" t="s">
        <v>368</v>
      </c>
      <c r="G9" s="154"/>
      <c r="H9" s="154" t="s">
        <v>832</v>
      </c>
      <c r="I9" s="628"/>
      <c r="J9" s="154" t="s">
        <v>834</v>
      </c>
      <c r="K9" s="102"/>
      <c r="L9" s="101"/>
      <c r="M9" s="18"/>
    </row>
    <row r="10" spans="1:13" s="16" customFormat="1" ht="24" customHeight="1" x14ac:dyDescent="0.3">
      <c r="A10" s="41"/>
      <c r="B10" s="147"/>
      <c r="C10" s="154">
        <v>8</v>
      </c>
      <c r="D10" s="628"/>
      <c r="E10" s="154" t="s">
        <v>28</v>
      </c>
      <c r="F10" s="154" t="s">
        <v>368</v>
      </c>
      <c r="G10" s="154"/>
      <c r="H10" s="154" t="s">
        <v>833</v>
      </c>
      <c r="I10" s="628"/>
      <c r="J10" s="154" t="s">
        <v>835</v>
      </c>
      <c r="K10" s="102"/>
      <c r="L10" s="102"/>
      <c r="M10" s="18"/>
    </row>
    <row r="11" spans="1:13" s="16" customFormat="1" ht="24" customHeight="1" x14ac:dyDescent="0.3">
      <c r="A11" s="41"/>
      <c r="B11" s="147"/>
      <c r="C11" s="154">
        <v>9</v>
      </c>
      <c r="D11" s="628" t="s">
        <v>293</v>
      </c>
      <c r="E11" s="396" t="s">
        <v>680</v>
      </c>
      <c r="F11" s="396" t="s">
        <v>680</v>
      </c>
      <c r="G11" s="396" t="s">
        <v>680</v>
      </c>
      <c r="H11" s="396" t="s">
        <v>680</v>
      </c>
      <c r="I11" s="628" t="s">
        <v>293</v>
      </c>
      <c r="J11" s="394" t="s">
        <v>680</v>
      </c>
      <c r="K11" s="102"/>
      <c r="L11" s="102"/>
      <c r="M11" s="18"/>
    </row>
    <row r="12" spans="1:13" s="16" customFormat="1" ht="24" customHeight="1" x14ac:dyDescent="0.3">
      <c r="A12" s="41"/>
      <c r="B12" s="147"/>
      <c r="C12" s="154">
        <v>10</v>
      </c>
      <c r="D12" s="628"/>
      <c r="E12" s="154"/>
      <c r="F12" s="154"/>
      <c r="G12" s="394"/>
      <c r="H12" s="154"/>
      <c r="I12" s="628"/>
      <c r="J12" s="154"/>
      <c r="K12" s="102"/>
      <c r="L12" s="102"/>
      <c r="M12" s="51"/>
    </row>
    <row r="13" spans="1:13" s="16" customFormat="1" ht="24" customHeight="1" x14ac:dyDescent="0.3">
      <c r="A13" s="41"/>
      <c r="B13" s="147"/>
      <c r="C13" s="154">
        <v>11</v>
      </c>
      <c r="D13" s="628"/>
      <c r="E13" s="154"/>
      <c r="F13" s="154"/>
      <c r="G13" s="394"/>
      <c r="H13" s="154"/>
      <c r="I13" s="628"/>
      <c r="J13" s="154"/>
      <c r="K13" s="102"/>
      <c r="L13" s="102"/>
      <c r="M13" s="51"/>
    </row>
    <row r="14" spans="1:13" s="16" customFormat="1" ht="24" customHeight="1" x14ac:dyDescent="0.3">
      <c r="A14" s="41"/>
      <c r="B14" s="147"/>
      <c r="C14" s="154">
        <v>12</v>
      </c>
      <c r="D14" s="628"/>
      <c r="E14" s="162"/>
      <c r="F14" s="162"/>
      <c r="G14" s="395"/>
      <c r="H14" s="162"/>
      <c r="I14" s="628"/>
      <c r="J14" s="154"/>
      <c r="K14" s="102"/>
      <c r="L14" s="101"/>
      <c r="M14" s="18"/>
    </row>
    <row r="15" spans="1:13" s="16" customFormat="1" ht="24" customHeight="1" x14ac:dyDescent="0.3">
      <c r="A15" s="141" t="s">
        <v>22</v>
      </c>
      <c r="B15" s="149" t="s">
        <v>212</v>
      </c>
      <c r="C15" s="449">
        <v>1</v>
      </c>
      <c r="D15" s="605" t="s">
        <v>293</v>
      </c>
      <c r="E15" s="152" t="s">
        <v>8</v>
      </c>
      <c r="F15" s="153" t="s">
        <v>683</v>
      </c>
      <c r="G15" s="396" t="s">
        <v>680</v>
      </c>
      <c r="H15" s="152" t="s">
        <v>684</v>
      </c>
      <c r="I15" s="605" t="s">
        <v>293</v>
      </c>
      <c r="J15" s="152" t="s">
        <v>704</v>
      </c>
      <c r="K15" s="102"/>
      <c r="L15" s="101"/>
      <c r="M15" s="51"/>
    </row>
    <row r="16" spans="1:13" s="16" customFormat="1" ht="24" customHeight="1" x14ac:dyDescent="0.3">
      <c r="A16" s="607" t="s">
        <v>681</v>
      </c>
      <c r="B16" s="608"/>
      <c r="C16" s="388">
        <v>2</v>
      </c>
      <c r="D16" s="605"/>
      <c r="E16" s="154" t="s">
        <v>6</v>
      </c>
      <c r="F16" s="157"/>
      <c r="G16" s="394" t="s">
        <v>680</v>
      </c>
      <c r="H16" s="154"/>
      <c r="I16" s="605"/>
      <c r="J16" s="154"/>
      <c r="K16" s="102" t="s">
        <v>735</v>
      </c>
      <c r="L16" s="101"/>
      <c r="M16" s="51"/>
    </row>
    <row r="17" spans="1:13" s="16" customFormat="1" ht="24" customHeight="1" x14ac:dyDescent="0.3">
      <c r="A17" s="41"/>
      <c r="B17" s="147"/>
      <c r="C17" s="388">
        <v>3</v>
      </c>
      <c r="D17" s="605"/>
      <c r="E17" s="154" t="s">
        <v>6</v>
      </c>
      <c r="F17" s="157"/>
      <c r="G17" s="394" t="s">
        <v>680</v>
      </c>
      <c r="H17" s="154"/>
      <c r="I17" s="605"/>
      <c r="J17" s="154"/>
      <c r="K17" s="102"/>
      <c r="L17" s="101"/>
      <c r="M17" s="51"/>
    </row>
    <row r="18" spans="1:13" s="16" customFormat="1" ht="24" customHeight="1" x14ac:dyDescent="0.3">
      <c r="A18" s="41"/>
      <c r="B18" s="147"/>
      <c r="C18" s="388">
        <v>4</v>
      </c>
      <c r="D18" s="605"/>
      <c r="E18" s="154" t="s">
        <v>6</v>
      </c>
      <c r="F18" s="157" t="s">
        <v>685</v>
      </c>
      <c r="G18" s="394" t="s">
        <v>680</v>
      </c>
      <c r="H18" s="154" t="s">
        <v>686</v>
      </c>
      <c r="I18" s="605"/>
      <c r="J18" s="154" t="s">
        <v>705</v>
      </c>
      <c r="K18" s="102"/>
      <c r="L18" s="101"/>
      <c r="M18" s="51"/>
    </row>
    <row r="19" spans="1:13" s="16" customFormat="1" ht="24" customHeight="1" x14ac:dyDescent="0.3">
      <c r="A19" s="41"/>
      <c r="B19" s="147"/>
      <c r="C19" s="388">
        <v>5</v>
      </c>
      <c r="D19" s="605"/>
      <c r="E19" s="154" t="s">
        <v>6</v>
      </c>
      <c r="F19" s="157" t="s">
        <v>685</v>
      </c>
      <c r="G19" s="394" t="s">
        <v>680</v>
      </c>
      <c r="H19" s="154" t="s">
        <v>687</v>
      </c>
      <c r="I19" s="605"/>
      <c r="J19" s="154" t="s">
        <v>706</v>
      </c>
      <c r="K19" s="102"/>
      <c r="L19" s="101"/>
      <c r="M19" s="51"/>
    </row>
    <row r="20" spans="1:13" s="16" customFormat="1" ht="24" customHeight="1" x14ac:dyDescent="0.3">
      <c r="A20" s="41"/>
      <c r="B20" s="147"/>
      <c r="C20" s="388">
        <v>6</v>
      </c>
      <c r="D20" s="605"/>
      <c r="E20" s="154" t="s">
        <v>6</v>
      </c>
      <c r="F20" s="157" t="s">
        <v>688</v>
      </c>
      <c r="G20" s="394" t="s">
        <v>680</v>
      </c>
      <c r="H20" s="154" t="s">
        <v>689</v>
      </c>
      <c r="I20" s="605"/>
      <c r="J20" s="154" t="s">
        <v>707</v>
      </c>
      <c r="K20" s="102"/>
      <c r="L20" s="101"/>
      <c r="M20" s="51"/>
    </row>
    <row r="21" spans="1:13" s="16" customFormat="1" ht="24" customHeight="1" x14ac:dyDescent="0.3">
      <c r="A21" s="41"/>
      <c r="B21" s="147"/>
      <c r="C21" s="388">
        <v>7</v>
      </c>
      <c r="D21" s="605"/>
      <c r="E21" s="154" t="s">
        <v>6</v>
      </c>
      <c r="F21" s="157" t="s">
        <v>11</v>
      </c>
      <c r="G21" s="394" t="s">
        <v>680</v>
      </c>
      <c r="H21" s="154" t="s">
        <v>690</v>
      </c>
      <c r="I21" s="605"/>
      <c r="J21" s="154" t="s">
        <v>708</v>
      </c>
      <c r="K21" s="102"/>
      <c r="L21" s="101"/>
      <c r="M21" s="51"/>
    </row>
    <row r="22" spans="1:13" s="16" customFormat="1" ht="24" customHeight="1" x14ac:dyDescent="0.3">
      <c r="A22" s="41"/>
      <c r="B22" s="147"/>
      <c r="C22" s="388">
        <v>8</v>
      </c>
      <c r="D22" s="605"/>
      <c r="E22" s="154" t="s">
        <v>6</v>
      </c>
      <c r="F22" s="157"/>
      <c r="G22" s="394"/>
      <c r="H22" s="154"/>
      <c r="I22" s="605"/>
      <c r="J22" s="154"/>
      <c r="K22" s="102"/>
      <c r="L22" s="101"/>
      <c r="M22" s="51"/>
    </row>
    <row r="23" spans="1:13" s="16" customFormat="1" ht="24" customHeight="1" x14ac:dyDescent="0.3">
      <c r="A23" s="41"/>
      <c r="B23" s="147"/>
      <c r="C23" s="388">
        <v>9</v>
      </c>
      <c r="D23" s="605"/>
      <c r="E23" s="154" t="s">
        <v>6</v>
      </c>
      <c r="F23" s="157" t="s">
        <v>688</v>
      </c>
      <c r="G23" s="394" t="s">
        <v>680</v>
      </c>
      <c r="H23" s="154" t="s">
        <v>692</v>
      </c>
      <c r="I23" s="605"/>
      <c r="J23" s="154" t="s">
        <v>709</v>
      </c>
      <c r="K23" s="102"/>
      <c r="L23" s="101"/>
      <c r="M23" s="51"/>
    </row>
    <row r="24" spans="1:13" s="16" customFormat="1" ht="24" customHeight="1" x14ac:dyDescent="0.3">
      <c r="A24" s="41"/>
      <c r="B24" s="147"/>
      <c r="C24" s="388">
        <v>10</v>
      </c>
      <c r="D24" s="605"/>
      <c r="E24" s="154" t="s">
        <v>6</v>
      </c>
      <c r="F24" s="157" t="s">
        <v>691</v>
      </c>
      <c r="G24" s="394" t="s">
        <v>680</v>
      </c>
      <c r="H24" s="154" t="s">
        <v>693</v>
      </c>
      <c r="I24" s="605"/>
      <c r="J24" s="154" t="s">
        <v>760</v>
      </c>
      <c r="K24" s="102"/>
      <c r="L24" s="101"/>
      <c r="M24" s="51"/>
    </row>
    <row r="25" spans="1:13" s="16" customFormat="1" ht="24" customHeight="1" x14ac:dyDescent="0.3">
      <c r="A25" s="41"/>
      <c r="B25" s="147"/>
      <c r="C25" s="388">
        <v>11</v>
      </c>
      <c r="D25" s="605"/>
      <c r="E25" s="154" t="s">
        <v>6</v>
      </c>
      <c r="F25" s="157" t="s">
        <v>694</v>
      </c>
      <c r="G25" s="394" t="s">
        <v>680</v>
      </c>
      <c r="H25" s="154" t="s">
        <v>695</v>
      </c>
      <c r="I25" s="605"/>
      <c r="J25" s="154" t="s">
        <v>711</v>
      </c>
      <c r="K25" s="102"/>
      <c r="L25" s="101"/>
      <c r="M25" s="51"/>
    </row>
    <row r="26" spans="1:13" s="16" customFormat="1" ht="24" customHeight="1" x14ac:dyDescent="0.3">
      <c r="A26" s="41"/>
      <c r="B26" s="147"/>
      <c r="C26" s="388">
        <v>12</v>
      </c>
      <c r="D26" s="606"/>
      <c r="E26" s="158" t="s">
        <v>6</v>
      </c>
      <c r="F26" s="159"/>
      <c r="G26" s="398" t="s">
        <v>680</v>
      </c>
      <c r="H26" s="158"/>
      <c r="I26" s="605"/>
      <c r="J26" s="158"/>
      <c r="K26" s="102"/>
      <c r="L26" s="101"/>
      <c r="M26" s="51"/>
    </row>
    <row r="27" spans="1:13" s="16" customFormat="1" ht="24" customHeight="1" x14ac:dyDescent="0.3">
      <c r="A27" s="41"/>
      <c r="B27" s="147"/>
      <c r="C27" s="154">
        <v>1</v>
      </c>
      <c r="D27" s="609" t="s">
        <v>73</v>
      </c>
      <c r="E27" s="167" t="s">
        <v>696</v>
      </c>
      <c r="F27" s="153"/>
      <c r="G27" s="396"/>
      <c r="H27" s="152"/>
      <c r="I27" s="609" t="s">
        <v>73</v>
      </c>
      <c r="J27" s="152"/>
      <c r="K27" s="102"/>
      <c r="L27" s="101"/>
      <c r="M27" s="51"/>
    </row>
    <row r="28" spans="1:13" s="16" customFormat="1" ht="24" customHeight="1" x14ac:dyDescent="0.3">
      <c r="A28" s="13"/>
      <c r="B28" s="42"/>
      <c r="C28" s="154">
        <v>2</v>
      </c>
      <c r="D28" s="609"/>
      <c r="E28" s="160" t="s">
        <v>696</v>
      </c>
      <c r="F28" s="161"/>
      <c r="G28" s="394"/>
      <c r="H28" s="154"/>
      <c r="I28" s="609"/>
      <c r="J28" s="154"/>
      <c r="K28" s="102"/>
      <c r="L28" s="101"/>
      <c r="M28" s="51"/>
    </row>
    <row r="29" spans="1:13" s="16" customFormat="1" ht="24" customHeight="1" x14ac:dyDescent="0.3">
      <c r="A29" s="13"/>
      <c r="B29" s="42"/>
      <c r="C29" s="154">
        <v>3</v>
      </c>
      <c r="D29" s="609"/>
      <c r="E29" s="160" t="s">
        <v>696</v>
      </c>
      <c r="F29" s="157"/>
      <c r="G29" s="394"/>
      <c r="H29" s="154"/>
      <c r="I29" s="609"/>
      <c r="J29" s="154"/>
      <c r="K29" s="102"/>
      <c r="L29" s="101"/>
      <c r="M29" s="51"/>
    </row>
    <row r="30" spans="1:13" s="16" customFormat="1" ht="24" customHeight="1" x14ac:dyDescent="0.3">
      <c r="A30" s="17"/>
      <c r="B30" s="150"/>
      <c r="C30" s="162">
        <v>4</v>
      </c>
      <c r="D30" s="609"/>
      <c r="E30" s="163" t="s">
        <v>696</v>
      </c>
      <c r="F30" s="164"/>
      <c r="G30" s="395"/>
      <c r="H30" s="162"/>
      <c r="I30" s="609"/>
      <c r="J30" s="162"/>
      <c r="K30" s="102"/>
      <c r="L30" s="101"/>
      <c r="M30" s="51"/>
    </row>
    <row r="31" spans="1:13" s="16" customFormat="1" ht="24" customHeight="1" x14ac:dyDescent="0.3">
      <c r="A31" s="141" t="s">
        <v>22</v>
      </c>
      <c r="B31" s="149" t="s">
        <v>212</v>
      </c>
      <c r="C31" s="449">
        <v>1</v>
      </c>
      <c r="D31" s="605" t="s">
        <v>293</v>
      </c>
      <c r="E31" s="152" t="s">
        <v>6</v>
      </c>
      <c r="F31" s="153"/>
      <c r="G31" s="396" t="s">
        <v>680</v>
      </c>
      <c r="H31" s="152"/>
      <c r="I31" s="605" t="s">
        <v>293</v>
      </c>
      <c r="J31" s="152"/>
      <c r="K31" s="102"/>
      <c r="L31" s="102"/>
      <c r="M31" s="93"/>
    </row>
    <row r="32" spans="1:13" s="16" customFormat="1" ht="24" customHeight="1" x14ac:dyDescent="0.3">
      <c r="A32" s="607" t="s">
        <v>682</v>
      </c>
      <c r="B32" s="608"/>
      <c r="C32" s="388">
        <v>2</v>
      </c>
      <c r="D32" s="605"/>
      <c r="E32" s="154" t="s">
        <v>6</v>
      </c>
      <c r="F32" s="157" t="s">
        <v>697</v>
      </c>
      <c r="G32" s="394" t="s">
        <v>680</v>
      </c>
      <c r="H32" s="154" t="s">
        <v>698</v>
      </c>
      <c r="I32" s="605"/>
      <c r="J32" s="154" t="s">
        <v>567</v>
      </c>
      <c r="K32" s="102"/>
      <c r="L32" s="102"/>
      <c r="M32" s="53"/>
    </row>
    <row r="33" spans="1:13" s="16" customFormat="1" ht="24" customHeight="1" x14ac:dyDescent="0.3">
      <c r="A33" s="41"/>
      <c r="B33" s="147"/>
      <c r="C33" s="388">
        <v>3</v>
      </c>
      <c r="D33" s="605"/>
      <c r="E33" s="154" t="s">
        <v>6</v>
      </c>
      <c r="F33" s="157"/>
      <c r="G33" s="394"/>
      <c r="H33" s="154"/>
      <c r="I33" s="605"/>
      <c r="J33" s="154"/>
      <c r="K33" s="102"/>
      <c r="L33" s="102"/>
      <c r="M33" s="93"/>
    </row>
    <row r="34" spans="1:13" s="16" customFormat="1" ht="24" customHeight="1" x14ac:dyDescent="0.3">
      <c r="A34" s="41"/>
      <c r="B34" s="147"/>
      <c r="C34" s="388">
        <v>4</v>
      </c>
      <c r="D34" s="605"/>
      <c r="E34" s="154" t="s">
        <v>6</v>
      </c>
      <c r="F34" s="157" t="s">
        <v>617</v>
      </c>
      <c r="G34" s="394" t="s">
        <v>680</v>
      </c>
      <c r="H34" s="154" t="s">
        <v>699</v>
      </c>
      <c r="I34" s="605"/>
      <c r="J34" s="154" t="s">
        <v>727</v>
      </c>
      <c r="K34" s="102"/>
      <c r="L34" s="102"/>
      <c r="M34" s="51"/>
    </row>
    <row r="35" spans="1:13" s="16" customFormat="1" ht="24" customHeight="1" x14ac:dyDescent="0.3">
      <c r="A35" s="41"/>
      <c r="B35" s="147"/>
      <c r="C35" s="388">
        <v>5</v>
      </c>
      <c r="D35" s="605"/>
      <c r="E35" s="394" t="s">
        <v>6</v>
      </c>
      <c r="F35" s="397" t="s">
        <v>617</v>
      </c>
      <c r="G35" s="394" t="s">
        <v>680</v>
      </c>
      <c r="H35" s="154" t="s">
        <v>700</v>
      </c>
      <c r="I35" s="605"/>
      <c r="J35" s="372" t="s">
        <v>728</v>
      </c>
      <c r="K35" s="102"/>
      <c r="L35" s="102"/>
      <c r="M35" s="51"/>
    </row>
    <row r="36" spans="1:13" s="16" customFormat="1" ht="24" customHeight="1" x14ac:dyDescent="0.3">
      <c r="A36" s="41"/>
      <c r="B36" s="147"/>
      <c r="C36" s="388">
        <v>6</v>
      </c>
      <c r="D36" s="605"/>
      <c r="E36" s="154" t="s">
        <v>6</v>
      </c>
      <c r="F36" s="157" t="s">
        <v>697</v>
      </c>
      <c r="G36" s="394" t="s">
        <v>680</v>
      </c>
      <c r="H36" s="154" t="s">
        <v>701</v>
      </c>
      <c r="I36" s="605"/>
      <c r="J36" s="154" t="s">
        <v>568</v>
      </c>
      <c r="K36" s="102"/>
      <c r="L36" s="101"/>
      <c r="M36" s="51"/>
    </row>
    <row r="37" spans="1:13" s="16" customFormat="1" ht="24" customHeight="1" x14ac:dyDescent="0.3">
      <c r="A37" s="41"/>
      <c r="B37" s="147"/>
      <c r="C37" s="388">
        <v>7</v>
      </c>
      <c r="D37" s="605"/>
      <c r="E37" s="154" t="s">
        <v>6</v>
      </c>
      <c r="F37" s="157" t="s">
        <v>697</v>
      </c>
      <c r="G37" s="394" t="s">
        <v>680</v>
      </c>
      <c r="H37" s="154" t="s">
        <v>702</v>
      </c>
      <c r="I37" s="605"/>
      <c r="J37" s="154" t="s">
        <v>569</v>
      </c>
      <c r="K37" s="102"/>
      <c r="L37" s="101"/>
      <c r="M37" s="51"/>
    </row>
    <row r="38" spans="1:13" s="16" customFormat="1" ht="24" customHeight="1" x14ac:dyDescent="0.3">
      <c r="A38" s="41"/>
      <c r="B38" s="147"/>
      <c r="C38" s="154">
        <v>8</v>
      </c>
      <c r="D38" s="605"/>
      <c r="E38" s="394" t="s">
        <v>680</v>
      </c>
      <c r="F38" s="397" t="s">
        <v>680</v>
      </c>
      <c r="G38" s="394" t="s">
        <v>680</v>
      </c>
      <c r="H38" s="394" t="s">
        <v>680</v>
      </c>
      <c r="I38" s="605"/>
      <c r="J38" s="394" t="s">
        <v>680</v>
      </c>
      <c r="K38" s="102"/>
      <c r="L38" s="101"/>
      <c r="M38" s="51"/>
    </row>
    <row r="39" spans="1:13" s="16" customFormat="1" ht="24" customHeight="1" x14ac:dyDescent="0.3">
      <c r="A39" s="41"/>
      <c r="B39" s="147"/>
      <c r="C39" s="154">
        <v>9</v>
      </c>
      <c r="D39" s="605"/>
      <c r="E39" s="394" t="s">
        <v>680</v>
      </c>
      <c r="F39" s="397" t="s">
        <v>680</v>
      </c>
      <c r="G39" s="394" t="s">
        <v>680</v>
      </c>
      <c r="H39" s="394" t="s">
        <v>680</v>
      </c>
      <c r="I39" s="605"/>
      <c r="J39" s="394" t="s">
        <v>680</v>
      </c>
      <c r="K39" s="102"/>
      <c r="L39" s="101"/>
      <c r="M39" s="51"/>
    </row>
    <row r="40" spans="1:13" s="16" customFormat="1" ht="24" customHeight="1" x14ac:dyDescent="0.3">
      <c r="A40" s="41"/>
      <c r="B40" s="147"/>
      <c r="C40" s="154">
        <v>10</v>
      </c>
      <c r="D40" s="605"/>
      <c r="E40" s="394" t="s">
        <v>680</v>
      </c>
      <c r="F40" s="397" t="s">
        <v>680</v>
      </c>
      <c r="G40" s="394" t="s">
        <v>680</v>
      </c>
      <c r="H40" s="394" t="s">
        <v>680</v>
      </c>
      <c r="I40" s="605"/>
      <c r="J40" s="394" t="s">
        <v>680</v>
      </c>
      <c r="K40" s="102"/>
      <c r="L40" s="136" t="s">
        <v>392</v>
      </c>
      <c r="M40" s="51"/>
    </row>
    <row r="41" spans="1:13" s="16" customFormat="1" ht="24" customHeight="1" x14ac:dyDescent="0.3">
      <c r="A41" s="41"/>
      <c r="B41" s="147"/>
      <c r="C41" s="388">
        <v>11</v>
      </c>
      <c r="D41" s="605"/>
      <c r="E41" s="154" t="s">
        <v>6</v>
      </c>
      <c r="F41" s="157" t="s">
        <v>617</v>
      </c>
      <c r="G41" s="394" t="s">
        <v>680</v>
      </c>
      <c r="H41" s="154" t="s">
        <v>703</v>
      </c>
      <c r="I41" s="605"/>
      <c r="J41" s="154" t="s">
        <v>571</v>
      </c>
      <c r="K41" s="102"/>
      <c r="L41" s="101"/>
      <c r="M41" s="51"/>
    </row>
    <row r="42" spans="1:13" s="16" customFormat="1" ht="24" customHeight="1" x14ac:dyDescent="0.3">
      <c r="A42" s="41"/>
      <c r="B42" s="147"/>
      <c r="C42" s="154">
        <v>12</v>
      </c>
      <c r="D42" s="606"/>
      <c r="E42" s="398" t="s">
        <v>680</v>
      </c>
      <c r="F42" s="399" t="s">
        <v>680</v>
      </c>
      <c r="G42" s="398" t="s">
        <v>680</v>
      </c>
      <c r="H42" s="398" t="s">
        <v>680</v>
      </c>
      <c r="I42" s="605"/>
      <c r="J42" s="398" t="s">
        <v>680</v>
      </c>
      <c r="K42" s="102"/>
      <c r="L42" s="136" t="s">
        <v>392</v>
      </c>
      <c r="M42" s="51"/>
    </row>
    <row r="43" spans="1:13" s="16" customFormat="1" ht="24" customHeight="1" x14ac:dyDescent="0.3">
      <c r="A43" s="41"/>
      <c r="B43" s="147"/>
      <c r="C43" s="154">
        <v>1</v>
      </c>
      <c r="D43" s="609" t="s">
        <v>73</v>
      </c>
      <c r="E43" s="400" t="s">
        <v>680</v>
      </c>
      <c r="F43" s="403" t="s">
        <v>680</v>
      </c>
      <c r="G43" s="396" t="s">
        <v>680</v>
      </c>
      <c r="H43" s="396" t="s">
        <v>680</v>
      </c>
      <c r="I43" s="609" t="s">
        <v>73</v>
      </c>
      <c r="J43" s="396" t="s">
        <v>680</v>
      </c>
      <c r="K43" s="102"/>
      <c r="L43" s="102"/>
      <c r="M43" s="18"/>
    </row>
    <row r="44" spans="1:13" s="16" customFormat="1" ht="24" customHeight="1" x14ac:dyDescent="0.3">
      <c r="A44" s="13"/>
      <c r="B44" s="42"/>
      <c r="C44" s="154">
        <v>2</v>
      </c>
      <c r="D44" s="609"/>
      <c r="E44" s="401" t="s">
        <v>680</v>
      </c>
      <c r="F44" s="404" t="s">
        <v>680</v>
      </c>
      <c r="G44" s="394" t="s">
        <v>680</v>
      </c>
      <c r="H44" s="394" t="s">
        <v>680</v>
      </c>
      <c r="I44" s="609"/>
      <c r="J44" s="394" t="s">
        <v>680</v>
      </c>
      <c r="K44" s="102"/>
      <c r="L44" s="102"/>
      <c r="M44" s="18"/>
    </row>
    <row r="45" spans="1:13" s="16" customFormat="1" ht="24" customHeight="1" x14ac:dyDescent="0.3">
      <c r="A45" s="13"/>
      <c r="B45" s="42"/>
      <c r="C45" s="154">
        <v>3</v>
      </c>
      <c r="D45" s="609"/>
      <c r="E45" s="401" t="s">
        <v>680</v>
      </c>
      <c r="F45" s="397" t="s">
        <v>680</v>
      </c>
      <c r="G45" s="394" t="s">
        <v>680</v>
      </c>
      <c r="H45" s="394" t="s">
        <v>680</v>
      </c>
      <c r="I45" s="609"/>
      <c r="J45" s="394" t="s">
        <v>680</v>
      </c>
      <c r="K45" s="102"/>
      <c r="L45" s="102"/>
      <c r="M45" s="51"/>
    </row>
    <row r="46" spans="1:13" s="16" customFormat="1" ht="24" customHeight="1" x14ac:dyDescent="0.3">
      <c r="A46" s="17"/>
      <c r="B46" s="150"/>
      <c r="C46" s="162">
        <v>4</v>
      </c>
      <c r="D46" s="609"/>
      <c r="E46" s="402" t="s">
        <v>680</v>
      </c>
      <c r="F46" s="405" t="s">
        <v>680</v>
      </c>
      <c r="G46" s="395" t="s">
        <v>680</v>
      </c>
      <c r="H46" s="395" t="s">
        <v>680</v>
      </c>
      <c r="I46" s="609"/>
      <c r="J46" s="395" t="s">
        <v>680</v>
      </c>
      <c r="K46" s="102"/>
      <c r="L46" s="102"/>
      <c r="M46" s="51"/>
    </row>
    <row r="47" spans="1:13" s="16" customFormat="1" ht="24" customHeight="1" x14ac:dyDescent="0.3">
      <c r="A47" s="29" t="s">
        <v>294</v>
      </c>
      <c r="B47" s="146" t="s">
        <v>212</v>
      </c>
      <c r="C47" s="154">
        <v>1</v>
      </c>
      <c r="D47" s="622" t="s">
        <v>17</v>
      </c>
      <c r="E47" s="400" t="s">
        <v>680</v>
      </c>
      <c r="F47" s="400" t="s">
        <v>680</v>
      </c>
      <c r="G47" s="400" t="s">
        <v>680</v>
      </c>
      <c r="H47" s="400" t="s">
        <v>680</v>
      </c>
      <c r="I47" s="622" t="s">
        <v>17</v>
      </c>
      <c r="J47" s="152" t="s">
        <v>717</v>
      </c>
      <c r="K47" s="102"/>
      <c r="L47" s="102"/>
      <c r="M47" s="51"/>
    </row>
    <row r="48" spans="1:13" s="16" customFormat="1" ht="24" customHeight="1" x14ac:dyDescent="0.3">
      <c r="A48" s="620" t="s">
        <v>295</v>
      </c>
      <c r="B48" s="621"/>
      <c r="C48" s="154">
        <v>2</v>
      </c>
      <c r="D48" s="622"/>
      <c r="E48" s="401" t="s">
        <v>680</v>
      </c>
      <c r="F48" s="401" t="s">
        <v>680</v>
      </c>
      <c r="G48" s="401" t="s">
        <v>680</v>
      </c>
      <c r="H48" s="401" t="s">
        <v>680</v>
      </c>
      <c r="I48" s="622"/>
      <c r="J48" s="154" t="s">
        <v>717</v>
      </c>
      <c r="K48" s="102"/>
      <c r="L48" s="102"/>
      <c r="M48" s="51"/>
    </row>
    <row r="49" spans="1:13" s="16" customFormat="1" ht="24" customHeight="1" x14ac:dyDescent="0.3">
      <c r="A49" s="41"/>
      <c r="B49" s="147"/>
      <c r="C49" s="154">
        <v>3</v>
      </c>
      <c r="D49" s="622"/>
      <c r="E49" s="444"/>
      <c r="F49" s="160"/>
      <c r="G49" s="401"/>
      <c r="H49" s="160"/>
      <c r="I49" s="622"/>
      <c r="J49" s="154"/>
      <c r="K49" s="102"/>
      <c r="L49" s="102"/>
      <c r="M49" s="51"/>
    </row>
    <row r="50" spans="1:13" s="16" customFormat="1" ht="24" customHeight="1" x14ac:dyDescent="0.3">
      <c r="A50" s="41"/>
      <c r="B50" s="147"/>
      <c r="C50" s="154">
        <v>4</v>
      </c>
      <c r="D50" s="622"/>
      <c r="E50" s="444"/>
      <c r="F50" s="160"/>
      <c r="G50" s="401"/>
      <c r="H50" s="160"/>
      <c r="I50" s="622"/>
      <c r="J50" s="154"/>
      <c r="K50" s="102"/>
      <c r="L50" s="102"/>
      <c r="M50" s="51"/>
    </row>
    <row r="51" spans="1:13" s="16" customFormat="1" ht="24" customHeight="1" x14ac:dyDescent="0.3">
      <c r="A51" s="41"/>
      <c r="B51" s="147"/>
      <c r="C51" s="154">
        <v>5</v>
      </c>
      <c r="D51" s="622"/>
      <c r="E51" s="444"/>
      <c r="F51" s="160"/>
      <c r="G51" s="401"/>
      <c r="H51" s="160"/>
      <c r="I51" s="622"/>
      <c r="J51" s="154"/>
      <c r="K51" s="102"/>
      <c r="L51" s="102"/>
      <c r="M51" s="51"/>
    </row>
    <row r="52" spans="1:13" s="16" customFormat="1" ht="24" customHeight="1" x14ac:dyDescent="0.3">
      <c r="A52" s="41"/>
      <c r="B52" s="147"/>
      <c r="C52" s="154">
        <v>6</v>
      </c>
      <c r="D52" s="622"/>
      <c r="E52" s="447"/>
      <c r="F52" s="163"/>
      <c r="G52" s="402"/>
      <c r="H52" s="163"/>
      <c r="I52" s="622"/>
      <c r="J52" s="162"/>
      <c r="K52" s="102"/>
      <c r="L52" s="102"/>
      <c r="M52" s="51"/>
    </row>
    <row r="53" spans="1:13" s="16" customFormat="1" ht="24" customHeight="1" x14ac:dyDescent="0.3">
      <c r="A53" s="41"/>
      <c r="B53" s="147"/>
      <c r="C53" s="154">
        <v>7</v>
      </c>
      <c r="D53" s="622" t="s">
        <v>17</v>
      </c>
      <c r="E53" s="400" t="s">
        <v>680</v>
      </c>
      <c r="F53" s="400" t="s">
        <v>680</v>
      </c>
      <c r="G53" s="400" t="s">
        <v>680</v>
      </c>
      <c r="H53" s="400" t="s">
        <v>680</v>
      </c>
      <c r="I53" s="622" t="s">
        <v>17</v>
      </c>
      <c r="J53" s="409" t="s">
        <v>720</v>
      </c>
      <c r="K53" s="102"/>
      <c r="L53" s="102"/>
      <c r="M53" s="51"/>
    </row>
    <row r="54" spans="1:13" s="16" customFormat="1" ht="24" customHeight="1" x14ac:dyDescent="0.3">
      <c r="A54" s="41"/>
      <c r="B54" s="147"/>
      <c r="C54" s="154">
        <v>8</v>
      </c>
      <c r="D54" s="622"/>
      <c r="E54" s="444"/>
      <c r="F54" s="160"/>
      <c r="G54" s="401"/>
      <c r="H54" s="160"/>
      <c r="I54" s="622"/>
      <c r="J54" s="154"/>
      <c r="K54" s="102"/>
      <c r="L54" s="102"/>
      <c r="M54" s="51"/>
    </row>
    <row r="55" spans="1:13" s="16" customFormat="1" ht="24" customHeight="1" x14ac:dyDescent="0.3">
      <c r="A55" s="41"/>
      <c r="B55" s="147"/>
      <c r="C55" s="154">
        <v>9</v>
      </c>
      <c r="D55" s="622"/>
      <c r="E55" s="444"/>
      <c r="F55" s="160"/>
      <c r="G55" s="401"/>
      <c r="H55" s="160"/>
      <c r="I55" s="622"/>
      <c r="J55" s="154"/>
      <c r="K55" s="102"/>
      <c r="L55" s="102"/>
      <c r="M55" s="51"/>
    </row>
    <row r="56" spans="1:13" s="16" customFormat="1" ht="24" customHeight="1" x14ac:dyDescent="0.3">
      <c r="A56" s="41"/>
      <c r="B56" s="147"/>
      <c r="C56" s="154">
        <v>10</v>
      </c>
      <c r="D56" s="622"/>
      <c r="E56" s="444"/>
      <c r="F56" s="160"/>
      <c r="G56" s="401"/>
      <c r="H56" s="160"/>
      <c r="I56" s="622"/>
      <c r="J56" s="154"/>
      <c r="K56" s="102"/>
      <c r="L56" s="102"/>
      <c r="M56" s="51"/>
    </row>
    <row r="57" spans="1:13" s="16" customFormat="1" ht="24" customHeight="1" x14ac:dyDescent="0.3">
      <c r="A57" s="41"/>
      <c r="B57" s="147"/>
      <c r="C57" s="154">
        <v>11</v>
      </c>
      <c r="D57" s="622"/>
      <c r="E57" s="444"/>
      <c r="F57" s="160"/>
      <c r="G57" s="401"/>
      <c r="H57" s="160"/>
      <c r="I57" s="622"/>
      <c r="J57" s="154"/>
      <c r="K57" s="102"/>
      <c r="L57" s="102"/>
      <c r="M57" s="51"/>
    </row>
    <row r="58" spans="1:13" s="16" customFormat="1" ht="24" customHeight="1" x14ac:dyDescent="0.3">
      <c r="A58" s="41"/>
      <c r="B58" s="147"/>
      <c r="C58" s="154">
        <v>12</v>
      </c>
      <c r="D58" s="622"/>
      <c r="E58" s="451" t="s">
        <v>680</v>
      </c>
      <c r="F58" s="479" t="s">
        <v>36</v>
      </c>
      <c r="G58" s="480" t="s">
        <v>680</v>
      </c>
      <c r="H58" s="479" t="s">
        <v>787</v>
      </c>
      <c r="I58" s="622"/>
      <c r="J58" s="291" t="s">
        <v>776</v>
      </c>
      <c r="K58" s="102"/>
      <c r="L58" s="102"/>
      <c r="M58" s="51"/>
    </row>
    <row r="59" spans="1:13" s="16" customFormat="1" ht="24" customHeight="1" x14ac:dyDescent="0.3">
      <c r="A59" s="41"/>
      <c r="B59" s="147"/>
      <c r="C59" s="154">
        <v>13</v>
      </c>
      <c r="D59" s="622" t="s">
        <v>17</v>
      </c>
      <c r="E59" s="167"/>
      <c r="F59" s="167"/>
      <c r="G59" s="400" t="s">
        <v>680</v>
      </c>
      <c r="H59" s="167"/>
      <c r="I59" s="622" t="s">
        <v>17</v>
      </c>
      <c r="J59" s="152"/>
      <c r="K59" s="102"/>
      <c r="L59" s="102"/>
      <c r="M59" s="51"/>
    </row>
    <row r="60" spans="1:13" s="16" customFormat="1" ht="24" customHeight="1" x14ac:dyDescent="0.3">
      <c r="A60" s="41"/>
      <c r="B60" s="147"/>
      <c r="C60" s="154">
        <v>14</v>
      </c>
      <c r="D60" s="622"/>
      <c r="E60" s="401" t="s">
        <v>680</v>
      </c>
      <c r="F60" s="401" t="s">
        <v>680</v>
      </c>
      <c r="G60" s="401" t="s">
        <v>680</v>
      </c>
      <c r="H60" s="401" t="s">
        <v>680</v>
      </c>
      <c r="I60" s="622"/>
      <c r="J60" s="394" t="s">
        <v>680</v>
      </c>
      <c r="K60" s="102"/>
      <c r="L60" s="102"/>
      <c r="M60" s="51"/>
    </row>
    <row r="61" spans="1:13" s="16" customFormat="1" ht="24" customHeight="1" x14ac:dyDescent="0.3">
      <c r="A61" s="41"/>
      <c r="B61" s="147"/>
      <c r="C61" s="154">
        <v>15</v>
      </c>
      <c r="D61" s="622"/>
      <c r="E61" s="160"/>
      <c r="F61" s="160"/>
      <c r="G61" s="401" t="s">
        <v>680</v>
      </c>
      <c r="H61" s="160"/>
      <c r="I61" s="622"/>
      <c r="J61" s="154"/>
      <c r="K61" s="102"/>
      <c r="L61" s="102"/>
      <c r="M61" s="51"/>
    </row>
    <row r="62" spans="1:13" s="16" customFormat="1" ht="24" customHeight="1" x14ac:dyDescent="0.3">
      <c r="A62" s="41"/>
      <c r="B62" s="147"/>
      <c r="C62" s="154">
        <v>16</v>
      </c>
      <c r="D62" s="622"/>
      <c r="E62" s="401" t="s">
        <v>680</v>
      </c>
      <c r="F62" s="477" t="s">
        <v>36</v>
      </c>
      <c r="G62" s="477" t="s">
        <v>680</v>
      </c>
      <c r="H62" s="477" t="s">
        <v>779</v>
      </c>
      <c r="I62" s="622"/>
      <c r="J62" s="478" t="s">
        <v>778</v>
      </c>
      <c r="K62" s="102"/>
      <c r="L62" s="102"/>
      <c r="M62" s="51"/>
    </row>
    <row r="63" spans="1:13" s="16" customFormat="1" ht="24" customHeight="1" x14ac:dyDescent="0.3">
      <c r="A63" s="41"/>
      <c r="B63" s="147"/>
      <c r="C63" s="154">
        <v>17</v>
      </c>
      <c r="D63" s="622"/>
      <c r="E63" s="452" t="s">
        <v>680</v>
      </c>
      <c r="F63" s="477" t="s">
        <v>36</v>
      </c>
      <c r="G63" s="477" t="s">
        <v>680</v>
      </c>
      <c r="H63" s="477" t="s">
        <v>781</v>
      </c>
      <c r="I63" s="622"/>
      <c r="J63" s="478" t="s">
        <v>780</v>
      </c>
      <c r="K63" s="102"/>
      <c r="L63" s="102"/>
      <c r="M63" s="18"/>
    </row>
    <row r="64" spans="1:13" s="16" customFormat="1" ht="24" customHeight="1" x14ac:dyDescent="0.3">
      <c r="A64" s="41"/>
      <c r="B64" s="147"/>
      <c r="C64" s="154">
        <v>18</v>
      </c>
      <c r="D64" s="622"/>
      <c r="E64" s="447"/>
      <c r="F64" s="163"/>
      <c r="G64" s="402" t="s">
        <v>680</v>
      </c>
      <c r="H64" s="163"/>
      <c r="I64" s="622"/>
      <c r="J64" s="162"/>
      <c r="K64" s="102"/>
      <c r="L64" s="102"/>
      <c r="M64" s="18"/>
    </row>
    <row r="65" spans="1:13" s="16" customFormat="1" ht="24" customHeight="1" x14ac:dyDescent="0.3">
      <c r="A65" s="41"/>
      <c r="B65" s="147"/>
      <c r="C65" s="154">
        <v>19</v>
      </c>
      <c r="D65" s="622" t="s">
        <v>17</v>
      </c>
      <c r="E65" s="453" t="s">
        <v>680</v>
      </c>
      <c r="F65" s="530" t="s">
        <v>576</v>
      </c>
      <c r="G65" s="531" t="s">
        <v>680</v>
      </c>
      <c r="H65" s="530" t="s">
        <v>896</v>
      </c>
      <c r="I65" s="629" t="s">
        <v>103</v>
      </c>
      <c r="J65" s="534" t="s">
        <v>899</v>
      </c>
      <c r="K65" s="102"/>
      <c r="L65" s="102"/>
      <c r="M65" s="51"/>
    </row>
    <row r="66" spans="1:13" s="16" customFormat="1" ht="24" customHeight="1" x14ac:dyDescent="0.3">
      <c r="A66" s="41"/>
      <c r="B66" s="147"/>
      <c r="C66" s="154">
        <v>20</v>
      </c>
      <c r="D66" s="622"/>
      <c r="E66" s="452" t="s">
        <v>680</v>
      </c>
      <c r="F66" s="532" t="s">
        <v>576</v>
      </c>
      <c r="G66" s="533" t="s">
        <v>680</v>
      </c>
      <c r="H66" s="532" t="s">
        <v>897</v>
      </c>
      <c r="I66" s="629"/>
      <c r="J66" s="535" t="s">
        <v>898</v>
      </c>
      <c r="K66" s="102"/>
      <c r="L66" s="102"/>
      <c r="M66" s="51"/>
    </row>
    <row r="67" spans="1:13" s="16" customFormat="1" ht="24" customHeight="1" x14ac:dyDescent="0.3">
      <c r="A67" s="41"/>
      <c r="B67" s="147"/>
      <c r="C67" s="154">
        <v>21</v>
      </c>
      <c r="D67" s="622"/>
      <c r="E67" s="452" t="s">
        <v>680</v>
      </c>
      <c r="F67" s="160"/>
      <c r="G67" s="401"/>
      <c r="H67" s="160"/>
      <c r="I67" s="629"/>
      <c r="J67" s="154"/>
      <c r="K67" s="102"/>
      <c r="L67" s="102"/>
      <c r="M67" s="51"/>
    </row>
    <row r="68" spans="1:13" s="16" customFormat="1" ht="24" customHeight="1" x14ac:dyDescent="0.3">
      <c r="A68" s="41"/>
      <c r="B68" s="147"/>
      <c r="C68" s="154">
        <v>22</v>
      </c>
      <c r="D68" s="622"/>
      <c r="E68" s="452" t="s">
        <v>680</v>
      </c>
      <c r="F68" s="160"/>
      <c r="G68" s="401"/>
      <c r="H68" s="160"/>
      <c r="I68" s="629"/>
      <c r="J68" s="154"/>
      <c r="K68" s="102"/>
      <c r="L68" s="102"/>
      <c r="M68" s="51"/>
    </row>
    <row r="69" spans="1:13" s="16" customFormat="1" ht="24" customHeight="1" x14ac:dyDescent="0.3">
      <c r="A69" s="41"/>
      <c r="B69" s="147"/>
      <c r="C69" s="154">
        <v>23</v>
      </c>
      <c r="D69" s="622"/>
      <c r="E69" s="452" t="s">
        <v>680</v>
      </c>
      <c r="F69" s="401" t="s">
        <v>680</v>
      </c>
      <c r="G69" s="401" t="s">
        <v>680</v>
      </c>
      <c r="H69" s="401" t="s">
        <v>680</v>
      </c>
      <c r="I69" s="629"/>
      <c r="J69" s="394" t="s">
        <v>680</v>
      </c>
      <c r="K69" s="102"/>
      <c r="L69" s="102"/>
      <c r="M69" s="51"/>
    </row>
    <row r="70" spans="1:13" s="16" customFormat="1" ht="24" customHeight="1" x14ac:dyDescent="0.3">
      <c r="A70" s="41"/>
      <c r="B70" s="147"/>
      <c r="C70" s="154">
        <v>24</v>
      </c>
      <c r="D70" s="622"/>
      <c r="E70" s="451" t="s">
        <v>680</v>
      </c>
      <c r="F70" s="402" t="s">
        <v>680</v>
      </c>
      <c r="G70" s="402" t="s">
        <v>680</v>
      </c>
      <c r="H70" s="402" t="s">
        <v>680</v>
      </c>
      <c r="I70" s="629"/>
      <c r="J70" s="398" t="s">
        <v>680</v>
      </c>
      <c r="K70" s="102"/>
      <c r="L70" s="102"/>
      <c r="M70" s="51"/>
    </row>
    <row r="71" spans="1:13" s="16" customFormat="1" ht="24" customHeight="1" x14ac:dyDescent="0.3">
      <c r="A71" s="41"/>
      <c r="B71" s="147"/>
      <c r="C71" s="154">
        <v>25</v>
      </c>
      <c r="D71" s="622" t="s">
        <v>17</v>
      </c>
      <c r="E71" s="167"/>
      <c r="F71" s="167"/>
      <c r="G71" s="400"/>
      <c r="H71" s="167"/>
      <c r="I71" s="622" t="s">
        <v>17</v>
      </c>
      <c r="J71" s="152"/>
      <c r="K71" s="102"/>
      <c r="L71" s="102"/>
      <c r="M71" s="51"/>
    </row>
    <row r="72" spans="1:13" s="16" customFormat="1" ht="24" customHeight="1" x14ac:dyDescent="0.3">
      <c r="A72" s="41"/>
      <c r="B72" s="147"/>
      <c r="C72" s="154">
        <v>26</v>
      </c>
      <c r="D72" s="622"/>
      <c r="E72" s="160"/>
      <c r="F72" s="160"/>
      <c r="G72" s="401"/>
      <c r="H72" s="160"/>
      <c r="I72" s="622"/>
      <c r="J72" s="154"/>
      <c r="K72" s="102"/>
      <c r="L72" s="102"/>
      <c r="M72" s="51"/>
    </row>
    <row r="73" spans="1:13" s="16" customFormat="1" ht="24" customHeight="1" x14ac:dyDescent="0.3">
      <c r="A73" s="41"/>
      <c r="B73" s="147"/>
      <c r="C73" s="154">
        <v>27</v>
      </c>
      <c r="D73" s="622"/>
      <c r="E73" s="160"/>
      <c r="F73" s="160"/>
      <c r="G73" s="401"/>
      <c r="H73" s="160"/>
      <c r="I73" s="622"/>
      <c r="J73" s="154"/>
      <c r="K73" s="102"/>
      <c r="L73" s="102"/>
      <c r="M73" s="51"/>
    </row>
    <row r="74" spans="1:13" s="16" customFormat="1" ht="24" customHeight="1" x14ac:dyDescent="0.3">
      <c r="A74" s="41"/>
      <c r="B74" s="147"/>
      <c r="C74" s="154">
        <v>28</v>
      </c>
      <c r="D74" s="622"/>
      <c r="E74" s="444"/>
      <c r="F74" s="160"/>
      <c r="G74" s="401"/>
      <c r="H74" s="160"/>
      <c r="I74" s="622"/>
      <c r="J74" s="154"/>
      <c r="K74" s="102"/>
      <c r="L74" s="102"/>
      <c r="M74" s="53"/>
    </row>
    <row r="75" spans="1:13" s="16" customFormat="1" ht="24" customHeight="1" x14ac:dyDescent="0.3">
      <c r="A75" s="41"/>
      <c r="B75" s="147"/>
      <c r="C75" s="154">
        <v>29</v>
      </c>
      <c r="D75" s="622"/>
      <c r="E75" s="452" t="s">
        <v>680</v>
      </c>
      <c r="F75" s="201" t="s">
        <v>36</v>
      </c>
      <c r="G75" s="477"/>
      <c r="H75" s="201" t="s">
        <v>786</v>
      </c>
      <c r="I75" s="622"/>
      <c r="J75" s="203" t="s">
        <v>771</v>
      </c>
      <c r="K75" s="102"/>
      <c r="L75" s="102"/>
      <c r="M75" s="51"/>
    </row>
    <row r="76" spans="1:13" s="16" customFormat="1" ht="24" customHeight="1" x14ac:dyDescent="0.3">
      <c r="A76" s="41"/>
      <c r="B76" s="147"/>
      <c r="C76" s="154">
        <v>30</v>
      </c>
      <c r="D76" s="622"/>
      <c r="E76" s="402" t="s">
        <v>680</v>
      </c>
      <c r="F76" s="402" t="s">
        <v>680</v>
      </c>
      <c r="G76" s="402" t="s">
        <v>680</v>
      </c>
      <c r="H76" s="163" t="s">
        <v>714</v>
      </c>
      <c r="I76" s="622"/>
      <c r="J76" s="162" t="s">
        <v>714</v>
      </c>
      <c r="K76" s="102"/>
      <c r="L76" s="101"/>
      <c r="M76" s="51"/>
    </row>
    <row r="77" spans="1:13" s="16" customFormat="1" ht="24" customHeight="1" x14ac:dyDescent="0.3">
      <c r="A77" s="41"/>
      <c r="B77" s="147"/>
      <c r="C77" s="154">
        <v>31</v>
      </c>
      <c r="D77" s="622" t="s">
        <v>17</v>
      </c>
      <c r="E77" s="454" t="s">
        <v>680</v>
      </c>
      <c r="F77" s="173"/>
      <c r="G77" s="406" t="s">
        <v>680</v>
      </c>
      <c r="H77" s="173"/>
      <c r="I77" s="623" t="s">
        <v>191</v>
      </c>
      <c r="J77" s="172"/>
      <c r="K77" s="102"/>
      <c r="L77" s="101"/>
      <c r="M77" s="51"/>
    </row>
    <row r="78" spans="1:13" s="16" customFormat="1" ht="24" customHeight="1" x14ac:dyDescent="0.3">
      <c r="A78" s="41"/>
      <c r="B78" s="147"/>
      <c r="C78" s="154">
        <v>32</v>
      </c>
      <c r="D78" s="622"/>
      <c r="E78" s="452" t="s">
        <v>680</v>
      </c>
      <c r="F78" s="160"/>
      <c r="G78" s="401" t="s">
        <v>680</v>
      </c>
      <c r="H78" s="160"/>
      <c r="I78" s="624"/>
      <c r="J78" s="154"/>
      <c r="K78" s="102"/>
      <c r="L78" s="101"/>
      <c r="M78" s="51"/>
    </row>
    <row r="79" spans="1:13" s="16" customFormat="1" ht="24" customHeight="1" x14ac:dyDescent="0.3">
      <c r="A79" s="41"/>
      <c r="B79" s="147"/>
      <c r="C79" s="154">
        <v>33</v>
      </c>
      <c r="D79" s="622"/>
      <c r="E79" s="452" t="s">
        <v>680</v>
      </c>
      <c r="F79" s="160"/>
      <c r="G79" s="401" t="s">
        <v>680</v>
      </c>
      <c r="H79" s="160"/>
      <c r="I79" s="624"/>
      <c r="J79" s="154"/>
      <c r="K79" s="102"/>
      <c r="L79" s="101"/>
      <c r="M79" s="51"/>
    </row>
    <row r="80" spans="1:13" s="16" customFormat="1" ht="24" customHeight="1" x14ac:dyDescent="0.3">
      <c r="A80" s="41"/>
      <c r="B80" s="147"/>
      <c r="C80" s="154">
        <v>34</v>
      </c>
      <c r="D80" s="622"/>
      <c r="E80" s="452" t="s">
        <v>680</v>
      </c>
      <c r="F80" s="401" t="s">
        <v>680</v>
      </c>
      <c r="G80" s="401" t="s">
        <v>680</v>
      </c>
      <c r="H80" s="401" t="s">
        <v>680</v>
      </c>
      <c r="I80" s="624"/>
      <c r="J80" s="394" t="s">
        <v>680</v>
      </c>
      <c r="K80" s="102"/>
      <c r="L80" s="101"/>
      <c r="M80" s="51"/>
    </row>
    <row r="81" spans="1:13" s="16" customFormat="1" ht="24" customHeight="1" x14ac:dyDescent="0.3">
      <c r="A81" s="41"/>
      <c r="B81" s="147"/>
      <c r="C81" s="154">
        <v>35</v>
      </c>
      <c r="D81" s="622"/>
      <c r="E81" s="452" t="s">
        <v>680</v>
      </c>
      <c r="F81" s="160"/>
      <c r="G81" s="401" t="s">
        <v>680</v>
      </c>
      <c r="H81" s="160"/>
      <c r="I81" s="624"/>
      <c r="J81" s="154"/>
      <c r="K81" s="102"/>
      <c r="L81" s="102"/>
      <c r="M81" s="53"/>
    </row>
    <row r="82" spans="1:13" s="16" customFormat="1" ht="24" customHeight="1" x14ac:dyDescent="0.3">
      <c r="A82" s="41"/>
      <c r="B82" s="147"/>
      <c r="C82" s="154">
        <v>36</v>
      </c>
      <c r="D82" s="622"/>
      <c r="E82" s="455" t="s">
        <v>680</v>
      </c>
      <c r="F82" s="165"/>
      <c r="G82" s="407" t="s">
        <v>680</v>
      </c>
      <c r="H82" s="165"/>
      <c r="I82" s="625"/>
      <c r="J82" s="158"/>
      <c r="K82" s="102"/>
      <c r="L82" s="102"/>
      <c r="M82" s="53"/>
    </row>
    <row r="83" spans="1:13" s="16" customFormat="1" ht="24" customHeight="1" x14ac:dyDescent="0.3">
      <c r="A83" s="41"/>
      <c r="B83" s="147"/>
      <c r="C83" s="154">
        <v>37</v>
      </c>
      <c r="D83" s="622" t="s">
        <v>17</v>
      </c>
      <c r="E83" s="453" t="s">
        <v>680</v>
      </c>
      <c r="F83" s="167" t="s">
        <v>576</v>
      </c>
      <c r="G83" s="400" t="s">
        <v>680</v>
      </c>
      <c r="H83" s="167" t="s">
        <v>715</v>
      </c>
      <c r="I83" s="622" t="s">
        <v>17</v>
      </c>
      <c r="J83" s="152" t="s">
        <v>718</v>
      </c>
      <c r="K83" s="102" t="s">
        <v>594</v>
      </c>
      <c r="L83" s="102"/>
      <c r="M83" s="51"/>
    </row>
    <row r="84" spans="1:13" s="16" customFormat="1" ht="24" customHeight="1" x14ac:dyDescent="0.3">
      <c r="A84" s="41"/>
      <c r="B84" s="147"/>
      <c r="C84" s="154">
        <v>38</v>
      </c>
      <c r="D84" s="622"/>
      <c r="E84" s="401" t="s">
        <v>680</v>
      </c>
      <c r="F84" s="160" t="s">
        <v>576</v>
      </c>
      <c r="G84" s="401" t="s">
        <v>680</v>
      </c>
      <c r="H84" s="160" t="s">
        <v>716</v>
      </c>
      <c r="I84" s="622"/>
      <c r="J84" s="154" t="s">
        <v>719</v>
      </c>
      <c r="K84" s="102" t="s">
        <v>595</v>
      </c>
      <c r="L84" s="102"/>
      <c r="M84" s="51"/>
    </row>
    <row r="85" spans="1:13" s="16" customFormat="1" ht="24" customHeight="1" x14ac:dyDescent="0.3">
      <c r="A85" s="41"/>
      <c r="B85" s="147"/>
      <c r="C85" s="154">
        <v>39</v>
      </c>
      <c r="D85" s="622"/>
      <c r="E85" s="401" t="s">
        <v>680</v>
      </c>
      <c r="F85" s="401" t="s">
        <v>680</v>
      </c>
      <c r="G85" s="401" t="s">
        <v>680</v>
      </c>
      <c r="H85" s="401" t="s">
        <v>680</v>
      </c>
      <c r="I85" s="622"/>
      <c r="J85" s="394" t="s">
        <v>680</v>
      </c>
      <c r="K85" s="102"/>
      <c r="L85" s="102"/>
      <c r="M85" s="51"/>
    </row>
    <row r="86" spans="1:13" s="16" customFormat="1" ht="24" customHeight="1" x14ac:dyDescent="0.3">
      <c r="A86" s="41"/>
      <c r="B86" s="147"/>
      <c r="C86" s="154">
        <v>40</v>
      </c>
      <c r="D86" s="622"/>
      <c r="E86" s="401" t="s">
        <v>680</v>
      </c>
      <c r="F86" s="401" t="s">
        <v>680</v>
      </c>
      <c r="G86" s="401" t="s">
        <v>680</v>
      </c>
      <c r="H86" s="401" t="s">
        <v>680</v>
      </c>
      <c r="I86" s="622"/>
      <c r="J86" s="394" t="s">
        <v>680</v>
      </c>
      <c r="K86" s="102"/>
      <c r="L86" s="102"/>
      <c r="M86" s="51"/>
    </row>
    <row r="87" spans="1:13" s="16" customFormat="1" ht="24" customHeight="1" x14ac:dyDescent="0.3">
      <c r="A87" s="41"/>
      <c r="B87" s="147"/>
      <c r="C87" s="154">
        <v>41</v>
      </c>
      <c r="D87" s="622"/>
      <c r="E87" s="401" t="s">
        <v>680</v>
      </c>
      <c r="F87" s="401" t="s">
        <v>680</v>
      </c>
      <c r="G87" s="401" t="s">
        <v>680</v>
      </c>
      <c r="H87" s="401" t="s">
        <v>680</v>
      </c>
      <c r="I87" s="622"/>
      <c r="J87" s="394" t="s">
        <v>680</v>
      </c>
      <c r="K87" s="102"/>
      <c r="L87" s="102"/>
      <c r="M87" s="53"/>
    </row>
    <row r="88" spans="1:13" s="16" customFormat="1" ht="24" customHeight="1" x14ac:dyDescent="0.3">
      <c r="A88" s="41"/>
      <c r="B88" s="147"/>
      <c r="C88" s="154">
        <v>42</v>
      </c>
      <c r="D88" s="622"/>
      <c r="E88" s="451" t="s">
        <v>680</v>
      </c>
      <c r="F88" s="163"/>
      <c r="G88" s="402" t="s">
        <v>680</v>
      </c>
      <c r="H88" s="163"/>
      <c r="I88" s="622"/>
      <c r="J88" s="408"/>
      <c r="K88" s="102"/>
      <c r="L88" s="102"/>
      <c r="M88" s="53"/>
    </row>
    <row r="89" spans="1:13" s="16" customFormat="1" ht="24" customHeight="1" x14ac:dyDescent="0.3">
      <c r="A89" s="41"/>
      <c r="B89" s="147"/>
      <c r="C89" s="154">
        <v>43</v>
      </c>
      <c r="D89" s="630" t="s">
        <v>191</v>
      </c>
      <c r="E89" s="173"/>
      <c r="F89" s="174"/>
      <c r="G89" s="173"/>
      <c r="H89" s="172"/>
      <c r="I89" s="630" t="s">
        <v>574</v>
      </c>
      <c r="J89" s="172"/>
      <c r="K89" s="102"/>
      <c r="L89" s="102"/>
      <c r="M89" s="53"/>
    </row>
    <row r="90" spans="1:13" s="16" customFormat="1" ht="24" customHeight="1" x14ac:dyDescent="0.3">
      <c r="A90" s="41"/>
      <c r="B90" s="147"/>
      <c r="C90" s="154">
        <v>44</v>
      </c>
      <c r="D90" s="631"/>
      <c r="E90" s="160"/>
      <c r="F90" s="161"/>
      <c r="G90" s="160"/>
      <c r="H90" s="154"/>
      <c r="I90" s="631"/>
      <c r="J90" s="154"/>
      <c r="K90" s="102"/>
      <c r="L90" s="102"/>
      <c r="M90" s="53"/>
    </row>
    <row r="91" spans="1:13" s="16" customFormat="1" ht="24" customHeight="1" x14ac:dyDescent="0.3">
      <c r="A91" s="41"/>
      <c r="B91" s="147"/>
      <c r="C91" s="154">
        <v>45</v>
      </c>
      <c r="D91" s="631"/>
      <c r="E91" s="160"/>
      <c r="F91" s="161"/>
      <c r="G91" s="160"/>
      <c r="H91" s="154"/>
      <c r="I91" s="631"/>
      <c r="J91" s="154"/>
      <c r="K91" s="102"/>
      <c r="L91" s="102"/>
      <c r="M91" s="53"/>
    </row>
    <row r="92" spans="1:13" s="16" customFormat="1" ht="24" customHeight="1" x14ac:dyDescent="0.3">
      <c r="A92" s="41"/>
      <c r="B92" s="147"/>
      <c r="C92" s="154">
        <v>46</v>
      </c>
      <c r="D92" s="631"/>
      <c r="E92" s="160"/>
      <c r="F92" s="161"/>
      <c r="G92" s="160"/>
      <c r="H92" s="154"/>
      <c r="I92" s="631"/>
      <c r="J92" s="154"/>
      <c r="K92" s="102"/>
      <c r="L92" s="102"/>
      <c r="M92" s="18"/>
    </row>
    <row r="93" spans="1:13" s="16" customFormat="1" ht="24" customHeight="1" x14ac:dyDescent="0.3">
      <c r="A93" s="41"/>
      <c r="B93" s="147"/>
      <c r="C93" s="154">
        <v>47</v>
      </c>
      <c r="D93" s="631"/>
      <c r="E93" s="160"/>
      <c r="F93" s="161"/>
      <c r="G93" s="160"/>
      <c r="H93" s="154"/>
      <c r="I93" s="631"/>
      <c r="J93" s="154"/>
      <c r="K93" s="102"/>
      <c r="L93" s="102"/>
      <c r="M93" s="18"/>
    </row>
    <row r="94" spans="1:13" s="16" customFormat="1" ht="24" customHeight="1" x14ac:dyDescent="0.3">
      <c r="A94" s="41"/>
      <c r="B94" s="147"/>
      <c r="C94" s="154">
        <v>48</v>
      </c>
      <c r="D94" s="631"/>
      <c r="E94" s="160"/>
      <c r="F94" s="161"/>
      <c r="G94" s="160"/>
      <c r="H94" s="154"/>
      <c r="I94" s="631"/>
      <c r="J94" s="154"/>
      <c r="K94" s="102"/>
      <c r="L94" s="102"/>
      <c r="M94" s="18"/>
    </row>
    <row r="95" spans="1:13" s="16" customFormat="1" ht="24" customHeight="1" x14ac:dyDescent="0.3">
      <c r="A95" s="41"/>
      <c r="B95" s="147"/>
      <c r="C95" s="154">
        <v>49</v>
      </c>
      <c r="D95" s="631" t="s">
        <v>574</v>
      </c>
      <c r="E95" s="160"/>
      <c r="F95" s="161"/>
      <c r="G95" s="160"/>
      <c r="H95" s="154"/>
      <c r="I95" s="631" t="s">
        <v>574</v>
      </c>
      <c r="J95" s="154"/>
      <c r="K95" s="102"/>
      <c r="L95" s="102"/>
      <c r="M95" s="18"/>
    </row>
    <row r="96" spans="1:13" s="16" customFormat="1" ht="24" customHeight="1" x14ac:dyDescent="0.3">
      <c r="A96" s="41"/>
      <c r="B96" s="147"/>
      <c r="C96" s="154">
        <v>50</v>
      </c>
      <c r="D96" s="631"/>
      <c r="E96" s="160"/>
      <c r="F96" s="161"/>
      <c r="G96" s="160"/>
      <c r="H96" s="154"/>
      <c r="I96" s="631"/>
      <c r="J96" s="154"/>
      <c r="K96" s="102"/>
      <c r="L96" s="102"/>
      <c r="M96" s="18"/>
    </row>
    <row r="97" spans="1:13" s="16" customFormat="1" ht="24" customHeight="1" x14ac:dyDescent="0.3">
      <c r="A97" s="41"/>
      <c r="B97" s="147"/>
      <c r="C97" s="154">
        <v>51</v>
      </c>
      <c r="D97" s="631"/>
      <c r="E97" s="160"/>
      <c r="F97" s="161"/>
      <c r="G97" s="160"/>
      <c r="H97" s="154"/>
      <c r="I97" s="631"/>
      <c r="J97" s="154"/>
      <c r="K97" s="102"/>
      <c r="L97" s="102"/>
      <c r="M97" s="18"/>
    </row>
    <row r="98" spans="1:13" s="16" customFormat="1" ht="24" customHeight="1" x14ac:dyDescent="0.3">
      <c r="A98" s="41"/>
      <c r="B98" s="147"/>
      <c r="C98" s="154">
        <v>52</v>
      </c>
      <c r="D98" s="631"/>
      <c r="E98" s="160"/>
      <c r="F98" s="161"/>
      <c r="G98" s="160"/>
      <c r="H98" s="154"/>
      <c r="I98" s="631"/>
      <c r="J98" s="154"/>
      <c r="K98" s="102"/>
      <c r="L98" s="102"/>
      <c r="M98" s="18"/>
    </row>
    <row r="99" spans="1:13" s="16" customFormat="1" ht="24" customHeight="1" x14ac:dyDescent="0.3">
      <c r="A99" s="41"/>
      <c r="B99" s="147"/>
      <c r="C99" s="154">
        <v>53</v>
      </c>
      <c r="D99" s="631"/>
      <c r="E99" s="160"/>
      <c r="F99" s="161"/>
      <c r="G99" s="160"/>
      <c r="H99" s="154"/>
      <c r="I99" s="631"/>
      <c r="J99" s="154"/>
      <c r="K99" s="102"/>
      <c r="L99" s="102"/>
      <c r="M99" s="18"/>
    </row>
    <row r="100" spans="1:13" s="16" customFormat="1" ht="24" customHeight="1" x14ac:dyDescent="0.3">
      <c r="A100" s="41"/>
      <c r="B100" s="147"/>
      <c r="C100" s="154">
        <v>54</v>
      </c>
      <c r="D100" s="631"/>
      <c r="E100" s="160"/>
      <c r="F100" s="161"/>
      <c r="G100" s="160"/>
      <c r="H100" s="154"/>
      <c r="I100" s="631"/>
      <c r="J100" s="154"/>
      <c r="K100" s="102"/>
      <c r="L100" s="102"/>
      <c r="M100" s="18"/>
    </row>
    <row r="101" spans="1:13" s="16" customFormat="1" ht="24" customHeight="1" x14ac:dyDescent="0.3">
      <c r="A101" s="41"/>
      <c r="B101" s="147"/>
      <c r="C101" s="154">
        <v>55</v>
      </c>
      <c r="D101" s="631" t="s">
        <v>574</v>
      </c>
      <c r="E101" s="160"/>
      <c r="F101" s="161"/>
      <c r="G101" s="160"/>
      <c r="H101" s="154"/>
      <c r="I101" s="631" t="s">
        <v>574</v>
      </c>
      <c r="J101" s="154"/>
      <c r="K101" s="102"/>
      <c r="L101" s="102"/>
      <c r="M101" s="18"/>
    </row>
    <row r="102" spans="1:13" s="16" customFormat="1" ht="24" customHeight="1" x14ac:dyDescent="0.3">
      <c r="A102" s="41"/>
      <c r="B102" s="147"/>
      <c r="C102" s="154">
        <v>56</v>
      </c>
      <c r="D102" s="631"/>
      <c r="E102" s="160"/>
      <c r="F102" s="161"/>
      <c r="G102" s="160"/>
      <c r="H102" s="154"/>
      <c r="I102" s="631"/>
      <c r="J102" s="154"/>
      <c r="K102" s="102"/>
      <c r="L102" s="102"/>
      <c r="M102" s="18"/>
    </row>
    <row r="103" spans="1:13" s="16" customFormat="1" ht="24" customHeight="1" x14ac:dyDescent="0.3">
      <c r="A103" s="41"/>
      <c r="B103" s="147"/>
      <c r="C103" s="154">
        <v>57</v>
      </c>
      <c r="D103" s="631"/>
      <c r="E103" s="160"/>
      <c r="F103" s="161"/>
      <c r="G103" s="160"/>
      <c r="H103" s="154"/>
      <c r="I103" s="631"/>
      <c r="J103" s="154"/>
      <c r="K103" s="102"/>
      <c r="L103" s="102"/>
      <c r="M103" s="18"/>
    </row>
    <row r="104" spans="1:13" s="16" customFormat="1" ht="24" customHeight="1" x14ac:dyDescent="0.3">
      <c r="A104" s="41"/>
      <c r="B104" s="147"/>
      <c r="C104" s="154">
        <v>58</v>
      </c>
      <c r="D104" s="631"/>
      <c r="E104" s="160"/>
      <c r="F104" s="161"/>
      <c r="G104" s="160"/>
      <c r="H104" s="154"/>
      <c r="I104" s="631"/>
      <c r="J104" s="154"/>
      <c r="K104" s="102"/>
      <c r="L104" s="102"/>
      <c r="M104" s="18"/>
    </row>
    <row r="105" spans="1:13" s="16" customFormat="1" ht="24" customHeight="1" x14ac:dyDescent="0.3">
      <c r="A105" s="41"/>
      <c r="B105" s="147"/>
      <c r="C105" s="154">
        <v>59</v>
      </c>
      <c r="D105" s="631"/>
      <c r="E105" s="160"/>
      <c r="F105" s="161"/>
      <c r="G105" s="160"/>
      <c r="H105" s="154"/>
      <c r="I105" s="631"/>
      <c r="J105" s="154"/>
      <c r="K105" s="102"/>
      <c r="L105" s="102"/>
      <c r="M105" s="18"/>
    </row>
    <row r="106" spans="1:13" s="16" customFormat="1" ht="24" customHeight="1" x14ac:dyDescent="0.3">
      <c r="A106" s="139"/>
      <c r="B106" s="148"/>
      <c r="C106" s="158">
        <v>60</v>
      </c>
      <c r="D106" s="631"/>
      <c r="E106" s="165"/>
      <c r="F106" s="166"/>
      <c r="G106" s="165"/>
      <c r="H106" s="158"/>
      <c r="I106" s="631"/>
      <c r="J106" s="158"/>
      <c r="K106" s="102"/>
      <c r="L106" s="102"/>
      <c r="M106" s="18"/>
    </row>
    <row r="107" spans="1:13" s="16" customFormat="1" ht="24" customHeight="1" x14ac:dyDescent="0.3">
      <c r="A107" s="141" t="s">
        <v>22</v>
      </c>
      <c r="B107" s="149" t="s">
        <v>83</v>
      </c>
      <c r="C107" s="152">
        <v>1</v>
      </c>
      <c r="D107" s="622" t="s">
        <v>17</v>
      </c>
      <c r="E107" s="167" t="s">
        <v>89</v>
      </c>
      <c r="F107" s="168" t="s">
        <v>223</v>
      </c>
      <c r="G107" s="167"/>
      <c r="H107" s="152" t="s">
        <v>875</v>
      </c>
      <c r="I107" s="622" t="s">
        <v>17</v>
      </c>
      <c r="J107" s="152" t="s">
        <v>876</v>
      </c>
      <c r="K107" s="102"/>
      <c r="L107" s="102" t="s">
        <v>877</v>
      </c>
      <c r="M107" s="18"/>
    </row>
    <row r="108" spans="1:13" s="16" customFormat="1" ht="24" customHeight="1" x14ac:dyDescent="0.3">
      <c r="A108" s="620" t="s">
        <v>84</v>
      </c>
      <c r="B108" s="621"/>
      <c r="C108" s="154">
        <v>2</v>
      </c>
      <c r="D108" s="622"/>
      <c r="E108" s="160"/>
      <c r="F108" s="161"/>
      <c r="G108" s="154"/>
      <c r="H108" s="154"/>
      <c r="I108" s="622"/>
      <c r="J108" s="154"/>
      <c r="K108" s="102"/>
      <c r="L108" s="136" t="s">
        <v>369</v>
      </c>
      <c r="M108" s="18"/>
    </row>
    <row r="109" spans="1:13" s="16" customFormat="1" ht="24" customHeight="1" x14ac:dyDescent="0.3">
      <c r="A109" s="613" t="s">
        <v>452</v>
      </c>
      <c r="B109" s="614"/>
      <c r="C109" s="154">
        <v>3</v>
      </c>
      <c r="D109" s="622"/>
      <c r="E109" s="356"/>
      <c r="F109" s="355"/>
      <c r="G109" s="356"/>
      <c r="H109" s="207"/>
      <c r="I109" s="622"/>
      <c r="J109" s="207"/>
      <c r="K109" s="136"/>
      <c r="L109" s="102"/>
      <c r="M109" s="18"/>
    </row>
    <row r="110" spans="1:13" s="16" customFormat="1" ht="24" customHeight="1" x14ac:dyDescent="0.3">
      <c r="A110" s="41"/>
      <c r="B110" s="147"/>
      <c r="C110" s="154">
        <v>4</v>
      </c>
      <c r="D110" s="622"/>
      <c r="E110" s="160"/>
      <c r="F110" s="161"/>
      <c r="G110" s="160"/>
      <c r="H110" s="154"/>
      <c r="I110" s="622"/>
      <c r="J110" s="154"/>
      <c r="K110" s="102"/>
      <c r="L110" s="102"/>
      <c r="M110" s="18"/>
    </row>
    <row r="111" spans="1:13" s="16" customFormat="1" ht="24" customHeight="1" x14ac:dyDescent="0.3">
      <c r="A111" s="41"/>
      <c r="B111" s="147"/>
      <c r="C111" s="154">
        <v>5</v>
      </c>
      <c r="D111" s="622"/>
      <c r="E111" s="160"/>
      <c r="F111" s="161"/>
      <c r="G111" s="160"/>
      <c r="H111" s="154"/>
      <c r="I111" s="622"/>
      <c r="J111" s="154"/>
      <c r="K111" s="102"/>
      <c r="L111" s="102"/>
      <c r="M111" s="18"/>
    </row>
    <row r="112" spans="1:13" s="16" customFormat="1" ht="24" customHeight="1" x14ac:dyDescent="0.3">
      <c r="A112" s="41"/>
      <c r="B112" s="147"/>
      <c r="C112" s="154">
        <v>6</v>
      </c>
      <c r="D112" s="622"/>
      <c r="E112" s="160"/>
      <c r="F112" s="161"/>
      <c r="G112" s="160"/>
      <c r="H112" s="154"/>
      <c r="I112" s="622"/>
      <c r="J112" s="154"/>
      <c r="K112" s="102"/>
      <c r="L112" s="102"/>
      <c r="M112" s="18"/>
    </row>
    <row r="113" spans="1:13" s="16" customFormat="1" ht="24" customHeight="1" x14ac:dyDescent="0.3">
      <c r="A113" s="41"/>
      <c r="B113" s="147"/>
      <c r="C113" s="154">
        <v>7</v>
      </c>
      <c r="D113" s="622" t="s">
        <v>17</v>
      </c>
      <c r="E113" s="160"/>
      <c r="F113" s="161" t="s">
        <v>93</v>
      </c>
      <c r="G113" s="160"/>
      <c r="H113" s="154" t="s">
        <v>878</v>
      </c>
      <c r="I113" s="622" t="s">
        <v>17</v>
      </c>
      <c r="J113" s="154" t="s">
        <v>879</v>
      </c>
      <c r="K113" s="102"/>
      <c r="L113" s="102" t="s">
        <v>880</v>
      </c>
      <c r="M113" s="18"/>
    </row>
    <row r="114" spans="1:13" s="16" customFormat="1" ht="24" customHeight="1" x14ac:dyDescent="0.3">
      <c r="A114" s="41"/>
      <c r="B114" s="147"/>
      <c r="C114" s="154">
        <v>8</v>
      </c>
      <c r="D114" s="622"/>
      <c r="E114" s="160"/>
      <c r="F114" s="161"/>
      <c r="G114" s="160"/>
      <c r="H114" s="154"/>
      <c r="I114" s="622"/>
      <c r="J114" s="154"/>
      <c r="K114" s="102"/>
      <c r="L114" s="102"/>
      <c r="M114" s="18"/>
    </row>
    <row r="115" spans="1:13" s="16" customFormat="1" ht="24" customHeight="1" x14ac:dyDescent="0.3">
      <c r="A115" s="41"/>
      <c r="B115" s="147"/>
      <c r="C115" s="154">
        <v>9</v>
      </c>
      <c r="D115" s="622"/>
      <c r="E115" s="160"/>
      <c r="F115" s="161"/>
      <c r="G115" s="160"/>
      <c r="H115" s="154"/>
      <c r="I115" s="622"/>
      <c r="J115" s="154"/>
      <c r="K115" s="102"/>
      <c r="L115" s="102"/>
      <c r="M115" s="18"/>
    </row>
    <row r="116" spans="1:13" s="16" customFormat="1" ht="24" customHeight="1" x14ac:dyDescent="0.3">
      <c r="A116" s="41"/>
      <c r="B116" s="147"/>
      <c r="C116" s="154">
        <v>10</v>
      </c>
      <c r="D116" s="622"/>
      <c r="E116" s="160"/>
      <c r="F116" s="161"/>
      <c r="G116" s="160"/>
      <c r="H116" s="154"/>
      <c r="I116" s="622"/>
      <c r="J116" s="154"/>
      <c r="K116" s="102"/>
      <c r="L116" s="102"/>
      <c r="M116" s="18"/>
    </row>
    <row r="117" spans="1:13" s="16" customFormat="1" ht="24" customHeight="1" x14ac:dyDescent="0.3">
      <c r="A117" s="41"/>
      <c r="B117" s="147"/>
      <c r="C117" s="154">
        <v>11</v>
      </c>
      <c r="D117" s="622"/>
      <c r="E117" s="160"/>
      <c r="F117" s="161"/>
      <c r="G117" s="160"/>
      <c r="H117" s="154"/>
      <c r="I117" s="622"/>
      <c r="J117" s="154"/>
      <c r="K117" s="102"/>
      <c r="L117" s="136" t="s">
        <v>370</v>
      </c>
      <c r="M117" s="18"/>
    </row>
    <row r="118" spans="1:13" s="16" customFormat="1" ht="24" customHeight="1" x14ac:dyDescent="0.3">
      <c r="A118" s="41"/>
      <c r="B118" s="147"/>
      <c r="C118" s="154">
        <v>12</v>
      </c>
      <c r="D118" s="622"/>
      <c r="E118" s="160"/>
      <c r="F118" s="355"/>
      <c r="G118" s="356"/>
      <c r="H118" s="207"/>
      <c r="I118" s="622"/>
      <c r="J118" s="207"/>
      <c r="K118" s="136"/>
      <c r="L118" s="102"/>
      <c r="M118" s="18"/>
    </row>
    <row r="119" spans="1:13" s="16" customFormat="1" ht="24" customHeight="1" x14ac:dyDescent="0.3">
      <c r="A119" s="143"/>
      <c r="B119" s="147"/>
      <c r="C119" s="154">
        <v>13</v>
      </c>
      <c r="D119" s="622" t="s">
        <v>17</v>
      </c>
      <c r="E119" s="201" t="s">
        <v>223</v>
      </c>
      <c r="F119" s="202" t="s">
        <v>768</v>
      </c>
      <c r="G119" s="201"/>
      <c r="H119" s="203" t="s">
        <v>769</v>
      </c>
      <c r="I119" s="622" t="s">
        <v>17</v>
      </c>
      <c r="J119" s="203" t="s">
        <v>785</v>
      </c>
      <c r="K119" s="102"/>
      <c r="L119" s="102"/>
      <c r="M119" s="18"/>
    </row>
    <row r="120" spans="1:13" s="16" customFormat="1" ht="24" customHeight="1" x14ac:dyDescent="0.3">
      <c r="A120" s="41"/>
      <c r="B120" s="147"/>
      <c r="C120" s="154">
        <v>14</v>
      </c>
      <c r="D120" s="622"/>
      <c r="E120" s="160" t="s">
        <v>89</v>
      </c>
      <c r="F120" s="355" t="s">
        <v>93</v>
      </c>
      <c r="G120" s="356"/>
      <c r="H120" s="207" t="s">
        <v>241</v>
      </c>
      <c r="I120" s="622"/>
      <c r="J120" s="207" t="s">
        <v>235</v>
      </c>
      <c r="K120" s="136"/>
      <c r="L120" s="102"/>
      <c r="M120" s="18"/>
    </row>
    <row r="121" spans="1:13" s="16" customFormat="1" ht="24" customHeight="1" x14ac:dyDescent="0.3">
      <c r="A121" s="41"/>
      <c r="B121" s="147"/>
      <c r="C121" s="154">
        <v>15</v>
      </c>
      <c r="D121" s="622"/>
      <c r="E121" s="201" t="s">
        <v>223</v>
      </c>
      <c r="F121" s="202" t="s">
        <v>768</v>
      </c>
      <c r="G121" s="201"/>
      <c r="H121" s="203" t="s">
        <v>769</v>
      </c>
      <c r="I121" s="622"/>
      <c r="J121" s="203" t="s">
        <v>782</v>
      </c>
      <c r="K121" s="102"/>
      <c r="L121" s="102"/>
      <c r="M121" s="18"/>
    </row>
    <row r="122" spans="1:13" s="16" customFormat="1" ht="24" customHeight="1" x14ac:dyDescent="0.3">
      <c r="A122" s="41"/>
      <c r="B122" s="147"/>
      <c r="C122" s="154">
        <v>16</v>
      </c>
      <c r="D122" s="622"/>
      <c r="E122" s="201" t="s">
        <v>223</v>
      </c>
      <c r="F122" s="202" t="s">
        <v>768</v>
      </c>
      <c r="G122" s="201"/>
      <c r="H122" s="203" t="s">
        <v>784</v>
      </c>
      <c r="I122" s="622"/>
      <c r="J122" s="203" t="s">
        <v>774</v>
      </c>
      <c r="K122" s="102"/>
      <c r="L122" s="102"/>
      <c r="M122" s="18"/>
    </row>
    <row r="123" spans="1:13" s="16" customFormat="1" ht="24" customHeight="1" x14ac:dyDescent="0.3">
      <c r="A123" s="41"/>
      <c r="B123" s="147"/>
      <c r="C123" s="154">
        <v>17</v>
      </c>
      <c r="D123" s="622"/>
      <c r="E123" s="160"/>
      <c r="F123" s="357"/>
      <c r="G123" s="358"/>
      <c r="H123" s="294"/>
      <c r="I123" s="622"/>
      <c r="J123" s="294"/>
      <c r="K123" s="360"/>
      <c r="L123" s="204" t="s">
        <v>371</v>
      </c>
      <c r="M123" s="51"/>
    </row>
    <row r="124" spans="1:13" s="16" customFormat="1" ht="24" customHeight="1" x14ac:dyDescent="0.3">
      <c r="A124" s="41"/>
      <c r="B124" s="147"/>
      <c r="C124" s="154">
        <v>18</v>
      </c>
      <c r="D124" s="622"/>
      <c r="E124" s="160" t="s">
        <v>89</v>
      </c>
      <c r="F124" s="161" t="s">
        <v>223</v>
      </c>
      <c r="G124" s="154"/>
      <c r="H124" s="154" t="s">
        <v>450</v>
      </c>
      <c r="I124" s="622"/>
      <c r="J124" s="226" t="s">
        <v>449</v>
      </c>
      <c r="K124" s="361"/>
      <c r="L124" s="136" t="s">
        <v>369</v>
      </c>
      <c r="M124" s="51"/>
    </row>
    <row r="125" spans="1:13" s="16" customFormat="1" ht="24" customHeight="1" x14ac:dyDescent="0.3">
      <c r="A125" s="41"/>
      <c r="B125" s="147"/>
      <c r="C125" s="154">
        <v>19</v>
      </c>
      <c r="D125" s="622" t="s">
        <v>17</v>
      </c>
      <c r="E125" s="160"/>
      <c r="F125" s="160" t="s">
        <v>89</v>
      </c>
      <c r="G125" s="160"/>
      <c r="H125" s="154" t="s">
        <v>125</v>
      </c>
      <c r="I125" s="629" t="s">
        <v>103</v>
      </c>
      <c r="J125" s="154" t="s">
        <v>172</v>
      </c>
      <c r="K125" s="102"/>
      <c r="L125" s="102"/>
      <c r="M125" s="51"/>
    </row>
    <row r="126" spans="1:13" s="16" customFormat="1" ht="24" customHeight="1" x14ac:dyDescent="0.3">
      <c r="A126" s="41"/>
      <c r="B126" s="147"/>
      <c r="C126" s="154">
        <v>20</v>
      </c>
      <c r="D126" s="622"/>
      <c r="E126" s="160"/>
      <c r="F126" s="161" t="s">
        <v>93</v>
      </c>
      <c r="G126" s="160"/>
      <c r="H126" s="154" t="s">
        <v>179</v>
      </c>
      <c r="I126" s="629"/>
      <c r="J126" s="154" t="s">
        <v>180</v>
      </c>
      <c r="K126" s="102"/>
      <c r="L126" s="102"/>
      <c r="M126" s="51"/>
    </row>
    <row r="127" spans="1:13" s="16" customFormat="1" ht="24" customHeight="1" x14ac:dyDescent="0.3">
      <c r="A127" s="41"/>
      <c r="B127" s="147"/>
      <c r="C127" s="154">
        <v>21</v>
      </c>
      <c r="D127" s="622"/>
      <c r="E127" s="160"/>
      <c r="F127" s="161" t="s">
        <v>93</v>
      </c>
      <c r="G127" s="160"/>
      <c r="H127" s="154" t="s">
        <v>208</v>
      </c>
      <c r="I127" s="629"/>
      <c r="J127" s="154" t="s">
        <v>227</v>
      </c>
      <c r="K127" s="102"/>
      <c r="L127" s="102"/>
      <c r="M127" s="51"/>
    </row>
    <row r="128" spans="1:13" s="16" customFormat="1" ht="24" customHeight="1" x14ac:dyDescent="0.3">
      <c r="A128" s="41"/>
      <c r="B128" s="147"/>
      <c r="C128" s="154">
        <v>22</v>
      </c>
      <c r="D128" s="622"/>
      <c r="E128" s="160"/>
      <c r="F128" s="355" t="s">
        <v>93</v>
      </c>
      <c r="G128" s="356"/>
      <c r="H128" s="207" t="s">
        <v>372</v>
      </c>
      <c r="I128" s="629"/>
      <c r="J128" s="207" t="s">
        <v>373</v>
      </c>
      <c r="K128" s="136"/>
      <c r="L128" s="136" t="s">
        <v>369</v>
      </c>
      <c r="M128" s="51"/>
    </row>
    <row r="129" spans="1:14" s="16" customFormat="1" ht="24" customHeight="1" x14ac:dyDescent="0.3">
      <c r="A129" s="41"/>
      <c r="B129" s="147"/>
      <c r="C129" s="154">
        <v>23</v>
      </c>
      <c r="D129" s="622"/>
      <c r="E129" s="160"/>
      <c r="F129" s="161"/>
      <c r="G129" s="160"/>
      <c r="H129" s="154"/>
      <c r="I129" s="629"/>
      <c r="J129" s="154"/>
      <c r="K129" s="102"/>
      <c r="L129" s="102"/>
      <c r="M129" s="51"/>
    </row>
    <row r="130" spans="1:14" s="16" customFormat="1" ht="24" customHeight="1" x14ac:dyDescent="0.3">
      <c r="A130" s="41"/>
      <c r="B130" s="147"/>
      <c r="C130" s="154">
        <v>24</v>
      </c>
      <c r="D130" s="622"/>
      <c r="E130" s="160"/>
      <c r="F130" s="161" t="s">
        <v>93</v>
      </c>
      <c r="G130" s="160"/>
      <c r="H130" s="154" t="s">
        <v>917</v>
      </c>
      <c r="I130" s="629"/>
      <c r="J130" s="154"/>
      <c r="K130" s="102"/>
      <c r="L130" s="102"/>
      <c r="M130" s="51"/>
    </row>
    <row r="131" spans="1:14" s="16" customFormat="1" ht="24" customHeight="1" x14ac:dyDescent="0.3">
      <c r="A131" s="41"/>
      <c r="B131" s="147"/>
      <c r="C131" s="154">
        <v>25</v>
      </c>
      <c r="D131" s="622" t="s">
        <v>17</v>
      </c>
      <c r="E131" s="201" t="s">
        <v>223</v>
      </c>
      <c r="F131" s="202" t="s">
        <v>768</v>
      </c>
      <c r="G131" s="201"/>
      <c r="H131" s="203" t="s">
        <v>784</v>
      </c>
      <c r="I131" s="622" t="s">
        <v>17</v>
      </c>
      <c r="J131" s="203" t="s">
        <v>783</v>
      </c>
      <c r="K131" s="102"/>
      <c r="L131" s="102"/>
      <c r="M131" s="51"/>
    </row>
    <row r="132" spans="1:14" s="16" customFormat="1" ht="24" customHeight="1" x14ac:dyDescent="0.3">
      <c r="A132" s="41"/>
      <c r="B132" s="147"/>
      <c r="C132" s="154">
        <v>26</v>
      </c>
      <c r="D132" s="622"/>
      <c r="E132" s="160"/>
      <c r="F132" s="170" t="s">
        <v>93</v>
      </c>
      <c r="G132" s="160"/>
      <c r="H132" s="154" t="s">
        <v>875</v>
      </c>
      <c r="I132" s="622"/>
      <c r="J132" s="154" t="s">
        <v>881</v>
      </c>
      <c r="K132" s="102"/>
      <c r="L132" s="136" t="s">
        <v>877</v>
      </c>
      <c r="M132" s="53"/>
    </row>
    <row r="133" spans="1:14" s="16" customFormat="1" ht="24" customHeight="1" x14ac:dyDescent="0.3">
      <c r="A133" s="41"/>
      <c r="B133" s="147"/>
      <c r="C133" s="154">
        <v>27</v>
      </c>
      <c r="D133" s="622"/>
      <c r="E133" s="160" t="s">
        <v>89</v>
      </c>
      <c r="F133" s="161" t="s">
        <v>223</v>
      </c>
      <c r="G133" s="160"/>
      <c r="H133" s="154" t="s">
        <v>878</v>
      </c>
      <c r="I133" s="622"/>
      <c r="J133" s="154" t="s">
        <v>882</v>
      </c>
      <c r="K133" s="102"/>
      <c r="L133" s="102" t="s">
        <v>877</v>
      </c>
      <c r="M133" s="53"/>
      <c r="N133" s="6"/>
    </row>
    <row r="134" spans="1:14" s="16" customFormat="1" ht="24" customHeight="1" x14ac:dyDescent="0.3">
      <c r="A134" s="41"/>
      <c r="B134" s="147"/>
      <c r="C134" s="154">
        <v>28</v>
      </c>
      <c r="D134" s="622"/>
      <c r="E134" s="160"/>
      <c r="F134" s="161" t="s">
        <v>223</v>
      </c>
      <c r="G134" s="160"/>
      <c r="H134" s="154" t="s">
        <v>375</v>
      </c>
      <c r="I134" s="622"/>
      <c r="J134" s="154" t="s">
        <v>401</v>
      </c>
      <c r="K134" s="102"/>
      <c r="L134" s="136" t="s">
        <v>369</v>
      </c>
      <c r="M134" s="53"/>
      <c r="N134" s="6"/>
    </row>
    <row r="135" spans="1:14" s="16" customFormat="1" ht="24" customHeight="1" x14ac:dyDescent="0.3">
      <c r="A135" s="41"/>
      <c r="B135" s="147"/>
      <c r="C135" s="154">
        <v>29</v>
      </c>
      <c r="D135" s="622"/>
      <c r="E135" s="160"/>
      <c r="F135" s="161" t="s">
        <v>223</v>
      </c>
      <c r="G135" s="160"/>
      <c r="H135" s="154" t="s">
        <v>376</v>
      </c>
      <c r="I135" s="622"/>
      <c r="J135" s="154" t="s">
        <v>402</v>
      </c>
      <c r="K135" s="102"/>
      <c r="L135" s="136" t="s">
        <v>369</v>
      </c>
      <c r="M135" s="53"/>
    </row>
    <row r="136" spans="1:14" s="16" customFormat="1" ht="24" customHeight="1" x14ac:dyDescent="0.3">
      <c r="A136" s="144"/>
      <c r="B136" s="151"/>
      <c r="C136" s="162">
        <v>30</v>
      </c>
      <c r="D136" s="622"/>
      <c r="E136" s="163"/>
      <c r="F136" s="171"/>
      <c r="G136" s="163"/>
      <c r="H136" s="162" t="s">
        <v>203</v>
      </c>
      <c r="I136" s="622"/>
      <c r="J136" s="162" t="s">
        <v>203</v>
      </c>
      <c r="K136" s="102"/>
      <c r="L136" s="102"/>
      <c r="M136" s="18"/>
    </row>
    <row r="137" spans="1:14" s="16" customFormat="1" ht="24" customHeight="1" x14ac:dyDescent="0.3">
      <c r="A137" s="141" t="s">
        <v>22</v>
      </c>
      <c r="B137" s="149" t="s">
        <v>233</v>
      </c>
      <c r="C137" s="152">
        <v>1</v>
      </c>
      <c r="D137" s="622" t="s">
        <v>17</v>
      </c>
      <c r="E137" s="167" t="s">
        <v>89</v>
      </c>
      <c r="F137" s="168" t="s">
        <v>223</v>
      </c>
      <c r="G137" s="167"/>
      <c r="H137" s="152" t="s">
        <v>383</v>
      </c>
      <c r="I137" s="622" t="s">
        <v>17</v>
      </c>
      <c r="J137" s="229" t="s">
        <v>410</v>
      </c>
      <c r="K137" s="361"/>
      <c r="L137" s="209" t="s">
        <v>369</v>
      </c>
      <c r="M137" s="18" t="s">
        <v>416</v>
      </c>
    </row>
    <row r="138" spans="1:14" s="16" customFormat="1" ht="24" customHeight="1" x14ac:dyDescent="0.3">
      <c r="A138" s="620" t="s">
        <v>84</v>
      </c>
      <c r="B138" s="621"/>
      <c r="C138" s="154">
        <v>2</v>
      </c>
      <c r="D138" s="622"/>
      <c r="E138" s="160" t="s">
        <v>89</v>
      </c>
      <c r="F138" s="161" t="s">
        <v>223</v>
      </c>
      <c r="G138" s="154"/>
      <c r="H138" s="154" t="s">
        <v>250</v>
      </c>
      <c r="I138" s="622"/>
      <c r="J138" s="226" t="s">
        <v>885</v>
      </c>
      <c r="K138" s="361"/>
      <c r="L138" s="136" t="s">
        <v>884</v>
      </c>
      <c r="M138" s="18" t="s">
        <v>416</v>
      </c>
    </row>
    <row r="139" spans="1:14" s="16" customFormat="1" ht="24" customHeight="1" x14ac:dyDescent="0.3">
      <c r="A139" s="636" t="s">
        <v>448</v>
      </c>
      <c r="B139" s="637"/>
      <c r="C139" s="154">
        <v>3</v>
      </c>
      <c r="D139" s="622"/>
      <c r="E139" s="160" t="s">
        <v>89</v>
      </c>
      <c r="F139" s="161" t="s">
        <v>223</v>
      </c>
      <c r="G139" s="160"/>
      <c r="H139" s="154" t="s">
        <v>88</v>
      </c>
      <c r="I139" s="622"/>
      <c r="J139" s="226" t="s">
        <v>414</v>
      </c>
      <c r="K139" s="361"/>
      <c r="L139" s="136" t="s">
        <v>393</v>
      </c>
      <c r="M139" s="18" t="s">
        <v>416</v>
      </c>
    </row>
    <row r="140" spans="1:14" s="16" customFormat="1" ht="24" customHeight="1" x14ac:dyDescent="0.3">
      <c r="A140" s="638"/>
      <c r="B140" s="639"/>
      <c r="C140" s="154">
        <v>4</v>
      </c>
      <c r="D140" s="622"/>
      <c r="E140" s="160" t="s">
        <v>89</v>
      </c>
      <c r="F140" s="161" t="s">
        <v>223</v>
      </c>
      <c r="G140" s="160"/>
      <c r="H140" s="154" t="s">
        <v>85</v>
      </c>
      <c r="I140" s="622"/>
      <c r="J140" s="226" t="s">
        <v>406</v>
      </c>
      <c r="K140" s="361"/>
      <c r="L140" s="136" t="s">
        <v>394</v>
      </c>
      <c r="M140" s="18" t="s">
        <v>416</v>
      </c>
    </row>
    <row r="141" spans="1:14" s="16" customFormat="1" ht="24" customHeight="1" x14ac:dyDescent="0.3">
      <c r="A141" s="613" t="s">
        <v>452</v>
      </c>
      <c r="B141" s="614"/>
      <c r="C141" s="154">
        <v>5</v>
      </c>
      <c r="D141" s="622"/>
      <c r="E141" s="160" t="s">
        <v>89</v>
      </c>
      <c r="F141" s="161" t="s">
        <v>223</v>
      </c>
      <c r="G141" s="160"/>
      <c r="H141" s="154" t="s">
        <v>381</v>
      </c>
      <c r="I141" s="622"/>
      <c r="J141" s="226" t="s">
        <v>411</v>
      </c>
      <c r="K141" s="361"/>
      <c r="L141" s="209" t="s">
        <v>395</v>
      </c>
      <c r="M141" s="18" t="s">
        <v>416</v>
      </c>
    </row>
    <row r="142" spans="1:14" s="16" customFormat="1" ht="24" customHeight="1" x14ac:dyDescent="0.3">
      <c r="A142" s="41"/>
      <c r="B142" s="147"/>
      <c r="C142" s="154">
        <v>6</v>
      </c>
      <c r="D142" s="622"/>
      <c r="E142" s="160" t="s">
        <v>89</v>
      </c>
      <c r="F142" s="161" t="s">
        <v>223</v>
      </c>
      <c r="G142" s="160"/>
      <c r="H142" s="154" t="s">
        <v>251</v>
      </c>
      <c r="I142" s="622"/>
      <c r="J142" s="226" t="s">
        <v>412</v>
      </c>
      <c r="K142" s="361"/>
      <c r="L142" s="209" t="s">
        <v>396</v>
      </c>
      <c r="M142" s="18" t="s">
        <v>416</v>
      </c>
    </row>
    <row r="143" spans="1:14" s="16" customFormat="1" ht="24" customHeight="1" x14ac:dyDescent="0.3">
      <c r="A143" s="41"/>
      <c r="B143" s="147"/>
      <c r="C143" s="154">
        <v>7</v>
      </c>
      <c r="D143" s="622" t="s">
        <v>17</v>
      </c>
      <c r="E143" s="160"/>
      <c r="F143" s="161" t="s">
        <v>93</v>
      </c>
      <c r="G143" s="160"/>
      <c r="H143" s="154" t="s">
        <v>83</v>
      </c>
      <c r="I143" s="635" t="s">
        <v>382</v>
      </c>
      <c r="J143" s="154" t="s">
        <v>385</v>
      </c>
      <c r="K143" s="102"/>
      <c r="L143" s="136" t="s">
        <v>397</v>
      </c>
      <c r="M143" s="18" t="s">
        <v>202</v>
      </c>
    </row>
    <row r="144" spans="1:14" s="16" customFormat="1" ht="24" customHeight="1" x14ac:dyDescent="0.3">
      <c r="A144" s="41"/>
      <c r="B144" s="147"/>
      <c r="C144" s="154">
        <v>8</v>
      </c>
      <c r="D144" s="622"/>
      <c r="E144" s="474"/>
      <c r="F144" s="475" t="s">
        <v>93</v>
      </c>
      <c r="G144" s="474"/>
      <c r="H144" s="476" t="s">
        <v>381</v>
      </c>
      <c r="I144" s="635"/>
      <c r="J144" s="476" t="s">
        <v>386</v>
      </c>
      <c r="K144" s="102"/>
      <c r="L144" s="136" t="s">
        <v>476</v>
      </c>
      <c r="M144" s="18" t="s">
        <v>202</v>
      </c>
    </row>
    <row r="145" spans="1:13" s="16" customFormat="1" ht="24" customHeight="1" x14ac:dyDescent="0.3">
      <c r="A145" s="41"/>
      <c r="B145" s="147"/>
      <c r="C145" s="154">
        <v>8</v>
      </c>
      <c r="D145" s="622"/>
      <c r="E145" s="474"/>
      <c r="F145" s="202" t="s">
        <v>223</v>
      </c>
      <c r="G145" s="201"/>
      <c r="H145" s="203" t="s">
        <v>769</v>
      </c>
      <c r="I145" s="635"/>
      <c r="J145" s="203" t="s">
        <v>782</v>
      </c>
      <c r="K145" s="102"/>
      <c r="L145" s="136"/>
      <c r="M145" s="18"/>
    </row>
    <row r="146" spans="1:13" s="16" customFormat="1" ht="24" customHeight="1" x14ac:dyDescent="0.3">
      <c r="A146" s="41"/>
      <c r="B146" s="147"/>
      <c r="C146" s="154">
        <v>9</v>
      </c>
      <c r="D146" s="622"/>
      <c r="E146" s="160"/>
      <c r="F146" s="161" t="s">
        <v>93</v>
      </c>
      <c r="G146" s="160"/>
      <c r="H146" s="154" t="s">
        <v>384</v>
      </c>
      <c r="I146" s="635"/>
      <c r="J146" s="154" t="s">
        <v>387</v>
      </c>
      <c r="K146" s="102"/>
      <c r="L146" s="136" t="s">
        <v>398</v>
      </c>
      <c r="M146" s="18" t="s">
        <v>202</v>
      </c>
    </row>
    <row r="147" spans="1:13" s="16" customFormat="1" ht="24" customHeight="1" x14ac:dyDescent="0.3">
      <c r="A147" s="41"/>
      <c r="B147" s="147"/>
      <c r="C147" s="154">
        <v>10</v>
      </c>
      <c r="D147" s="622"/>
      <c r="E147" s="160"/>
      <c r="F147" s="202" t="s">
        <v>223</v>
      </c>
      <c r="G147" s="201"/>
      <c r="H147" s="203" t="s">
        <v>784</v>
      </c>
      <c r="I147" s="635"/>
      <c r="J147" s="203" t="s">
        <v>783</v>
      </c>
      <c r="K147" s="102"/>
      <c r="L147" s="102"/>
      <c r="M147" s="18"/>
    </row>
    <row r="148" spans="1:13" s="16" customFormat="1" ht="24" customHeight="1" x14ac:dyDescent="0.3">
      <c r="A148" s="41"/>
      <c r="B148" s="147"/>
      <c r="C148" s="154">
        <v>11</v>
      </c>
      <c r="D148" s="622"/>
      <c r="E148" s="160"/>
      <c r="F148" s="161" t="s">
        <v>93</v>
      </c>
      <c r="G148" s="160"/>
      <c r="H148" s="154" t="s">
        <v>88</v>
      </c>
      <c r="I148" s="635"/>
      <c r="J148" s="154" t="s">
        <v>388</v>
      </c>
      <c r="K148" s="102"/>
      <c r="L148" s="136" t="s">
        <v>398</v>
      </c>
      <c r="M148" s="18" t="s">
        <v>202</v>
      </c>
    </row>
    <row r="149" spans="1:13" s="16" customFormat="1" ht="24" customHeight="1" x14ac:dyDescent="0.3">
      <c r="A149" s="41"/>
      <c r="B149" s="147"/>
      <c r="C149" s="154">
        <v>12</v>
      </c>
      <c r="D149" s="622"/>
      <c r="E149" s="160"/>
      <c r="F149" s="161"/>
      <c r="G149" s="160"/>
      <c r="H149" s="154"/>
      <c r="I149" s="635"/>
      <c r="J149" s="154"/>
      <c r="K149" s="102"/>
      <c r="L149" s="136" t="s">
        <v>399</v>
      </c>
      <c r="M149" s="18" t="s">
        <v>202</v>
      </c>
    </row>
    <row r="150" spans="1:13" s="16" customFormat="1" ht="24" customHeight="1" x14ac:dyDescent="0.3">
      <c r="A150" s="143"/>
      <c r="B150" s="147"/>
      <c r="C150" s="154">
        <v>13</v>
      </c>
      <c r="D150" s="622" t="s">
        <v>17</v>
      </c>
      <c r="E150" s="160"/>
      <c r="F150" s="161" t="s">
        <v>93</v>
      </c>
      <c r="G150" s="160"/>
      <c r="H150" s="154" t="s">
        <v>122</v>
      </c>
      <c r="I150" s="635" t="s">
        <v>382</v>
      </c>
      <c r="J150" s="154" t="s">
        <v>389</v>
      </c>
      <c r="K150" s="102"/>
      <c r="L150" s="136" t="s">
        <v>400</v>
      </c>
      <c r="M150" s="18" t="s">
        <v>202</v>
      </c>
    </row>
    <row r="151" spans="1:13" s="16" customFormat="1" ht="24" customHeight="1" x14ac:dyDescent="0.3">
      <c r="A151" s="41"/>
      <c r="B151" s="147"/>
      <c r="C151" s="154">
        <v>14</v>
      </c>
      <c r="D151" s="622"/>
      <c r="E151" s="160"/>
      <c r="F151" s="161"/>
      <c r="G151" s="160"/>
      <c r="H151" s="154"/>
      <c r="I151" s="635"/>
      <c r="J151" s="154"/>
      <c r="K151" s="102"/>
      <c r="L151" s="102"/>
      <c r="M151" s="18"/>
    </row>
    <row r="152" spans="1:13" s="16" customFormat="1" ht="24" customHeight="1" x14ac:dyDescent="0.3">
      <c r="A152" s="41"/>
      <c r="B152" s="147"/>
      <c r="C152" s="154">
        <v>15</v>
      </c>
      <c r="D152" s="622"/>
      <c r="E152" s="160"/>
      <c r="F152" s="157"/>
      <c r="G152" s="154"/>
      <c r="H152" s="154"/>
      <c r="I152" s="635"/>
      <c r="J152" s="154"/>
      <c r="K152" s="102"/>
      <c r="L152" s="102"/>
      <c r="M152" s="18"/>
    </row>
    <row r="153" spans="1:13" s="16" customFormat="1" ht="24" customHeight="1" x14ac:dyDescent="0.3">
      <c r="A153" s="41"/>
      <c r="B153" s="147"/>
      <c r="C153" s="154">
        <v>16</v>
      </c>
      <c r="D153" s="622"/>
      <c r="E153" s="160"/>
      <c r="F153" s="157"/>
      <c r="G153" s="154"/>
      <c r="H153" s="154"/>
      <c r="I153" s="635"/>
      <c r="J153" s="154"/>
      <c r="K153" s="102"/>
      <c r="L153" s="102"/>
      <c r="M153" s="18"/>
    </row>
    <row r="154" spans="1:13" s="16" customFormat="1" ht="24" customHeight="1" x14ac:dyDescent="0.3">
      <c r="A154" s="41"/>
      <c r="B154" s="147"/>
      <c r="C154" s="154">
        <v>17</v>
      </c>
      <c r="D154" s="622"/>
      <c r="E154" s="205"/>
      <c r="F154" s="206"/>
      <c r="G154" s="205"/>
      <c r="H154" s="155"/>
      <c r="I154" s="635"/>
      <c r="J154" s="155"/>
      <c r="K154" s="362"/>
      <c r="L154" s="102"/>
      <c r="M154" s="18"/>
    </row>
    <row r="155" spans="1:13" s="16" customFormat="1" ht="24" customHeight="1" x14ac:dyDescent="0.3">
      <c r="A155" s="41"/>
      <c r="B155" s="147"/>
      <c r="C155" s="154">
        <v>18</v>
      </c>
      <c r="D155" s="622"/>
      <c r="E155" s="160"/>
      <c r="F155" s="161"/>
      <c r="G155" s="160"/>
      <c r="H155" s="154"/>
      <c r="I155" s="635"/>
      <c r="J155" s="154"/>
      <c r="K155" s="102"/>
      <c r="L155" s="102"/>
      <c r="M155" s="18"/>
    </row>
    <row r="156" spans="1:13" s="16" customFormat="1" ht="24" customHeight="1" x14ac:dyDescent="0.3">
      <c r="A156" s="41"/>
      <c r="B156" s="147"/>
      <c r="C156" s="154">
        <v>19</v>
      </c>
      <c r="D156" s="622" t="s">
        <v>17</v>
      </c>
      <c r="E156" s="160"/>
      <c r="F156" s="160" t="s">
        <v>223</v>
      </c>
      <c r="G156" s="160"/>
      <c r="H156" s="154" t="s">
        <v>390</v>
      </c>
      <c r="I156" s="622" t="s">
        <v>17</v>
      </c>
      <c r="J156" s="154" t="s">
        <v>391</v>
      </c>
      <c r="K156" s="102"/>
      <c r="L156" s="136" t="s">
        <v>400</v>
      </c>
      <c r="M156" s="18" t="s">
        <v>416</v>
      </c>
    </row>
    <row r="157" spans="1:13" s="16" customFormat="1" ht="24" customHeight="1" x14ac:dyDescent="0.3">
      <c r="A157" s="41"/>
      <c r="B157" s="147"/>
      <c r="C157" s="154">
        <v>20</v>
      </c>
      <c r="D157" s="622"/>
      <c r="E157" s="160"/>
      <c r="F157" s="161"/>
      <c r="G157" s="160"/>
      <c r="H157" s="154"/>
      <c r="I157" s="622"/>
      <c r="J157" s="154"/>
      <c r="K157" s="102"/>
      <c r="L157" s="102"/>
      <c r="M157" s="18"/>
    </row>
    <row r="158" spans="1:13" s="16" customFormat="1" ht="24" customHeight="1" x14ac:dyDescent="0.3">
      <c r="A158" s="41"/>
      <c r="B158" s="147"/>
      <c r="C158" s="154">
        <v>21</v>
      </c>
      <c r="D158" s="622"/>
      <c r="E158" s="160"/>
      <c r="F158" s="161"/>
      <c r="G158" s="160"/>
      <c r="H158" s="154"/>
      <c r="I158" s="622"/>
      <c r="J158" s="154"/>
      <c r="K158" s="102"/>
      <c r="L158" s="102"/>
      <c r="M158" s="18"/>
    </row>
    <row r="159" spans="1:13" s="16" customFormat="1" ht="24" customHeight="1" x14ac:dyDescent="0.3">
      <c r="A159" s="41"/>
      <c r="B159" s="147"/>
      <c r="C159" s="154">
        <v>22</v>
      </c>
      <c r="D159" s="622"/>
      <c r="E159" s="160"/>
      <c r="F159" s="161"/>
      <c r="G159" s="160"/>
      <c r="H159" s="154"/>
      <c r="I159" s="622"/>
      <c r="J159" s="154"/>
      <c r="K159" s="102"/>
      <c r="L159" s="102"/>
      <c r="M159" s="18"/>
    </row>
    <row r="160" spans="1:13" s="16" customFormat="1" ht="24" customHeight="1" x14ac:dyDescent="0.3">
      <c r="A160" s="41"/>
      <c r="B160" s="147"/>
      <c r="C160" s="154">
        <v>23</v>
      </c>
      <c r="D160" s="622"/>
      <c r="E160" s="160"/>
      <c r="F160" s="161"/>
      <c r="G160" s="160"/>
      <c r="H160" s="154"/>
      <c r="I160" s="622"/>
      <c r="J160" s="154"/>
      <c r="K160" s="102"/>
      <c r="L160" s="102"/>
      <c r="M160" s="18"/>
    </row>
    <row r="161" spans="1:13" s="16" customFormat="1" ht="24" customHeight="1" x14ac:dyDescent="0.3">
      <c r="A161" s="41"/>
      <c r="B161" s="147"/>
      <c r="C161" s="154">
        <v>24</v>
      </c>
      <c r="D161" s="622"/>
      <c r="E161" s="160"/>
      <c r="F161" s="161"/>
      <c r="G161" s="160"/>
      <c r="H161" s="154"/>
      <c r="I161" s="622"/>
      <c r="J161" s="154"/>
      <c r="K161" s="102"/>
      <c r="L161" s="102"/>
      <c r="M161" s="18"/>
    </row>
    <row r="162" spans="1:13" s="16" customFormat="1" ht="24" customHeight="1" x14ac:dyDescent="0.3">
      <c r="A162" s="41"/>
      <c r="B162" s="147"/>
      <c r="C162" s="154">
        <v>25</v>
      </c>
      <c r="D162" s="622"/>
      <c r="E162" s="160"/>
      <c r="F162" s="161"/>
      <c r="G162" s="169"/>
      <c r="H162" s="154"/>
      <c r="I162" s="622" t="s">
        <v>17</v>
      </c>
      <c r="J162" s="154"/>
      <c r="K162" s="102"/>
      <c r="L162" s="102"/>
      <c r="M162" s="18"/>
    </row>
    <row r="163" spans="1:13" s="16" customFormat="1" ht="24" customHeight="1" x14ac:dyDescent="0.3">
      <c r="A163" s="41"/>
      <c r="B163" s="147"/>
      <c r="C163" s="154">
        <v>26</v>
      </c>
      <c r="D163" s="622"/>
      <c r="E163" s="160"/>
      <c r="F163" s="170"/>
      <c r="G163" s="160"/>
      <c r="H163" s="154"/>
      <c r="I163" s="622"/>
      <c r="J163" s="154"/>
      <c r="K163" s="102"/>
      <c r="L163" s="102"/>
      <c r="M163" s="18"/>
    </row>
    <row r="164" spans="1:13" s="16" customFormat="1" ht="24" customHeight="1" x14ac:dyDescent="0.3">
      <c r="A164" s="41"/>
      <c r="B164" s="147"/>
      <c r="C164" s="154">
        <v>27</v>
      </c>
      <c r="D164" s="622"/>
      <c r="E164" s="160"/>
      <c r="F164" s="161"/>
      <c r="G164" s="160"/>
      <c r="H164" s="154"/>
      <c r="I164" s="622"/>
      <c r="J164" s="154"/>
      <c r="K164" s="102"/>
      <c r="L164" s="102"/>
      <c r="M164" s="18"/>
    </row>
    <row r="165" spans="1:13" s="16" customFormat="1" ht="24" customHeight="1" x14ac:dyDescent="0.3">
      <c r="A165" s="41"/>
      <c r="B165" s="147"/>
      <c r="C165" s="154">
        <v>28</v>
      </c>
      <c r="D165" s="622"/>
      <c r="E165" s="160"/>
      <c r="F165" s="161"/>
      <c r="G165" s="160"/>
      <c r="H165" s="154"/>
      <c r="I165" s="622"/>
      <c r="J165" s="154"/>
      <c r="K165" s="102"/>
      <c r="L165" s="102"/>
      <c r="M165" s="18"/>
    </row>
    <row r="166" spans="1:13" s="16" customFormat="1" ht="24" customHeight="1" x14ac:dyDescent="0.3">
      <c r="A166" s="41"/>
      <c r="B166" s="147"/>
      <c r="C166" s="154">
        <v>29</v>
      </c>
      <c r="D166" s="622"/>
      <c r="E166" s="160"/>
      <c r="F166" s="161"/>
      <c r="G166" s="160"/>
      <c r="H166" s="154"/>
      <c r="I166" s="622"/>
      <c r="J166" s="154"/>
      <c r="K166" s="102"/>
      <c r="L166" s="102"/>
      <c r="M166" s="18"/>
    </row>
    <row r="167" spans="1:13" s="16" customFormat="1" ht="24" customHeight="1" x14ac:dyDescent="0.3">
      <c r="A167" s="144"/>
      <c r="B167" s="151"/>
      <c r="C167" s="162">
        <v>30</v>
      </c>
      <c r="D167" s="622"/>
      <c r="E167" s="163"/>
      <c r="F167" s="171"/>
      <c r="G167" s="163"/>
      <c r="H167" s="162"/>
      <c r="I167" s="622"/>
      <c r="J167" s="162"/>
      <c r="K167" s="102"/>
      <c r="L167" s="102"/>
      <c r="M167" s="18"/>
    </row>
    <row r="168" spans="1:13" s="16" customFormat="1" ht="24" customHeight="1" x14ac:dyDescent="0.3">
      <c r="A168" s="140" t="s">
        <v>22</v>
      </c>
      <c r="B168" s="145" t="s">
        <v>50</v>
      </c>
      <c r="C168" s="172">
        <v>1</v>
      </c>
      <c r="D168" s="622" t="s">
        <v>17</v>
      </c>
      <c r="E168" s="173"/>
      <c r="F168" s="174"/>
      <c r="G168" s="173"/>
      <c r="H168" s="172"/>
      <c r="I168" s="622" t="s">
        <v>17</v>
      </c>
      <c r="J168" s="172"/>
      <c r="K168" s="102"/>
      <c r="L168" s="102"/>
      <c r="M168" s="53"/>
    </row>
    <row r="169" spans="1:13" s="16" customFormat="1" ht="24" customHeight="1" x14ac:dyDescent="0.3">
      <c r="A169" s="620" t="s">
        <v>84</v>
      </c>
      <c r="B169" s="621"/>
      <c r="C169" s="154">
        <v>2</v>
      </c>
      <c r="D169" s="622"/>
      <c r="E169" s="160"/>
      <c r="F169" s="161"/>
      <c r="G169" s="154"/>
      <c r="H169" s="154"/>
      <c r="I169" s="622"/>
      <c r="J169" s="154"/>
      <c r="K169" s="102"/>
      <c r="L169" s="102"/>
      <c r="M169" s="53"/>
    </row>
    <row r="170" spans="1:13" s="16" customFormat="1" ht="24" customHeight="1" x14ac:dyDescent="0.3">
      <c r="A170" s="613" t="s">
        <v>452</v>
      </c>
      <c r="B170" s="614"/>
      <c r="C170" s="154">
        <v>3</v>
      </c>
      <c r="D170" s="622"/>
      <c r="E170" s="160"/>
      <c r="F170" s="161"/>
      <c r="G170" s="160"/>
      <c r="H170" s="154"/>
      <c r="I170" s="622"/>
      <c r="J170" s="154"/>
      <c r="K170" s="102"/>
      <c r="L170" s="102"/>
      <c r="M170" s="18"/>
    </row>
    <row r="171" spans="1:13" s="16" customFormat="1" ht="24" customHeight="1" x14ac:dyDescent="0.3">
      <c r="A171" s="41"/>
      <c r="B171" s="147"/>
      <c r="C171" s="154">
        <v>4</v>
      </c>
      <c r="D171" s="622"/>
      <c r="E171" s="160"/>
      <c r="F171" s="161"/>
      <c r="G171" s="160"/>
      <c r="H171" s="154"/>
      <c r="I171" s="622"/>
      <c r="J171" s="154"/>
      <c r="K171" s="102"/>
      <c r="L171" s="102"/>
      <c r="M171" s="18"/>
    </row>
    <row r="172" spans="1:13" s="16" customFormat="1" ht="24" customHeight="1" x14ac:dyDescent="0.3">
      <c r="A172" s="41"/>
      <c r="B172" s="147"/>
      <c r="C172" s="154">
        <v>5</v>
      </c>
      <c r="D172" s="622"/>
      <c r="E172" s="160"/>
      <c r="F172" s="161"/>
      <c r="G172" s="160"/>
      <c r="H172" s="154"/>
      <c r="I172" s="622"/>
      <c r="J172" s="154"/>
      <c r="K172" s="102"/>
      <c r="L172" s="102"/>
      <c r="M172" s="53"/>
    </row>
    <row r="173" spans="1:13" s="16" customFormat="1" ht="24" customHeight="1" x14ac:dyDescent="0.3">
      <c r="A173" s="41"/>
      <c r="B173" s="147"/>
      <c r="C173" s="154">
        <v>6</v>
      </c>
      <c r="D173" s="622"/>
      <c r="E173" s="160"/>
      <c r="F173" s="161"/>
      <c r="G173" s="160"/>
      <c r="H173" s="154"/>
      <c r="I173" s="622"/>
      <c r="J173" s="154"/>
      <c r="K173" s="102"/>
      <c r="L173" s="102"/>
      <c r="M173" s="53"/>
    </row>
    <row r="174" spans="1:13" s="16" customFormat="1" ht="24" customHeight="1" x14ac:dyDescent="0.3">
      <c r="A174" s="41"/>
      <c r="B174" s="147"/>
      <c r="C174" s="154">
        <v>7</v>
      </c>
      <c r="D174" s="622" t="s">
        <v>17</v>
      </c>
      <c r="E174" s="160"/>
      <c r="F174" s="161"/>
      <c r="G174" s="160"/>
      <c r="H174" s="154"/>
      <c r="I174" s="622" t="s">
        <v>17</v>
      </c>
      <c r="J174" s="154"/>
      <c r="K174" s="102"/>
      <c r="L174" s="102"/>
      <c r="M174" s="51"/>
    </row>
    <row r="175" spans="1:13" s="16" customFormat="1" ht="24" customHeight="1" x14ac:dyDescent="0.3">
      <c r="A175" s="41"/>
      <c r="B175" s="147"/>
      <c r="C175" s="154">
        <v>8</v>
      </c>
      <c r="D175" s="622"/>
      <c r="E175" s="160"/>
      <c r="F175" s="161"/>
      <c r="G175" s="160"/>
      <c r="H175" s="154"/>
      <c r="I175" s="622"/>
      <c r="J175" s="154"/>
      <c r="K175" s="102"/>
      <c r="L175" s="101"/>
      <c r="M175" s="51"/>
    </row>
    <row r="176" spans="1:13" s="16" customFormat="1" ht="24" customHeight="1" x14ac:dyDescent="0.3">
      <c r="A176" s="41"/>
      <c r="B176" s="147"/>
      <c r="C176" s="154">
        <v>9</v>
      </c>
      <c r="D176" s="622"/>
      <c r="E176" s="160"/>
      <c r="F176" s="161"/>
      <c r="G176" s="160"/>
      <c r="H176" s="154"/>
      <c r="I176" s="622"/>
      <c r="J176" s="154"/>
      <c r="K176" s="102"/>
      <c r="L176" s="101"/>
      <c r="M176" s="51"/>
    </row>
    <row r="177" spans="1:13" s="16" customFormat="1" ht="24" customHeight="1" x14ac:dyDescent="0.3">
      <c r="A177" s="41"/>
      <c r="B177" s="147"/>
      <c r="C177" s="154">
        <v>10</v>
      </c>
      <c r="D177" s="622"/>
      <c r="E177" s="160"/>
      <c r="F177" s="161"/>
      <c r="G177" s="160"/>
      <c r="H177" s="154"/>
      <c r="I177" s="622"/>
      <c r="J177" s="154"/>
      <c r="K177" s="102"/>
      <c r="L177" s="101"/>
      <c r="M177" s="51"/>
    </row>
    <row r="178" spans="1:13" s="16" customFormat="1" ht="24" customHeight="1" x14ac:dyDescent="0.3">
      <c r="A178" s="41"/>
      <c r="B178" s="147"/>
      <c r="C178" s="154">
        <v>11</v>
      </c>
      <c r="D178" s="622"/>
      <c r="E178" s="160"/>
      <c r="F178" s="161"/>
      <c r="G178" s="160"/>
      <c r="H178" s="154"/>
      <c r="I178" s="622"/>
      <c r="J178" s="154"/>
      <c r="K178" s="102"/>
      <c r="L178" s="102"/>
      <c r="M178" s="51"/>
    </row>
    <row r="179" spans="1:13" s="16" customFormat="1" ht="24" customHeight="1" x14ac:dyDescent="0.3">
      <c r="A179" s="41"/>
      <c r="B179" s="147"/>
      <c r="C179" s="154">
        <v>12</v>
      </c>
      <c r="D179" s="622"/>
      <c r="E179" s="160"/>
      <c r="F179" s="161"/>
      <c r="G179" s="160"/>
      <c r="H179" s="154"/>
      <c r="I179" s="622"/>
      <c r="J179" s="154"/>
      <c r="K179" s="102"/>
      <c r="L179" s="102"/>
      <c r="M179" s="51"/>
    </row>
    <row r="180" spans="1:13" s="16" customFormat="1" ht="24" customHeight="1" x14ac:dyDescent="0.3">
      <c r="A180" s="41"/>
      <c r="B180" s="147"/>
      <c r="C180" s="154">
        <v>13</v>
      </c>
      <c r="D180" s="622" t="s">
        <v>17</v>
      </c>
      <c r="E180" s="160"/>
      <c r="F180" s="170"/>
      <c r="G180" s="160"/>
      <c r="H180" s="154"/>
      <c r="I180" s="622" t="s">
        <v>17</v>
      </c>
      <c r="J180" s="154"/>
      <c r="K180" s="102"/>
      <c r="L180" s="102"/>
      <c r="M180" s="51"/>
    </row>
    <row r="181" spans="1:13" s="16" customFormat="1" ht="24" customHeight="1" x14ac:dyDescent="0.3">
      <c r="A181" s="41"/>
      <c r="B181" s="147"/>
      <c r="C181" s="154">
        <v>14</v>
      </c>
      <c r="D181" s="622"/>
      <c r="E181" s="160"/>
      <c r="F181" s="161"/>
      <c r="G181" s="160"/>
      <c r="H181" s="154"/>
      <c r="I181" s="622"/>
      <c r="J181" s="154"/>
      <c r="K181" s="102"/>
      <c r="L181" s="101"/>
      <c r="M181" s="51"/>
    </row>
    <row r="182" spans="1:13" s="16" customFormat="1" ht="24" customHeight="1" x14ac:dyDescent="0.3">
      <c r="A182" s="41"/>
      <c r="B182" s="147"/>
      <c r="C182" s="154">
        <v>15</v>
      </c>
      <c r="D182" s="622"/>
      <c r="E182" s="160"/>
      <c r="F182" s="161"/>
      <c r="G182" s="160"/>
      <c r="H182" s="154"/>
      <c r="I182" s="622"/>
      <c r="J182" s="154"/>
      <c r="K182" s="102"/>
      <c r="L182" s="101"/>
      <c r="M182" s="51"/>
    </row>
    <row r="183" spans="1:13" s="16" customFormat="1" ht="24" customHeight="1" x14ac:dyDescent="0.3">
      <c r="A183" s="41"/>
      <c r="B183" s="147"/>
      <c r="C183" s="154">
        <v>16</v>
      </c>
      <c r="D183" s="622"/>
      <c r="E183" s="160"/>
      <c r="F183" s="154"/>
      <c r="G183" s="175"/>
      <c r="H183" s="154"/>
      <c r="I183" s="622"/>
      <c r="J183" s="154"/>
      <c r="K183" s="102"/>
      <c r="L183" s="102"/>
      <c r="M183" s="51"/>
    </row>
    <row r="184" spans="1:13" s="16" customFormat="1" ht="24" customHeight="1" x14ac:dyDescent="0.3">
      <c r="A184" s="41"/>
      <c r="B184" s="147"/>
      <c r="C184" s="154">
        <v>17</v>
      </c>
      <c r="D184" s="622"/>
      <c r="E184" s="160"/>
      <c r="F184" s="161"/>
      <c r="G184" s="175"/>
      <c r="H184" s="154"/>
      <c r="I184" s="622"/>
      <c r="J184" s="154"/>
      <c r="K184" s="102"/>
      <c r="L184" s="102"/>
      <c r="M184" s="51"/>
    </row>
    <row r="185" spans="1:13" s="16" customFormat="1" ht="24" customHeight="1" x14ac:dyDescent="0.3">
      <c r="A185" s="41"/>
      <c r="B185" s="147"/>
      <c r="C185" s="154">
        <v>18</v>
      </c>
      <c r="D185" s="622"/>
      <c r="E185" s="160"/>
      <c r="F185" s="161"/>
      <c r="G185" s="175"/>
      <c r="H185" s="154"/>
      <c r="I185" s="622"/>
      <c r="J185" s="154"/>
      <c r="K185" s="102"/>
      <c r="L185" s="102"/>
      <c r="M185" s="51"/>
    </row>
    <row r="186" spans="1:13" s="16" customFormat="1" ht="24" customHeight="1" x14ac:dyDescent="0.3">
      <c r="A186" s="41"/>
      <c r="B186" s="147"/>
      <c r="C186" s="154">
        <v>19</v>
      </c>
      <c r="D186" s="622" t="s">
        <v>17</v>
      </c>
      <c r="E186" s="160"/>
      <c r="F186" s="154"/>
      <c r="G186" s="154"/>
      <c r="H186" s="154"/>
      <c r="I186" s="629" t="s">
        <v>103</v>
      </c>
      <c r="J186" s="154"/>
      <c r="K186" s="102"/>
      <c r="L186" s="102"/>
      <c r="M186" s="51"/>
    </row>
    <row r="187" spans="1:13" s="16" customFormat="1" ht="24" customHeight="1" x14ac:dyDescent="0.3">
      <c r="A187" s="41"/>
      <c r="B187" s="147"/>
      <c r="C187" s="154">
        <v>20</v>
      </c>
      <c r="D187" s="622"/>
      <c r="E187" s="160"/>
      <c r="F187" s="154"/>
      <c r="G187" s="154"/>
      <c r="H187" s="154"/>
      <c r="I187" s="629"/>
      <c r="J187" s="154"/>
      <c r="K187" s="102"/>
      <c r="L187" s="102"/>
      <c r="M187" s="51"/>
    </row>
    <row r="188" spans="1:13" s="16" customFormat="1" ht="24" customHeight="1" x14ac:dyDescent="0.3">
      <c r="A188" s="41"/>
      <c r="B188" s="147"/>
      <c r="C188" s="154">
        <v>21</v>
      </c>
      <c r="D188" s="622"/>
      <c r="E188" s="160"/>
      <c r="F188" s="161"/>
      <c r="G188" s="160"/>
      <c r="H188" s="154"/>
      <c r="I188" s="629"/>
      <c r="J188" s="154"/>
      <c r="K188" s="102"/>
      <c r="L188" s="102"/>
      <c r="M188" s="51"/>
    </row>
    <row r="189" spans="1:13" s="16" customFormat="1" ht="24" customHeight="1" x14ac:dyDescent="0.3">
      <c r="A189" s="41"/>
      <c r="B189" s="147"/>
      <c r="C189" s="154">
        <v>22</v>
      </c>
      <c r="D189" s="622"/>
      <c r="E189" s="160"/>
      <c r="F189" s="161"/>
      <c r="G189" s="160"/>
      <c r="H189" s="154"/>
      <c r="I189" s="629"/>
      <c r="J189" s="154"/>
      <c r="K189" s="102"/>
      <c r="L189" s="102"/>
      <c r="M189" s="51"/>
    </row>
    <row r="190" spans="1:13" s="16" customFormat="1" ht="24" customHeight="1" x14ac:dyDescent="0.3">
      <c r="A190" s="41"/>
      <c r="B190" s="147"/>
      <c r="C190" s="154">
        <v>23</v>
      </c>
      <c r="D190" s="622"/>
      <c r="E190" s="160"/>
      <c r="F190" s="161"/>
      <c r="G190" s="160"/>
      <c r="H190" s="154"/>
      <c r="I190" s="629"/>
      <c r="J190" s="154"/>
      <c r="K190" s="102"/>
      <c r="L190" s="102"/>
      <c r="M190" s="51"/>
    </row>
    <row r="191" spans="1:13" s="16" customFormat="1" ht="24" customHeight="1" x14ac:dyDescent="0.3">
      <c r="A191" s="41"/>
      <c r="B191" s="147"/>
      <c r="C191" s="154">
        <v>24</v>
      </c>
      <c r="D191" s="622"/>
      <c r="E191" s="160"/>
      <c r="F191" s="161"/>
      <c r="G191" s="160"/>
      <c r="H191" s="154"/>
      <c r="I191" s="629"/>
      <c r="J191" s="154"/>
      <c r="K191" s="102"/>
      <c r="L191" s="102"/>
      <c r="M191" s="51"/>
    </row>
    <row r="192" spans="1:13" s="16" customFormat="1" ht="24" customHeight="1" x14ac:dyDescent="0.3">
      <c r="A192" s="41"/>
      <c r="B192" s="147"/>
      <c r="C192" s="154">
        <v>25</v>
      </c>
      <c r="D192" s="633" t="s">
        <v>191</v>
      </c>
      <c r="E192" s="160"/>
      <c r="F192" s="161"/>
      <c r="G192" s="160"/>
      <c r="H192" s="154"/>
      <c r="I192" s="633" t="s">
        <v>191</v>
      </c>
      <c r="J192" s="154"/>
      <c r="K192" s="102"/>
      <c r="L192" s="102"/>
      <c r="M192" s="51"/>
    </row>
    <row r="193" spans="1:13" s="16" customFormat="1" ht="24" customHeight="1" x14ac:dyDescent="0.3">
      <c r="A193" s="41"/>
      <c r="B193" s="147"/>
      <c r="C193" s="154">
        <v>26</v>
      </c>
      <c r="D193" s="633"/>
      <c r="E193" s="160"/>
      <c r="F193" s="161"/>
      <c r="G193" s="160"/>
      <c r="H193" s="154"/>
      <c r="I193" s="633"/>
      <c r="J193" s="154"/>
      <c r="K193" s="102"/>
      <c r="L193" s="102"/>
      <c r="M193" s="51"/>
    </row>
    <row r="194" spans="1:13" s="16" customFormat="1" ht="24" customHeight="1" x14ac:dyDescent="0.3">
      <c r="A194" s="41"/>
      <c r="B194" s="147"/>
      <c r="C194" s="154">
        <v>27</v>
      </c>
      <c r="D194" s="633"/>
      <c r="E194" s="160"/>
      <c r="F194" s="161"/>
      <c r="G194" s="160"/>
      <c r="H194" s="154"/>
      <c r="I194" s="633"/>
      <c r="J194" s="154"/>
      <c r="K194" s="102"/>
      <c r="L194" s="101"/>
      <c r="M194" s="51"/>
    </row>
    <row r="195" spans="1:13" s="16" customFormat="1" ht="24" customHeight="1" x14ac:dyDescent="0.3">
      <c r="A195" s="41"/>
      <c r="B195" s="147"/>
      <c r="C195" s="154">
        <v>28</v>
      </c>
      <c r="D195" s="633"/>
      <c r="E195" s="160"/>
      <c r="F195" s="161"/>
      <c r="G195" s="160"/>
      <c r="H195" s="154"/>
      <c r="I195" s="633"/>
      <c r="J195" s="154"/>
      <c r="K195" s="102"/>
      <c r="L195" s="102"/>
      <c r="M195" s="51"/>
    </row>
    <row r="196" spans="1:13" s="16" customFormat="1" ht="24" customHeight="1" x14ac:dyDescent="0.3">
      <c r="A196" s="41"/>
      <c r="B196" s="147"/>
      <c r="C196" s="154">
        <v>29</v>
      </c>
      <c r="D196" s="633"/>
      <c r="E196" s="160"/>
      <c r="F196" s="161"/>
      <c r="G196" s="160"/>
      <c r="H196" s="154"/>
      <c r="I196" s="633"/>
      <c r="J196" s="154"/>
      <c r="K196" s="102"/>
      <c r="L196" s="102"/>
      <c r="M196" s="51"/>
    </row>
    <row r="197" spans="1:13" s="16" customFormat="1" ht="24" customHeight="1" x14ac:dyDescent="0.3">
      <c r="A197" s="139"/>
      <c r="B197" s="148"/>
      <c r="C197" s="158">
        <v>30</v>
      </c>
      <c r="D197" s="633"/>
      <c r="E197" s="165"/>
      <c r="F197" s="166"/>
      <c r="G197" s="165"/>
      <c r="H197" s="158" t="s">
        <v>203</v>
      </c>
      <c r="I197" s="633"/>
      <c r="J197" s="158" t="s">
        <v>203</v>
      </c>
      <c r="K197" s="102"/>
      <c r="L197" s="102"/>
      <c r="M197" s="53"/>
    </row>
    <row r="198" spans="1:13" s="16" customFormat="1" ht="24" customHeight="1" x14ac:dyDescent="0.3">
      <c r="A198" s="141" t="s">
        <v>22</v>
      </c>
      <c r="B198" s="149" t="s">
        <v>82</v>
      </c>
      <c r="C198" s="152">
        <v>1</v>
      </c>
      <c r="D198" s="622" t="s">
        <v>17</v>
      </c>
      <c r="E198" s="167"/>
      <c r="F198" s="168"/>
      <c r="G198" s="167"/>
      <c r="H198" s="152"/>
      <c r="I198" s="622" t="s">
        <v>17</v>
      </c>
      <c r="J198" s="152"/>
      <c r="K198" s="102"/>
      <c r="L198" s="102"/>
      <c r="M198" s="51"/>
    </row>
    <row r="199" spans="1:13" s="16" customFormat="1" ht="24" customHeight="1" x14ac:dyDescent="0.3">
      <c r="A199" s="620" t="s">
        <v>84</v>
      </c>
      <c r="B199" s="621"/>
      <c r="C199" s="154">
        <v>2</v>
      </c>
      <c r="D199" s="622"/>
      <c r="E199" s="160"/>
      <c r="F199" s="161"/>
      <c r="G199" s="154"/>
      <c r="H199" s="154"/>
      <c r="I199" s="622"/>
      <c r="J199" s="154"/>
      <c r="K199" s="102"/>
      <c r="L199" s="102"/>
      <c r="M199" s="51"/>
    </row>
    <row r="200" spans="1:13" s="16" customFormat="1" ht="24" customHeight="1" x14ac:dyDescent="0.3">
      <c r="A200" s="613" t="s">
        <v>452</v>
      </c>
      <c r="B200" s="614"/>
      <c r="C200" s="154">
        <v>3</v>
      </c>
      <c r="D200" s="622"/>
      <c r="E200" s="160"/>
      <c r="F200" s="161"/>
      <c r="G200" s="160"/>
      <c r="H200" s="154"/>
      <c r="I200" s="622"/>
      <c r="J200" s="154"/>
      <c r="K200" s="102"/>
      <c r="L200" s="102"/>
      <c r="M200" s="51"/>
    </row>
    <row r="201" spans="1:13" s="16" customFormat="1" ht="24" customHeight="1" x14ac:dyDescent="0.3">
      <c r="A201" s="41"/>
      <c r="B201" s="147"/>
      <c r="C201" s="154">
        <v>4</v>
      </c>
      <c r="D201" s="622"/>
      <c r="E201" s="160"/>
      <c r="F201" s="161"/>
      <c r="G201" s="160"/>
      <c r="H201" s="154"/>
      <c r="I201" s="622"/>
      <c r="J201" s="154"/>
      <c r="K201" s="102"/>
      <c r="L201" s="102"/>
      <c r="M201" s="51"/>
    </row>
    <row r="202" spans="1:13" s="16" customFormat="1" ht="24" customHeight="1" x14ac:dyDescent="0.3">
      <c r="A202" s="41"/>
      <c r="B202" s="147"/>
      <c r="C202" s="154">
        <v>5</v>
      </c>
      <c r="D202" s="622"/>
      <c r="E202" s="160"/>
      <c r="F202" s="206"/>
      <c r="G202" s="205"/>
      <c r="H202" s="155"/>
      <c r="I202" s="622"/>
      <c r="J202" s="155"/>
      <c r="K202" s="102"/>
      <c r="L202" s="102"/>
      <c r="M202" s="51"/>
    </row>
    <row r="203" spans="1:13" s="16" customFormat="1" ht="24" customHeight="1" x14ac:dyDescent="0.3">
      <c r="A203" s="41"/>
      <c r="B203" s="147"/>
      <c r="C203" s="154">
        <v>6</v>
      </c>
      <c r="D203" s="622"/>
      <c r="E203" s="227" t="s">
        <v>444</v>
      </c>
      <c r="F203" s="228" t="s">
        <v>223</v>
      </c>
      <c r="G203" s="227" t="s">
        <v>27</v>
      </c>
      <c r="H203" s="226" t="s">
        <v>255</v>
      </c>
      <c r="I203" s="622"/>
      <c r="J203" s="226" t="s">
        <v>895</v>
      </c>
      <c r="K203" s="361"/>
      <c r="L203" s="209" t="s">
        <v>369</v>
      </c>
      <c r="M203" s="51"/>
    </row>
    <row r="204" spans="1:13" s="16" customFormat="1" ht="24" customHeight="1" x14ac:dyDescent="0.3">
      <c r="A204" s="41"/>
      <c r="B204" s="147"/>
      <c r="C204" s="154">
        <v>7</v>
      </c>
      <c r="D204" s="622" t="s">
        <v>73</v>
      </c>
      <c r="E204" s="160"/>
      <c r="F204" s="536" t="s">
        <v>93</v>
      </c>
      <c r="G204" s="160"/>
      <c r="H204" s="537" t="s">
        <v>918</v>
      </c>
      <c r="I204" s="632" t="s">
        <v>103</v>
      </c>
      <c r="J204" s="154"/>
      <c r="K204" s="363"/>
      <c r="L204" s="209" t="s">
        <v>562</v>
      </c>
      <c r="M204" s="53"/>
    </row>
    <row r="205" spans="1:13" s="16" customFormat="1" ht="24" customHeight="1" x14ac:dyDescent="0.3">
      <c r="A205" s="41"/>
      <c r="B205" s="147"/>
      <c r="C205" s="154">
        <v>8</v>
      </c>
      <c r="D205" s="622"/>
      <c r="E205" s="160"/>
      <c r="F205" s="536" t="s">
        <v>93</v>
      </c>
      <c r="G205" s="160"/>
      <c r="H205" s="538" t="s">
        <v>919</v>
      </c>
      <c r="I205" s="632"/>
      <c r="J205" s="154"/>
      <c r="K205" s="102"/>
      <c r="L205" s="102"/>
      <c r="M205" s="53"/>
    </row>
    <row r="206" spans="1:13" s="16" customFormat="1" ht="24" customHeight="1" x14ac:dyDescent="0.3">
      <c r="A206" s="41"/>
      <c r="B206" s="147"/>
      <c r="C206" s="154">
        <v>9</v>
      </c>
      <c r="D206" s="622"/>
      <c r="E206" s="160"/>
      <c r="F206" s="536" t="s">
        <v>93</v>
      </c>
      <c r="G206" s="160"/>
      <c r="H206" s="538" t="s">
        <v>920</v>
      </c>
      <c r="I206" s="632"/>
      <c r="J206" s="154"/>
      <c r="K206" s="102"/>
      <c r="L206" s="102"/>
      <c r="M206" s="53"/>
    </row>
    <row r="207" spans="1:13" s="16" customFormat="1" ht="24" customHeight="1" x14ac:dyDescent="0.3">
      <c r="A207" s="41"/>
      <c r="B207" s="147"/>
      <c r="C207" s="154">
        <v>10</v>
      </c>
      <c r="D207" s="622"/>
      <c r="E207" s="160"/>
      <c r="F207" s="536" t="s">
        <v>93</v>
      </c>
      <c r="G207" s="160"/>
      <c r="H207" s="539" t="s">
        <v>921</v>
      </c>
      <c r="I207" s="632"/>
      <c r="J207" s="154"/>
      <c r="K207" s="102"/>
      <c r="L207" s="102"/>
      <c r="M207" s="51"/>
    </row>
    <row r="208" spans="1:13" s="16" customFormat="1" ht="24" customHeight="1" x14ac:dyDescent="0.3">
      <c r="A208" s="41"/>
      <c r="B208" s="147"/>
      <c r="C208" s="154">
        <v>11</v>
      </c>
      <c r="D208" s="622"/>
      <c r="E208" s="160"/>
      <c r="F208" s="206"/>
      <c r="G208" s="205"/>
      <c r="H208" s="155"/>
      <c r="I208" s="632"/>
      <c r="J208" s="155"/>
      <c r="K208" s="102"/>
      <c r="L208" s="102"/>
      <c r="M208" s="18"/>
    </row>
    <row r="209" spans="1:13" s="16" customFormat="1" ht="24" customHeight="1" x14ac:dyDescent="0.3">
      <c r="A209" s="41"/>
      <c r="B209" s="147"/>
      <c r="C209" s="154">
        <v>12</v>
      </c>
      <c r="D209" s="622"/>
      <c r="E209" s="160"/>
      <c r="F209" s="206"/>
      <c r="G209" s="205"/>
      <c r="H209" s="155"/>
      <c r="I209" s="632"/>
      <c r="J209" s="155"/>
      <c r="K209" s="102"/>
      <c r="L209" s="102"/>
      <c r="M209" s="18"/>
    </row>
    <row r="210" spans="1:13" s="16" customFormat="1" ht="24" customHeight="1" x14ac:dyDescent="0.3">
      <c r="A210" s="41"/>
      <c r="B210" s="147"/>
      <c r="C210" s="154">
        <v>13</v>
      </c>
      <c r="D210" s="622" t="s">
        <v>73</v>
      </c>
      <c r="E210" s="160"/>
      <c r="F210" s="206"/>
      <c r="G210" s="205"/>
      <c r="H210" s="155"/>
      <c r="I210" s="622" t="s">
        <v>73</v>
      </c>
      <c r="J210" s="155"/>
      <c r="K210" s="102"/>
      <c r="L210" s="102"/>
      <c r="M210" s="51"/>
    </row>
    <row r="211" spans="1:13" s="16" customFormat="1" ht="24" customHeight="1" x14ac:dyDescent="0.3">
      <c r="A211" s="41"/>
      <c r="B211" s="147"/>
      <c r="C211" s="154">
        <v>14</v>
      </c>
      <c r="D211" s="622"/>
      <c r="E211" s="160"/>
      <c r="F211" s="161"/>
      <c r="G211" s="160"/>
      <c r="H211" s="154"/>
      <c r="I211" s="622"/>
      <c r="J211" s="154"/>
      <c r="K211" s="102"/>
      <c r="L211" s="101"/>
      <c r="M211" s="51"/>
    </row>
    <row r="212" spans="1:13" s="16" customFormat="1" ht="24" customHeight="1" x14ac:dyDescent="0.3">
      <c r="A212" s="41"/>
      <c r="B212" s="147"/>
      <c r="C212" s="154">
        <v>15</v>
      </c>
      <c r="D212" s="622"/>
      <c r="E212" s="160"/>
      <c r="F212" s="161" t="s">
        <v>93</v>
      </c>
      <c r="G212" s="160"/>
      <c r="H212" s="154" t="s">
        <v>244</v>
      </c>
      <c r="I212" s="622"/>
      <c r="J212" s="154" t="s">
        <v>229</v>
      </c>
      <c r="K212" s="102"/>
      <c r="L212" s="101"/>
      <c r="M212" s="51"/>
    </row>
    <row r="213" spans="1:13" s="16" customFormat="1" ht="24" customHeight="1" x14ac:dyDescent="0.3">
      <c r="A213" s="41"/>
      <c r="B213" s="147"/>
      <c r="C213" s="154">
        <v>16</v>
      </c>
      <c r="D213" s="622"/>
      <c r="E213" s="160" t="s">
        <v>121</v>
      </c>
      <c r="F213" s="486" t="s">
        <v>223</v>
      </c>
      <c r="G213" s="487" t="s">
        <v>27</v>
      </c>
      <c r="H213" s="488" t="s">
        <v>793</v>
      </c>
      <c r="I213" s="622"/>
      <c r="J213" s="488"/>
      <c r="K213" s="489" t="s">
        <v>796</v>
      </c>
      <c r="L213" s="102"/>
      <c r="M213" s="51"/>
    </row>
    <row r="214" spans="1:13" s="16" customFormat="1" ht="24" customHeight="1" x14ac:dyDescent="0.3">
      <c r="A214" s="41"/>
      <c r="B214" s="147"/>
      <c r="C214" s="154">
        <v>17</v>
      </c>
      <c r="D214" s="622"/>
      <c r="E214" s="160" t="s">
        <v>121</v>
      </c>
      <c r="F214" s="486" t="s">
        <v>223</v>
      </c>
      <c r="G214" s="487" t="s">
        <v>29</v>
      </c>
      <c r="H214" s="488" t="s">
        <v>794</v>
      </c>
      <c r="I214" s="622"/>
      <c r="J214" s="488"/>
      <c r="K214" s="489" t="s">
        <v>796</v>
      </c>
      <c r="L214" s="102"/>
      <c r="M214" s="51"/>
    </row>
    <row r="215" spans="1:13" s="16" customFormat="1" ht="24" customHeight="1" x14ac:dyDescent="0.3">
      <c r="A215" s="41"/>
      <c r="B215" s="147"/>
      <c r="C215" s="154">
        <v>18</v>
      </c>
      <c r="D215" s="622"/>
      <c r="E215" s="215" t="s">
        <v>121</v>
      </c>
      <c r="F215" s="216" t="s">
        <v>223</v>
      </c>
      <c r="G215" s="215"/>
      <c r="H215" s="217" t="s">
        <v>415</v>
      </c>
      <c r="I215" s="622"/>
      <c r="J215" s="217" t="s">
        <v>413</v>
      </c>
      <c r="K215" s="364"/>
      <c r="L215" s="209" t="s">
        <v>369</v>
      </c>
      <c r="M215" s="51"/>
    </row>
    <row r="216" spans="1:13" s="16" customFormat="1" ht="24" customHeight="1" x14ac:dyDescent="0.3">
      <c r="A216" s="41"/>
      <c r="B216" s="147"/>
      <c r="C216" s="154">
        <v>19</v>
      </c>
      <c r="D216" s="622" t="s">
        <v>103</v>
      </c>
      <c r="E216" s="160"/>
      <c r="F216" s="540" t="s">
        <v>577</v>
      </c>
      <c r="G216" s="532"/>
      <c r="H216" s="538" t="s">
        <v>578</v>
      </c>
      <c r="I216" s="632" t="s">
        <v>103</v>
      </c>
      <c r="J216" s="203" t="s">
        <v>889</v>
      </c>
      <c r="K216" s="102"/>
      <c r="L216" s="102"/>
      <c r="M216" s="51"/>
    </row>
    <row r="217" spans="1:13" s="16" customFormat="1" ht="24" customHeight="1" x14ac:dyDescent="0.3">
      <c r="A217" s="41"/>
      <c r="B217" s="147"/>
      <c r="C217" s="154">
        <v>20</v>
      </c>
      <c r="D217" s="622"/>
      <c r="E217" s="160"/>
      <c r="F217" s="540" t="s">
        <v>577</v>
      </c>
      <c r="G217" s="532"/>
      <c r="H217" s="538" t="s">
        <v>922</v>
      </c>
      <c r="I217" s="632"/>
      <c r="J217" s="203" t="s">
        <v>890</v>
      </c>
      <c r="K217" s="489" t="s">
        <v>796</v>
      </c>
      <c r="L217" s="102"/>
      <c r="M217" s="51"/>
    </row>
    <row r="218" spans="1:13" s="16" customFormat="1" ht="24" customHeight="1" x14ac:dyDescent="0.3">
      <c r="A218" s="41"/>
      <c r="B218" s="147"/>
      <c r="C218" s="154">
        <v>21</v>
      </c>
      <c r="D218" s="622"/>
      <c r="E218" s="160"/>
      <c r="F218" s="540" t="s">
        <v>577</v>
      </c>
      <c r="G218" s="532"/>
      <c r="H218" s="538" t="s">
        <v>923</v>
      </c>
      <c r="I218" s="632"/>
      <c r="J218" s="203" t="s">
        <v>894</v>
      </c>
      <c r="K218" s="489" t="s">
        <v>796</v>
      </c>
      <c r="L218" s="102"/>
      <c r="M218" s="51"/>
    </row>
    <row r="219" spans="1:13" s="16" customFormat="1" ht="24" customHeight="1" x14ac:dyDescent="0.3">
      <c r="A219" s="41"/>
      <c r="B219" s="147"/>
      <c r="C219" s="154">
        <v>22</v>
      </c>
      <c r="D219" s="622"/>
      <c r="E219" s="160"/>
      <c r="F219" s="540" t="s">
        <v>577</v>
      </c>
      <c r="G219" s="532"/>
      <c r="H219" s="538" t="s">
        <v>924</v>
      </c>
      <c r="I219" s="632"/>
      <c r="J219" s="203" t="s">
        <v>893</v>
      </c>
      <c r="K219" s="102"/>
      <c r="L219" s="102"/>
      <c r="M219" s="18"/>
    </row>
    <row r="220" spans="1:13" s="16" customFormat="1" ht="24" customHeight="1" x14ac:dyDescent="0.3">
      <c r="A220" s="41"/>
      <c r="B220" s="147"/>
      <c r="C220" s="154">
        <v>23</v>
      </c>
      <c r="D220" s="622"/>
      <c r="E220" s="160"/>
      <c r="F220" s="540" t="s">
        <v>577</v>
      </c>
      <c r="G220" s="532"/>
      <c r="H220" s="538" t="s">
        <v>925</v>
      </c>
      <c r="I220" s="632"/>
      <c r="J220" s="203" t="s">
        <v>892</v>
      </c>
      <c r="K220" s="102"/>
      <c r="L220" s="102"/>
      <c r="M220" s="51"/>
    </row>
    <row r="221" spans="1:13" s="16" customFormat="1" ht="24" customHeight="1" x14ac:dyDescent="0.3">
      <c r="A221" s="41"/>
      <c r="B221" s="147"/>
      <c r="C221" s="154">
        <v>24</v>
      </c>
      <c r="D221" s="622"/>
      <c r="E221" s="160"/>
      <c r="F221" s="540" t="s">
        <v>577</v>
      </c>
      <c r="G221" s="532"/>
      <c r="H221" s="538" t="s">
        <v>926</v>
      </c>
      <c r="I221" s="632"/>
      <c r="J221" s="203" t="s">
        <v>891</v>
      </c>
      <c r="K221" s="102"/>
      <c r="L221" s="102"/>
      <c r="M221" s="51"/>
    </row>
    <row r="222" spans="1:13" s="16" customFormat="1" ht="24" customHeight="1" x14ac:dyDescent="0.3">
      <c r="A222" s="41"/>
      <c r="B222" s="147"/>
      <c r="C222" s="154">
        <v>25</v>
      </c>
      <c r="D222" s="633" t="s">
        <v>191</v>
      </c>
      <c r="E222" s="160"/>
      <c r="F222" s="161"/>
      <c r="G222" s="160"/>
      <c r="H222" s="154"/>
      <c r="I222" s="633" t="s">
        <v>191</v>
      </c>
      <c r="J222" s="154"/>
      <c r="K222" s="102"/>
      <c r="L222" s="102"/>
      <c r="M222" s="53"/>
    </row>
    <row r="223" spans="1:13" s="16" customFormat="1" ht="24" customHeight="1" x14ac:dyDescent="0.3">
      <c r="A223" s="41"/>
      <c r="B223" s="147"/>
      <c r="C223" s="154">
        <v>26</v>
      </c>
      <c r="D223" s="633"/>
      <c r="E223" s="160"/>
      <c r="F223" s="161"/>
      <c r="G223" s="160"/>
      <c r="H223" s="154"/>
      <c r="I223" s="633"/>
      <c r="J223" s="154"/>
      <c r="K223" s="102"/>
      <c r="L223" s="102"/>
      <c r="M223" s="51"/>
    </row>
    <row r="224" spans="1:13" s="16" customFormat="1" ht="24" customHeight="1" x14ac:dyDescent="0.3">
      <c r="A224" s="41"/>
      <c r="B224" s="147"/>
      <c r="C224" s="154">
        <v>27</v>
      </c>
      <c r="D224" s="633"/>
      <c r="E224" s="160"/>
      <c r="F224" s="161"/>
      <c r="G224" s="160"/>
      <c r="H224" s="154"/>
      <c r="I224" s="633"/>
      <c r="J224" s="154"/>
      <c r="K224" s="102"/>
      <c r="L224" s="102"/>
      <c r="M224" s="51"/>
    </row>
    <row r="225" spans="1:14" s="16" customFormat="1" ht="24" customHeight="1" x14ac:dyDescent="0.3">
      <c r="A225" s="41"/>
      <c r="B225" s="147"/>
      <c r="C225" s="154">
        <v>28</v>
      </c>
      <c r="D225" s="633"/>
      <c r="E225" s="160"/>
      <c r="F225" s="161"/>
      <c r="G225" s="160"/>
      <c r="H225" s="154"/>
      <c r="I225" s="633"/>
      <c r="J225" s="154"/>
      <c r="K225" s="102"/>
      <c r="L225" s="102"/>
      <c r="M225" s="51"/>
    </row>
    <row r="226" spans="1:14" s="16" customFormat="1" ht="24" customHeight="1" x14ac:dyDescent="0.3">
      <c r="A226" s="41"/>
      <c r="B226" s="147"/>
      <c r="C226" s="154">
        <v>29</v>
      </c>
      <c r="D226" s="633"/>
      <c r="E226" s="160"/>
      <c r="F226" s="161"/>
      <c r="G226" s="160"/>
      <c r="H226" s="154"/>
      <c r="I226" s="633"/>
      <c r="J226" s="154"/>
      <c r="K226" s="102"/>
      <c r="L226" s="102"/>
      <c r="M226" s="53"/>
      <c r="N226" s="6"/>
    </row>
    <row r="227" spans="1:14" s="16" customFormat="1" ht="24" customHeight="1" x14ac:dyDescent="0.3">
      <c r="A227" s="144"/>
      <c r="B227" s="151"/>
      <c r="C227" s="162">
        <v>30</v>
      </c>
      <c r="D227" s="633"/>
      <c r="E227" s="163"/>
      <c r="F227" s="171"/>
      <c r="G227" s="163"/>
      <c r="H227" s="162" t="s">
        <v>203</v>
      </c>
      <c r="I227" s="633"/>
      <c r="J227" s="162" t="s">
        <v>203</v>
      </c>
      <c r="K227" s="102"/>
      <c r="L227" s="102"/>
      <c r="M227" s="51"/>
    </row>
    <row r="228" spans="1:14" s="16" customFormat="1" ht="24" customHeight="1" x14ac:dyDescent="0.3">
      <c r="A228" s="140" t="s">
        <v>22</v>
      </c>
      <c r="B228" s="145" t="s">
        <v>85</v>
      </c>
      <c r="C228" s="172">
        <v>1</v>
      </c>
      <c r="D228" s="622" t="s">
        <v>17</v>
      </c>
      <c r="E228" s="173"/>
      <c r="F228" s="174"/>
      <c r="G228" s="173"/>
      <c r="H228" s="172"/>
      <c r="I228" s="622" t="s">
        <v>17</v>
      </c>
      <c r="J228" s="172" t="s">
        <v>591</v>
      </c>
      <c r="K228" s="102"/>
      <c r="L228" s="136" t="s">
        <v>378</v>
      </c>
      <c r="M228" s="51"/>
    </row>
    <row r="229" spans="1:14" s="16" customFormat="1" ht="24" customHeight="1" x14ac:dyDescent="0.3">
      <c r="A229" s="620" t="s">
        <v>84</v>
      </c>
      <c r="B229" s="621"/>
      <c r="C229" s="154">
        <v>2</v>
      </c>
      <c r="D229" s="622"/>
      <c r="E229" s="160"/>
      <c r="F229" s="161"/>
      <c r="G229" s="154"/>
      <c r="H229" s="154"/>
      <c r="I229" s="622"/>
      <c r="J229" s="154"/>
      <c r="K229" s="102"/>
      <c r="L229" s="101"/>
      <c r="M229" s="51"/>
    </row>
    <row r="230" spans="1:14" s="16" customFormat="1" ht="24" customHeight="1" x14ac:dyDescent="0.3">
      <c r="A230" s="613" t="s">
        <v>452</v>
      </c>
      <c r="B230" s="614"/>
      <c r="C230" s="154">
        <v>3</v>
      </c>
      <c r="D230" s="622"/>
      <c r="E230" s="160"/>
      <c r="F230" s="161"/>
      <c r="G230" s="160"/>
      <c r="H230" s="154"/>
      <c r="I230" s="622"/>
      <c r="J230" s="154"/>
      <c r="K230" s="102"/>
      <c r="L230" s="101"/>
      <c r="M230" s="51"/>
    </row>
    <row r="231" spans="1:14" s="16" customFormat="1" ht="24" customHeight="1" x14ac:dyDescent="0.3">
      <c r="A231" s="41"/>
      <c r="B231" s="147"/>
      <c r="C231" s="154">
        <v>4</v>
      </c>
      <c r="D231" s="622"/>
      <c r="E231" s="160"/>
      <c r="F231" s="161"/>
      <c r="G231" s="160"/>
      <c r="H231" s="154"/>
      <c r="I231" s="622"/>
      <c r="J231" s="154"/>
      <c r="K231" s="102"/>
      <c r="L231" s="101"/>
      <c r="M231" s="51"/>
    </row>
    <row r="232" spans="1:14" s="16" customFormat="1" ht="24" customHeight="1" x14ac:dyDescent="0.3">
      <c r="A232" s="41"/>
      <c r="B232" s="147"/>
      <c r="C232" s="154">
        <v>5</v>
      </c>
      <c r="D232" s="622"/>
      <c r="E232" s="160"/>
      <c r="F232" s="161"/>
      <c r="G232" s="160"/>
      <c r="H232" s="154"/>
      <c r="I232" s="622"/>
      <c r="J232" s="154"/>
      <c r="K232" s="102"/>
      <c r="L232" s="102"/>
      <c r="M232" s="51"/>
    </row>
    <row r="233" spans="1:14" s="16" customFormat="1" ht="24" customHeight="1" x14ac:dyDescent="0.3">
      <c r="A233" s="41"/>
      <c r="B233" s="147"/>
      <c r="C233" s="154">
        <v>6</v>
      </c>
      <c r="D233" s="622"/>
      <c r="E233" s="160"/>
      <c r="F233" s="161"/>
      <c r="G233" s="160"/>
      <c r="H233" s="154"/>
      <c r="I233" s="622"/>
      <c r="J233" s="154"/>
      <c r="K233" s="102"/>
      <c r="L233" s="101"/>
      <c r="M233" s="51"/>
    </row>
    <row r="234" spans="1:14" s="16" customFormat="1" ht="24" customHeight="1" x14ac:dyDescent="0.3">
      <c r="A234" s="41"/>
      <c r="B234" s="147"/>
      <c r="C234" s="154">
        <v>7</v>
      </c>
      <c r="D234" s="622" t="s">
        <v>17</v>
      </c>
      <c r="E234" s="160"/>
      <c r="F234" s="161" t="s">
        <v>93</v>
      </c>
      <c r="G234" s="160"/>
      <c r="H234" s="154" t="s">
        <v>438</v>
      </c>
      <c r="I234" s="622" t="s">
        <v>17</v>
      </c>
      <c r="J234" s="154" t="s">
        <v>437</v>
      </c>
      <c r="K234" s="102"/>
      <c r="L234" s="136" t="s">
        <v>369</v>
      </c>
      <c r="M234" s="51"/>
    </row>
    <row r="235" spans="1:14" s="16" customFormat="1" ht="24" customHeight="1" x14ac:dyDescent="0.3">
      <c r="A235" s="41"/>
      <c r="B235" s="147"/>
      <c r="C235" s="154">
        <v>8</v>
      </c>
      <c r="D235" s="622"/>
      <c r="E235" s="227" t="s">
        <v>87</v>
      </c>
      <c r="F235" s="228" t="s">
        <v>223</v>
      </c>
      <c r="G235" s="227"/>
      <c r="H235" s="226" t="s">
        <v>440</v>
      </c>
      <c r="I235" s="622"/>
      <c r="J235" s="226" t="s">
        <v>439</v>
      </c>
      <c r="K235" s="361"/>
      <c r="L235" s="209" t="s">
        <v>369</v>
      </c>
      <c r="M235" s="51"/>
    </row>
    <row r="236" spans="1:14" s="16" customFormat="1" ht="24" customHeight="1" x14ac:dyDescent="0.3">
      <c r="A236" s="41"/>
      <c r="B236" s="147"/>
      <c r="C236" s="154">
        <v>9</v>
      </c>
      <c r="D236" s="622"/>
      <c r="E236" s="227" t="s">
        <v>87</v>
      </c>
      <c r="F236" s="228" t="s">
        <v>223</v>
      </c>
      <c r="G236" s="227"/>
      <c r="H236" s="226" t="s">
        <v>246</v>
      </c>
      <c r="I236" s="622"/>
      <c r="J236" s="226" t="s">
        <v>441</v>
      </c>
      <c r="K236" s="361"/>
      <c r="L236" s="209" t="s">
        <v>369</v>
      </c>
      <c r="M236" s="51"/>
    </row>
    <row r="237" spans="1:14" s="16" customFormat="1" ht="24" customHeight="1" x14ac:dyDescent="0.3">
      <c r="A237" s="41"/>
      <c r="B237" s="147"/>
      <c r="C237" s="154">
        <v>10</v>
      </c>
      <c r="D237" s="622"/>
      <c r="E237" s="227"/>
      <c r="F237" s="228"/>
      <c r="G237" s="227"/>
      <c r="H237" s="226"/>
      <c r="I237" s="622"/>
      <c r="J237" s="226"/>
      <c r="K237" s="361"/>
      <c r="L237" s="209" t="s">
        <v>369</v>
      </c>
      <c r="M237" s="51"/>
    </row>
    <row r="238" spans="1:14" s="16" customFormat="1" ht="24" customHeight="1" x14ac:dyDescent="0.3">
      <c r="A238" s="41"/>
      <c r="B238" s="147"/>
      <c r="C238" s="154">
        <v>11</v>
      </c>
      <c r="D238" s="622"/>
      <c r="E238" s="160"/>
      <c r="F238" s="161"/>
      <c r="G238" s="160"/>
      <c r="H238" s="154"/>
      <c r="I238" s="622"/>
      <c r="J238" s="154"/>
      <c r="K238" s="102"/>
      <c r="L238" s="101"/>
      <c r="M238" s="51"/>
    </row>
    <row r="239" spans="1:14" s="16" customFormat="1" ht="24" customHeight="1" x14ac:dyDescent="0.3">
      <c r="A239" s="41"/>
      <c r="B239" s="147"/>
      <c r="C239" s="154">
        <v>12</v>
      </c>
      <c r="D239" s="622"/>
      <c r="E239" s="160"/>
      <c r="F239" s="161"/>
      <c r="G239" s="160"/>
      <c r="H239" s="154"/>
      <c r="I239" s="622"/>
      <c r="J239" s="154"/>
      <c r="K239" s="102"/>
      <c r="L239" s="101"/>
      <c r="M239" s="51"/>
    </row>
    <row r="240" spans="1:14" s="16" customFormat="1" ht="24" customHeight="1" x14ac:dyDescent="0.3">
      <c r="A240" s="41"/>
      <c r="B240" s="147"/>
      <c r="C240" s="154">
        <v>13</v>
      </c>
      <c r="D240" s="622" t="s">
        <v>17</v>
      </c>
      <c r="E240" s="160" t="s">
        <v>121</v>
      </c>
      <c r="F240" s="161" t="s">
        <v>42</v>
      </c>
      <c r="G240" s="160"/>
      <c r="H240" s="154" t="s">
        <v>206</v>
      </c>
      <c r="I240" s="622" t="s">
        <v>17</v>
      </c>
      <c r="J240" s="154" t="s">
        <v>207</v>
      </c>
      <c r="K240" s="102"/>
      <c r="L240" s="101"/>
      <c r="M240" s="51"/>
    </row>
    <row r="241" spans="1:13" s="16" customFormat="1" ht="24" customHeight="1" x14ac:dyDescent="0.3">
      <c r="A241" s="41"/>
      <c r="B241" s="147"/>
      <c r="C241" s="155">
        <v>14</v>
      </c>
      <c r="D241" s="622"/>
      <c r="E241" s="160"/>
      <c r="F241" s="161"/>
      <c r="G241" s="160"/>
      <c r="H241" s="154"/>
      <c r="I241" s="622"/>
      <c r="J241" s="154"/>
      <c r="K241" s="102"/>
      <c r="L241" s="101"/>
      <c r="M241" s="51"/>
    </row>
    <row r="242" spans="1:13" s="16" customFormat="1" ht="24" customHeight="1" x14ac:dyDescent="0.3">
      <c r="A242" s="41"/>
      <c r="B242" s="147"/>
      <c r="C242" s="155">
        <v>15</v>
      </c>
      <c r="D242" s="622"/>
      <c r="E242" s="160" t="s">
        <v>121</v>
      </c>
      <c r="F242" s="161" t="s">
        <v>223</v>
      </c>
      <c r="G242" s="160"/>
      <c r="H242" s="154" t="s">
        <v>252</v>
      </c>
      <c r="I242" s="622"/>
      <c r="J242" s="154" t="s">
        <v>253</v>
      </c>
      <c r="K242" s="102"/>
      <c r="L242" s="101"/>
      <c r="M242" s="51"/>
    </row>
    <row r="243" spans="1:13" s="16" customFormat="1" ht="24" customHeight="1" x14ac:dyDescent="0.3">
      <c r="A243" s="41"/>
      <c r="B243" s="147"/>
      <c r="C243" s="155">
        <v>16</v>
      </c>
      <c r="D243" s="622"/>
      <c r="E243" s="160" t="s">
        <v>121</v>
      </c>
      <c r="F243" s="161" t="s">
        <v>223</v>
      </c>
      <c r="G243" s="160" t="s">
        <v>29</v>
      </c>
      <c r="H243" s="154" t="s">
        <v>379</v>
      </c>
      <c r="I243" s="622"/>
      <c r="J243" s="154" t="s">
        <v>380</v>
      </c>
      <c r="K243" s="102"/>
      <c r="L243" s="136" t="s">
        <v>369</v>
      </c>
      <c r="M243" s="51"/>
    </row>
    <row r="244" spans="1:13" s="16" customFormat="1" ht="24" customHeight="1" x14ac:dyDescent="0.3">
      <c r="A244" s="41"/>
      <c r="B244" s="147"/>
      <c r="C244" s="155">
        <v>17</v>
      </c>
      <c r="D244" s="622"/>
      <c r="E244" s="215"/>
      <c r="F244" s="216" t="s">
        <v>223</v>
      </c>
      <c r="G244" s="215"/>
      <c r="H244" s="217" t="s">
        <v>407</v>
      </c>
      <c r="I244" s="622"/>
      <c r="J244" s="217" t="s">
        <v>410</v>
      </c>
      <c r="K244" s="364"/>
      <c r="L244" s="209" t="s">
        <v>369</v>
      </c>
      <c r="M244" s="51"/>
    </row>
    <row r="245" spans="1:13" s="16" customFormat="1" ht="24" customHeight="1" x14ac:dyDescent="0.3">
      <c r="A245" s="41"/>
      <c r="B245" s="147"/>
      <c r="C245" s="155">
        <v>18</v>
      </c>
      <c r="D245" s="622"/>
      <c r="E245" s="215"/>
      <c r="F245" s="216" t="s">
        <v>223</v>
      </c>
      <c r="G245" s="215"/>
      <c r="H245" s="217" t="s">
        <v>408</v>
      </c>
      <c r="I245" s="622"/>
      <c r="J245" s="217" t="s">
        <v>411</v>
      </c>
      <c r="K245" s="364"/>
      <c r="L245" s="209" t="s">
        <v>369</v>
      </c>
      <c r="M245" s="51"/>
    </row>
    <row r="246" spans="1:13" s="16" customFormat="1" ht="24" customHeight="1" x14ac:dyDescent="0.3">
      <c r="A246" s="41"/>
      <c r="B246" s="147"/>
      <c r="C246" s="155">
        <v>19</v>
      </c>
      <c r="D246" s="622" t="s">
        <v>17</v>
      </c>
      <c r="E246" s="160"/>
      <c r="F246" s="161"/>
      <c r="G246" s="160"/>
      <c r="H246" s="154"/>
      <c r="I246" s="622" t="s">
        <v>17</v>
      </c>
      <c r="J246" s="372"/>
      <c r="K246" s="102"/>
      <c r="L246" s="102"/>
      <c r="M246" s="51"/>
    </row>
    <row r="247" spans="1:13" s="16" customFormat="1" ht="24" customHeight="1" x14ac:dyDescent="0.3">
      <c r="A247" s="41"/>
      <c r="B247" s="147"/>
      <c r="C247" s="155">
        <v>20</v>
      </c>
      <c r="D247" s="622"/>
      <c r="E247" s="160"/>
      <c r="F247" s="161" t="s">
        <v>93</v>
      </c>
      <c r="G247" s="160"/>
      <c r="H247" s="154" t="s">
        <v>242</v>
      </c>
      <c r="I247" s="622"/>
      <c r="J247" s="154"/>
      <c r="K247" s="102"/>
      <c r="L247" s="136" t="s">
        <v>369</v>
      </c>
      <c r="M247" s="51"/>
    </row>
    <row r="248" spans="1:13" s="16" customFormat="1" ht="24" customHeight="1" x14ac:dyDescent="0.3">
      <c r="A248" s="41"/>
      <c r="B248" s="147"/>
      <c r="C248" s="155">
        <v>21</v>
      </c>
      <c r="D248" s="622"/>
      <c r="E248" s="160"/>
      <c r="F248" s="161"/>
      <c r="G248" s="160"/>
      <c r="H248" s="154"/>
      <c r="I248" s="622"/>
      <c r="J248" s="154"/>
      <c r="K248" s="102"/>
      <c r="L248" s="136" t="s">
        <v>369</v>
      </c>
      <c r="M248" s="51"/>
    </row>
    <row r="249" spans="1:13" s="16" customFormat="1" ht="24" customHeight="1" x14ac:dyDescent="0.3">
      <c r="A249" s="41"/>
      <c r="B249" s="147"/>
      <c r="C249" s="155">
        <v>22</v>
      </c>
      <c r="D249" s="622"/>
      <c r="E249" s="160"/>
      <c r="F249" s="161"/>
      <c r="G249" s="160"/>
      <c r="H249" s="154"/>
      <c r="I249" s="622"/>
      <c r="J249" s="154"/>
      <c r="K249" s="102"/>
      <c r="L249" s="102"/>
      <c r="M249" s="51"/>
    </row>
    <row r="250" spans="1:13" s="16" customFormat="1" ht="24" customHeight="1" x14ac:dyDescent="0.3">
      <c r="A250" s="41"/>
      <c r="B250" s="147"/>
      <c r="C250" s="155">
        <v>23</v>
      </c>
      <c r="D250" s="622"/>
      <c r="E250" s="160"/>
      <c r="F250" s="161"/>
      <c r="G250" s="160"/>
      <c r="H250" s="154"/>
      <c r="I250" s="622"/>
      <c r="J250" s="154"/>
      <c r="K250" s="102"/>
      <c r="L250" s="136" t="s">
        <v>369</v>
      </c>
      <c r="M250" s="51"/>
    </row>
    <row r="251" spans="1:13" s="16" customFormat="1" ht="24" customHeight="1" x14ac:dyDescent="0.3">
      <c r="A251" s="41"/>
      <c r="B251" s="147"/>
      <c r="C251" s="154">
        <v>24</v>
      </c>
      <c r="D251" s="622"/>
      <c r="E251" s="215"/>
      <c r="F251" s="216" t="s">
        <v>223</v>
      </c>
      <c r="G251" s="215"/>
      <c r="H251" s="217" t="s">
        <v>409</v>
      </c>
      <c r="I251" s="622"/>
      <c r="J251" s="217" t="s">
        <v>412</v>
      </c>
      <c r="K251" s="364"/>
      <c r="L251" s="209" t="s">
        <v>369</v>
      </c>
      <c r="M251" s="51"/>
    </row>
    <row r="252" spans="1:13" s="16" customFormat="1" ht="24" customHeight="1" x14ac:dyDescent="0.3">
      <c r="A252" s="41"/>
      <c r="B252" s="147"/>
      <c r="C252" s="154">
        <v>25</v>
      </c>
      <c r="D252" s="622" t="s">
        <v>17</v>
      </c>
      <c r="E252" s="160"/>
      <c r="F252" s="161" t="s">
        <v>93</v>
      </c>
      <c r="G252" s="160"/>
      <c r="H252" s="154" t="s">
        <v>126</v>
      </c>
      <c r="I252" s="629" t="s">
        <v>103</v>
      </c>
      <c r="J252" s="154" t="s">
        <v>130</v>
      </c>
      <c r="K252" s="102"/>
      <c r="L252" s="136"/>
      <c r="M252" s="51"/>
    </row>
    <row r="253" spans="1:13" s="16" customFormat="1" ht="24" customHeight="1" x14ac:dyDescent="0.3">
      <c r="A253" s="41"/>
      <c r="B253" s="147"/>
      <c r="C253" s="154">
        <v>26</v>
      </c>
      <c r="D253" s="622"/>
      <c r="E253" s="160"/>
      <c r="F253" s="161" t="s">
        <v>93</v>
      </c>
      <c r="G253" s="160"/>
      <c r="H253" s="154" t="s">
        <v>241</v>
      </c>
      <c r="I253" s="629"/>
      <c r="J253" s="154" t="s">
        <v>236</v>
      </c>
      <c r="K253" s="102"/>
      <c r="L253" s="102"/>
      <c r="M253" s="51"/>
    </row>
    <row r="254" spans="1:13" s="16" customFormat="1" ht="24" customHeight="1" x14ac:dyDescent="0.3">
      <c r="A254" s="41"/>
      <c r="B254" s="147"/>
      <c r="C254" s="154">
        <v>27</v>
      </c>
      <c r="D254" s="622"/>
      <c r="E254" s="160"/>
      <c r="F254" s="161" t="s">
        <v>93</v>
      </c>
      <c r="G254" s="160"/>
      <c r="H254" s="154" t="s">
        <v>243</v>
      </c>
      <c r="I254" s="629"/>
      <c r="J254" s="154" t="s">
        <v>228</v>
      </c>
      <c r="K254" s="102"/>
      <c r="L254" s="102"/>
      <c r="M254" s="51"/>
    </row>
    <row r="255" spans="1:13" s="16" customFormat="1" ht="24" customHeight="1" x14ac:dyDescent="0.3">
      <c r="A255" s="41"/>
      <c r="B255" s="147"/>
      <c r="C255" s="154">
        <v>28</v>
      </c>
      <c r="D255" s="622"/>
      <c r="E255" s="160"/>
      <c r="F255" s="161" t="s">
        <v>93</v>
      </c>
      <c r="G255" s="160"/>
      <c r="H255" s="154" t="s">
        <v>445</v>
      </c>
      <c r="I255" s="629"/>
      <c r="J255" s="154" t="s">
        <v>209</v>
      </c>
      <c r="K255" s="102"/>
      <c r="L255" s="209" t="s">
        <v>369</v>
      </c>
      <c r="M255" s="53"/>
    </row>
    <row r="256" spans="1:13" s="16" customFormat="1" ht="24" customHeight="1" x14ac:dyDescent="0.3">
      <c r="A256" s="41"/>
      <c r="B256" s="147"/>
      <c r="C256" s="154">
        <v>29</v>
      </c>
      <c r="D256" s="622"/>
      <c r="E256" s="160"/>
      <c r="F256" s="161" t="s">
        <v>93</v>
      </c>
      <c r="G256" s="160"/>
      <c r="H256" s="154" t="s">
        <v>446</v>
      </c>
      <c r="I256" s="629"/>
      <c r="J256" s="154" t="s">
        <v>447</v>
      </c>
      <c r="K256" s="102"/>
      <c r="L256" s="102" t="s">
        <v>202</v>
      </c>
      <c r="M256" s="51"/>
    </row>
    <row r="257" spans="1:14" s="16" customFormat="1" ht="24" customHeight="1" x14ac:dyDescent="0.3">
      <c r="A257" s="139"/>
      <c r="B257" s="148"/>
      <c r="C257" s="158">
        <v>30</v>
      </c>
      <c r="D257" s="622"/>
      <c r="E257" s="165"/>
      <c r="F257" s="166"/>
      <c r="G257" s="165"/>
      <c r="H257" s="158" t="s">
        <v>203</v>
      </c>
      <c r="I257" s="629"/>
      <c r="J257" s="158" t="s">
        <v>203</v>
      </c>
      <c r="K257" s="102"/>
      <c r="L257" s="102"/>
      <c r="M257" s="18"/>
    </row>
    <row r="258" spans="1:14" s="16" customFormat="1" ht="24" customHeight="1" x14ac:dyDescent="0.3">
      <c r="A258" s="141" t="s">
        <v>22</v>
      </c>
      <c r="B258" s="149" t="s">
        <v>86</v>
      </c>
      <c r="C258" s="152">
        <v>1</v>
      </c>
      <c r="D258" s="622" t="s">
        <v>17</v>
      </c>
      <c r="E258" s="167"/>
      <c r="F258" s="168"/>
      <c r="G258" s="167"/>
      <c r="H258" s="152"/>
      <c r="I258" s="622" t="s">
        <v>17</v>
      </c>
      <c r="J258" s="152"/>
      <c r="K258" s="102"/>
      <c r="L258" s="102"/>
      <c r="M258" s="51"/>
    </row>
    <row r="259" spans="1:14" s="16" customFormat="1" ht="24" customHeight="1" x14ac:dyDescent="0.3">
      <c r="A259" s="620" t="s">
        <v>12</v>
      </c>
      <c r="B259" s="621"/>
      <c r="C259" s="154">
        <v>2</v>
      </c>
      <c r="D259" s="622"/>
      <c r="E259" s="160"/>
      <c r="F259" s="157"/>
      <c r="G259" s="154"/>
      <c r="H259" s="154"/>
      <c r="I259" s="622"/>
      <c r="J259" s="176"/>
      <c r="K259" s="143"/>
      <c r="L259" s="101"/>
      <c r="M259" s="51"/>
    </row>
    <row r="260" spans="1:14" s="16" customFormat="1" ht="24" customHeight="1" x14ac:dyDescent="0.3">
      <c r="A260" s="41"/>
      <c r="B260" s="147"/>
      <c r="C260" s="154">
        <v>3</v>
      </c>
      <c r="D260" s="622"/>
      <c r="E260" s="160"/>
      <c r="F260" s="161"/>
      <c r="G260" s="160"/>
      <c r="H260" s="154"/>
      <c r="I260" s="622"/>
      <c r="J260" s="154"/>
      <c r="K260" s="102"/>
      <c r="L260" s="101"/>
      <c r="M260" s="51"/>
    </row>
    <row r="261" spans="1:14" s="16" customFormat="1" ht="24" customHeight="1" x14ac:dyDescent="0.3">
      <c r="A261" s="41"/>
      <c r="B261" s="147"/>
      <c r="C261" s="154">
        <v>4</v>
      </c>
      <c r="D261" s="622" t="s">
        <v>17</v>
      </c>
      <c r="E261" s="160"/>
      <c r="F261" s="161"/>
      <c r="G261" s="160"/>
      <c r="H261" s="154"/>
      <c r="I261" s="634" t="s">
        <v>92</v>
      </c>
      <c r="J261" s="154"/>
      <c r="K261" s="102"/>
      <c r="L261" s="101"/>
      <c r="M261" s="51"/>
    </row>
    <row r="262" spans="1:14" s="16" customFormat="1" ht="24" customHeight="1" x14ac:dyDescent="0.3">
      <c r="A262" s="41"/>
      <c r="B262" s="147"/>
      <c r="C262" s="154">
        <v>5</v>
      </c>
      <c r="D262" s="622"/>
      <c r="E262" s="160"/>
      <c r="F262" s="161"/>
      <c r="G262" s="160"/>
      <c r="H262" s="154"/>
      <c r="I262" s="634"/>
      <c r="J262" s="154"/>
      <c r="K262" s="102"/>
      <c r="L262" s="102"/>
      <c r="M262" s="51"/>
    </row>
    <row r="263" spans="1:14" s="16" customFormat="1" ht="24" customHeight="1" x14ac:dyDescent="0.3">
      <c r="A263" s="41"/>
      <c r="B263" s="147"/>
      <c r="C263" s="154">
        <v>6</v>
      </c>
      <c r="D263" s="622"/>
      <c r="E263" s="160"/>
      <c r="F263" s="161"/>
      <c r="G263" s="160"/>
      <c r="H263" s="154"/>
      <c r="I263" s="634"/>
      <c r="J263" s="154"/>
      <c r="K263" s="102"/>
      <c r="L263" s="102"/>
      <c r="M263" s="51"/>
    </row>
    <row r="264" spans="1:14" s="16" customFormat="1" ht="24" customHeight="1" x14ac:dyDescent="0.3">
      <c r="A264" s="41"/>
      <c r="B264" s="147"/>
      <c r="C264" s="154">
        <v>7</v>
      </c>
      <c r="D264" s="622" t="s">
        <v>17</v>
      </c>
      <c r="E264" s="160"/>
      <c r="F264" s="161" t="s">
        <v>93</v>
      </c>
      <c r="G264" s="160"/>
      <c r="H264" s="154" t="s">
        <v>127</v>
      </c>
      <c r="I264" s="629" t="s">
        <v>108</v>
      </c>
      <c r="J264" s="154" t="s">
        <v>109</v>
      </c>
      <c r="K264" s="102"/>
      <c r="L264" s="101"/>
      <c r="M264" s="51"/>
    </row>
    <row r="265" spans="1:14" s="16" customFormat="1" ht="24" customHeight="1" x14ac:dyDescent="0.3">
      <c r="A265" s="41"/>
      <c r="B265" s="147"/>
      <c r="C265" s="154">
        <v>8</v>
      </c>
      <c r="D265" s="622"/>
      <c r="E265" s="160"/>
      <c r="F265" s="161" t="s">
        <v>93</v>
      </c>
      <c r="G265" s="160"/>
      <c r="H265" s="154" t="s">
        <v>128</v>
      </c>
      <c r="I265" s="629"/>
      <c r="J265" s="154" t="s">
        <v>130</v>
      </c>
      <c r="K265" s="102"/>
      <c r="L265" s="102"/>
      <c r="M265" s="53"/>
    </row>
    <row r="266" spans="1:14" s="16" customFormat="1" ht="24" customHeight="1" x14ac:dyDescent="0.3">
      <c r="A266" s="41"/>
      <c r="B266" s="147"/>
      <c r="C266" s="154">
        <v>9</v>
      </c>
      <c r="D266" s="622"/>
      <c r="E266" s="160"/>
      <c r="F266" s="161" t="s">
        <v>93</v>
      </c>
      <c r="G266" s="160"/>
      <c r="H266" s="154" t="s">
        <v>129</v>
      </c>
      <c r="I266" s="629"/>
      <c r="J266" s="154" t="s">
        <v>131</v>
      </c>
      <c r="K266" s="102"/>
      <c r="L266" s="101"/>
      <c r="M266" s="51"/>
    </row>
    <row r="267" spans="1:14" s="16" customFormat="1" ht="24" customHeight="1" x14ac:dyDescent="0.3">
      <c r="A267" s="41"/>
      <c r="B267" s="147"/>
      <c r="C267" s="154">
        <v>10</v>
      </c>
      <c r="D267" s="622" t="s">
        <v>17</v>
      </c>
      <c r="E267" s="160"/>
      <c r="F267" s="161"/>
      <c r="G267" s="160"/>
      <c r="H267" s="154"/>
      <c r="I267" s="629" t="s">
        <v>108</v>
      </c>
      <c r="J267" s="154"/>
      <c r="K267" s="102"/>
      <c r="L267" s="101"/>
      <c r="M267" s="51"/>
    </row>
    <row r="268" spans="1:14" s="16" customFormat="1" ht="24" customHeight="1" x14ac:dyDescent="0.3">
      <c r="A268" s="41"/>
      <c r="B268" s="147"/>
      <c r="C268" s="154">
        <v>11</v>
      </c>
      <c r="D268" s="622"/>
      <c r="E268" s="160"/>
      <c r="F268" s="161" t="s">
        <v>93</v>
      </c>
      <c r="G268" s="160"/>
      <c r="H268" s="154" t="s">
        <v>133</v>
      </c>
      <c r="I268" s="629"/>
      <c r="J268" s="154" t="s">
        <v>132</v>
      </c>
      <c r="K268" s="102"/>
      <c r="L268" s="102"/>
      <c r="M268" s="53"/>
      <c r="N268" s="6"/>
    </row>
    <row r="269" spans="1:14" s="16" customFormat="1" ht="24" customHeight="1" x14ac:dyDescent="0.3">
      <c r="A269" s="41"/>
      <c r="B269" s="147"/>
      <c r="C269" s="154">
        <v>12</v>
      </c>
      <c r="D269" s="622"/>
      <c r="E269" s="160"/>
      <c r="F269" s="161" t="s">
        <v>93</v>
      </c>
      <c r="G269" s="160"/>
      <c r="H269" s="154" t="s">
        <v>125</v>
      </c>
      <c r="I269" s="629"/>
      <c r="J269" s="154" t="s">
        <v>172</v>
      </c>
      <c r="K269" s="102"/>
      <c r="L269" s="102"/>
      <c r="M269" s="51"/>
    </row>
    <row r="270" spans="1:14" s="16" customFormat="1" ht="24" customHeight="1" x14ac:dyDescent="0.3">
      <c r="A270" s="41"/>
      <c r="B270" s="147"/>
      <c r="C270" s="154">
        <v>13</v>
      </c>
      <c r="D270" s="618"/>
      <c r="E270" s="160"/>
      <c r="F270" s="161"/>
      <c r="G270" s="160"/>
      <c r="H270" s="154"/>
      <c r="I270" s="618"/>
      <c r="J270" s="154"/>
      <c r="K270" s="102"/>
      <c r="L270" s="102"/>
      <c r="M270" s="51"/>
    </row>
    <row r="271" spans="1:14" s="16" customFormat="1" ht="24" customHeight="1" x14ac:dyDescent="0.3">
      <c r="A271" s="41"/>
      <c r="B271" s="147"/>
      <c r="C271" s="154">
        <v>14</v>
      </c>
      <c r="D271" s="618"/>
      <c r="E271" s="160"/>
      <c r="F271" s="161"/>
      <c r="G271" s="160"/>
      <c r="H271" s="154"/>
      <c r="I271" s="618"/>
      <c r="J271" s="154"/>
      <c r="K271" s="102"/>
      <c r="L271" s="102"/>
      <c r="M271" s="51"/>
    </row>
    <row r="272" spans="1:14" s="16" customFormat="1" ht="24" customHeight="1" x14ac:dyDescent="0.3">
      <c r="A272" s="41"/>
      <c r="B272" s="147"/>
      <c r="C272" s="154">
        <v>15</v>
      </c>
      <c r="D272" s="618"/>
      <c r="E272" s="160"/>
      <c r="F272" s="161"/>
      <c r="G272" s="160"/>
      <c r="H272" s="154"/>
      <c r="I272" s="618"/>
      <c r="J272" s="154"/>
      <c r="K272" s="102"/>
      <c r="L272" s="101"/>
      <c r="M272" s="51"/>
    </row>
    <row r="273" spans="1:14" s="16" customFormat="1" ht="24" customHeight="1" x14ac:dyDescent="0.3">
      <c r="A273" s="41"/>
      <c r="B273" s="147"/>
      <c r="C273" s="154">
        <v>16</v>
      </c>
      <c r="D273" s="618"/>
      <c r="E273" s="160"/>
      <c r="F273" s="161"/>
      <c r="G273" s="160"/>
      <c r="H273" s="154"/>
      <c r="I273" s="618"/>
      <c r="J273" s="154"/>
      <c r="K273" s="102"/>
      <c r="L273" s="102"/>
      <c r="M273" s="51"/>
    </row>
    <row r="274" spans="1:14" s="16" customFormat="1" ht="24" customHeight="1" x14ac:dyDescent="0.3">
      <c r="A274" s="41"/>
      <c r="B274" s="147"/>
      <c r="C274" s="154">
        <v>17</v>
      </c>
      <c r="D274" s="618"/>
      <c r="E274" s="160"/>
      <c r="F274" s="161"/>
      <c r="G274" s="160"/>
      <c r="H274" s="154"/>
      <c r="I274" s="618"/>
      <c r="J274" s="154"/>
      <c r="K274" s="102"/>
      <c r="L274" s="101"/>
      <c r="M274" s="51"/>
    </row>
    <row r="275" spans="1:14" s="16" customFormat="1" ht="24" customHeight="1" x14ac:dyDescent="0.3">
      <c r="A275" s="41"/>
      <c r="B275" s="147"/>
      <c r="C275" s="154">
        <v>18</v>
      </c>
      <c r="D275" s="618"/>
      <c r="E275" s="160"/>
      <c r="F275" s="161"/>
      <c r="G275" s="160"/>
      <c r="H275" s="154"/>
      <c r="I275" s="618"/>
      <c r="J275" s="154"/>
      <c r="K275" s="102"/>
      <c r="L275" s="103"/>
      <c r="M275" s="51"/>
    </row>
    <row r="276" spans="1:14" s="16" customFormat="1" ht="24" customHeight="1" x14ac:dyDescent="0.3">
      <c r="A276" s="41"/>
      <c r="B276" s="147"/>
      <c r="C276" s="154">
        <v>19</v>
      </c>
      <c r="D276" s="618"/>
      <c r="E276" s="160"/>
      <c r="F276" s="161"/>
      <c r="G276" s="160"/>
      <c r="H276" s="154"/>
      <c r="I276" s="618"/>
      <c r="J276" s="154"/>
      <c r="K276" s="102"/>
      <c r="L276" s="101"/>
      <c r="M276" s="51"/>
    </row>
    <row r="277" spans="1:14" s="16" customFormat="1" ht="24" customHeight="1" x14ac:dyDescent="0.3">
      <c r="A277" s="41"/>
      <c r="B277" s="147"/>
      <c r="C277" s="154">
        <v>20</v>
      </c>
      <c r="D277" s="618"/>
      <c r="E277" s="160"/>
      <c r="F277" s="161"/>
      <c r="G277" s="160"/>
      <c r="H277" s="154"/>
      <c r="I277" s="618"/>
      <c r="J277" s="154"/>
      <c r="K277" s="102"/>
      <c r="L277" s="102"/>
      <c r="M277" s="18"/>
    </row>
    <row r="278" spans="1:14" s="16" customFormat="1" ht="24" customHeight="1" x14ac:dyDescent="0.3">
      <c r="A278" s="41"/>
      <c r="B278" s="147"/>
      <c r="C278" s="154">
        <v>21</v>
      </c>
      <c r="D278" s="618"/>
      <c r="E278" s="160"/>
      <c r="F278" s="161"/>
      <c r="G278" s="160"/>
      <c r="H278" s="154"/>
      <c r="I278" s="618"/>
      <c r="J278" s="154"/>
      <c r="K278" s="102"/>
      <c r="L278" s="101"/>
      <c r="M278" s="51"/>
    </row>
    <row r="279" spans="1:14" s="16" customFormat="1" ht="24" customHeight="1" x14ac:dyDescent="0.3">
      <c r="A279" s="41"/>
      <c r="B279" s="147"/>
      <c r="C279" s="154">
        <v>22</v>
      </c>
      <c r="D279" s="177"/>
      <c r="E279" s="160"/>
      <c r="F279" s="161"/>
      <c r="G279" s="160"/>
      <c r="H279" s="154"/>
      <c r="I279" s="618"/>
      <c r="J279" s="154"/>
      <c r="K279" s="102"/>
      <c r="L279" s="101"/>
      <c r="M279" s="51"/>
    </row>
    <row r="280" spans="1:14" s="16" customFormat="1" ht="24" customHeight="1" x14ac:dyDescent="0.3">
      <c r="A280" s="41"/>
      <c r="B280" s="147"/>
      <c r="C280" s="154">
        <v>23</v>
      </c>
      <c r="D280" s="178"/>
      <c r="E280" s="160"/>
      <c r="F280" s="161"/>
      <c r="G280" s="160"/>
      <c r="H280" s="154"/>
      <c r="I280" s="618"/>
      <c r="J280" s="154"/>
      <c r="K280" s="102"/>
      <c r="L280" s="102"/>
      <c r="M280" s="51"/>
      <c r="N280" s="6"/>
    </row>
    <row r="281" spans="1:14" s="16" customFormat="1" ht="24" customHeight="1" x14ac:dyDescent="0.3">
      <c r="A281" s="41"/>
      <c r="B281" s="147"/>
      <c r="C281" s="154">
        <v>24</v>
      </c>
      <c r="D281" s="179"/>
      <c r="E281" s="160"/>
      <c r="F281" s="161"/>
      <c r="G281" s="160"/>
      <c r="H281" s="154"/>
      <c r="I281" s="618"/>
      <c r="J281" s="154"/>
      <c r="K281" s="102"/>
      <c r="L281" s="102"/>
      <c r="M281" s="53"/>
      <c r="N281" s="6"/>
    </row>
    <row r="282" spans="1:14" s="16" customFormat="1" ht="24" customHeight="1" x14ac:dyDescent="0.3">
      <c r="A282" s="41"/>
      <c r="B282" s="147"/>
      <c r="C282" s="154">
        <v>25</v>
      </c>
      <c r="D282" s="618"/>
      <c r="E282" s="160"/>
      <c r="F282" s="161"/>
      <c r="G282" s="160"/>
      <c r="H282" s="154"/>
      <c r="I282" s="618"/>
      <c r="J282" s="154"/>
      <c r="K282" s="102"/>
      <c r="L282" s="102"/>
      <c r="M282" s="51"/>
      <c r="N282" s="6"/>
    </row>
    <row r="283" spans="1:14" s="16" customFormat="1" ht="24" customHeight="1" x14ac:dyDescent="0.3">
      <c r="A283" s="41"/>
      <c r="B283" s="147"/>
      <c r="C283" s="154">
        <v>26</v>
      </c>
      <c r="D283" s="618"/>
      <c r="E283" s="160"/>
      <c r="F283" s="161"/>
      <c r="G283" s="160"/>
      <c r="H283" s="154"/>
      <c r="I283" s="618"/>
      <c r="J283" s="154"/>
      <c r="K283" s="102"/>
      <c r="L283" s="102"/>
      <c r="M283" s="51"/>
      <c r="N283" s="6"/>
    </row>
    <row r="284" spans="1:14" s="16" customFormat="1" ht="24" customHeight="1" x14ac:dyDescent="0.3">
      <c r="A284" s="41"/>
      <c r="B284" s="147"/>
      <c r="C284" s="154">
        <v>27</v>
      </c>
      <c r="D284" s="618"/>
      <c r="E284" s="160"/>
      <c r="F284" s="161"/>
      <c r="G284" s="160"/>
      <c r="H284" s="154"/>
      <c r="I284" s="618"/>
      <c r="J284" s="154"/>
      <c r="K284" s="102"/>
      <c r="L284" s="102"/>
      <c r="M284" s="51"/>
    </row>
    <row r="285" spans="1:14" s="16" customFormat="1" ht="24" customHeight="1" x14ac:dyDescent="0.3">
      <c r="A285" s="41"/>
      <c r="B285" s="147"/>
      <c r="C285" s="154">
        <v>28</v>
      </c>
      <c r="D285" s="618"/>
      <c r="E285" s="160"/>
      <c r="F285" s="161"/>
      <c r="G285" s="160"/>
      <c r="H285" s="154"/>
      <c r="I285" s="618"/>
      <c r="J285" s="154"/>
      <c r="K285" s="102"/>
      <c r="L285" s="102"/>
      <c r="M285" s="53"/>
      <c r="N285" s="6"/>
    </row>
    <row r="286" spans="1:14" s="16" customFormat="1" ht="24" customHeight="1" x14ac:dyDescent="0.3">
      <c r="A286" s="41"/>
      <c r="B286" s="147"/>
      <c r="C286" s="154">
        <v>29</v>
      </c>
      <c r="D286" s="618"/>
      <c r="E286" s="160"/>
      <c r="F286" s="161"/>
      <c r="G286" s="160"/>
      <c r="H286" s="154"/>
      <c r="I286" s="618"/>
      <c r="J286" s="154"/>
      <c r="K286" s="102"/>
      <c r="L286" s="101"/>
      <c r="M286" s="51"/>
    </row>
    <row r="287" spans="1:14" s="16" customFormat="1" ht="24" customHeight="1" x14ac:dyDescent="0.3">
      <c r="A287" s="144"/>
      <c r="B287" s="151"/>
      <c r="C287" s="162">
        <v>30</v>
      </c>
      <c r="D287" s="618"/>
      <c r="E287" s="163"/>
      <c r="F287" s="171"/>
      <c r="G287" s="163"/>
      <c r="H287" s="162" t="s">
        <v>203</v>
      </c>
      <c r="I287" s="618"/>
      <c r="J287" s="162" t="s">
        <v>203</v>
      </c>
      <c r="K287" s="102"/>
      <c r="L287" s="101"/>
      <c r="M287" s="51"/>
    </row>
    <row r="288" spans="1:14" s="16" customFormat="1" ht="24" customHeight="1" x14ac:dyDescent="0.3">
      <c r="A288" s="140" t="s">
        <v>22</v>
      </c>
      <c r="B288" s="145" t="s">
        <v>233</v>
      </c>
      <c r="C288" s="172">
        <v>1</v>
      </c>
      <c r="D288" s="622" t="s">
        <v>17</v>
      </c>
      <c r="E288" s="173"/>
      <c r="F288" s="541" t="s">
        <v>93</v>
      </c>
      <c r="G288" s="173"/>
      <c r="H288" s="542" t="s">
        <v>95</v>
      </c>
      <c r="I288" s="632" t="s">
        <v>103</v>
      </c>
      <c r="J288" s="172" t="s">
        <v>235</v>
      </c>
      <c r="K288" s="102"/>
      <c r="L288" s="101"/>
      <c r="M288" s="51"/>
    </row>
    <row r="289" spans="1:13" s="16" customFormat="1" ht="24" customHeight="1" x14ac:dyDescent="0.3">
      <c r="A289" s="620" t="s">
        <v>12</v>
      </c>
      <c r="B289" s="621"/>
      <c r="C289" s="154">
        <v>2</v>
      </c>
      <c r="D289" s="622"/>
      <c r="E289" s="160"/>
      <c r="F289" s="540" t="s">
        <v>93</v>
      </c>
      <c r="G289" s="160"/>
      <c r="H289" s="538" t="s">
        <v>927</v>
      </c>
      <c r="I289" s="632"/>
      <c r="J289" s="154" t="s">
        <v>236</v>
      </c>
      <c r="K289" s="102"/>
      <c r="L289" s="101"/>
      <c r="M289" s="51"/>
    </row>
    <row r="290" spans="1:13" s="16" customFormat="1" ht="24" customHeight="1" x14ac:dyDescent="0.3">
      <c r="A290" s="613" t="s">
        <v>452</v>
      </c>
      <c r="B290" s="614"/>
      <c r="C290" s="154">
        <v>3</v>
      </c>
      <c r="D290" s="622"/>
      <c r="E290" s="160"/>
      <c r="F290" s="161"/>
      <c r="G290" s="160"/>
      <c r="H290" s="543"/>
      <c r="I290" s="632"/>
      <c r="J290" s="154"/>
      <c r="K290" s="102"/>
      <c r="L290" s="101"/>
      <c r="M290" s="51"/>
    </row>
    <row r="291" spans="1:13" s="16" customFormat="1" ht="24" customHeight="1" x14ac:dyDescent="0.3">
      <c r="A291" s="41"/>
      <c r="B291" s="147"/>
      <c r="C291" s="154">
        <v>4</v>
      </c>
      <c r="D291" s="622" t="s">
        <v>17</v>
      </c>
      <c r="E291" s="160"/>
      <c r="F291" s="540" t="s">
        <v>93</v>
      </c>
      <c r="G291" s="160"/>
      <c r="H291" s="538" t="s">
        <v>94</v>
      </c>
      <c r="I291" s="632" t="s">
        <v>103</v>
      </c>
      <c r="J291" s="154" t="s">
        <v>237</v>
      </c>
      <c r="K291" s="102"/>
      <c r="L291" s="101"/>
      <c r="M291" s="51"/>
    </row>
    <row r="292" spans="1:13" s="16" customFormat="1" ht="24" customHeight="1" x14ac:dyDescent="0.3">
      <c r="A292" s="41"/>
      <c r="B292" s="147"/>
      <c r="C292" s="154">
        <v>5</v>
      </c>
      <c r="D292" s="622"/>
      <c r="E292" s="160"/>
      <c r="F292" s="540" t="s">
        <v>93</v>
      </c>
      <c r="G292" s="160"/>
      <c r="H292" s="538" t="s">
        <v>226</v>
      </c>
      <c r="I292" s="632"/>
      <c r="J292" s="154" t="s">
        <v>238</v>
      </c>
      <c r="K292" s="102"/>
      <c r="L292" s="101"/>
      <c r="M292" s="51"/>
    </row>
    <row r="293" spans="1:13" s="16" customFormat="1" ht="24" customHeight="1" x14ac:dyDescent="0.3">
      <c r="A293" s="41"/>
      <c r="B293" s="147"/>
      <c r="C293" s="154">
        <v>6</v>
      </c>
      <c r="D293" s="622"/>
      <c r="E293" s="160"/>
      <c r="F293" s="540" t="s">
        <v>93</v>
      </c>
      <c r="G293" s="160"/>
      <c r="H293" s="544" t="s">
        <v>928</v>
      </c>
      <c r="I293" s="632"/>
      <c r="J293" s="170" t="s">
        <v>239</v>
      </c>
      <c r="K293" s="102"/>
      <c r="L293" s="101"/>
      <c r="M293" s="51"/>
    </row>
    <row r="294" spans="1:13" s="16" customFormat="1" ht="24" customHeight="1" x14ac:dyDescent="0.3">
      <c r="A294" s="41"/>
      <c r="B294" s="147"/>
      <c r="C294" s="154">
        <v>7</v>
      </c>
      <c r="D294" s="622" t="s">
        <v>17</v>
      </c>
      <c r="E294" s="160"/>
      <c r="F294" s="540" t="s">
        <v>93</v>
      </c>
      <c r="G294" s="160"/>
      <c r="H294" s="538" t="s">
        <v>929</v>
      </c>
      <c r="I294" s="632" t="s">
        <v>103</v>
      </c>
      <c r="J294" s="154" t="s">
        <v>240</v>
      </c>
      <c r="K294" s="102" t="s">
        <v>671</v>
      </c>
      <c r="L294" s="101"/>
      <c r="M294" s="51"/>
    </row>
    <row r="295" spans="1:13" s="16" customFormat="1" ht="24" customHeight="1" x14ac:dyDescent="0.3">
      <c r="A295" s="41"/>
      <c r="B295" s="147"/>
      <c r="C295" s="154">
        <v>8</v>
      </c>
      <c r="D295" s="622"/>
      <c r="E295" s="160"/>
      <c r="F295" s="540" t="s">
        <v>93</v>
      </c>
      <c r="G295" s="160"/>
      <c r="H295" s="538" t="s">
        <v>234</v>
      </c>
      <c r="I295" s="632"/>
      <c r="J295" s="154" t="s">
        <v>436</v>
      </c>
      <c r="K295" s="102"/>
      <c r="L295" s="136" t="s">
        <v>369</v>
      </c>
      <c r="M295" s="51"/>
    </row>
    <row r="296" spans="1:13" s="16" customFormat="1" ht="24" customHeight="1" x14ac:dyDescent="0.3">
      <c r="A296" s="41"/>
      <c r="B296" s="147"/>
      <c r="C296" s="154">
        <v>9</v>
      </c>
      <c r="D296" s="622"/>
      <c r="E296" s="160"/>
      <c r="F296" s="540" t="s">
        <v>93</v>
      </c>
      <c r="G296" s="160"/>
      <c r="H296" s="538" t="s">
        <v>446</v>
      </c>
      <c r="I296" s="632"/>
      <c r="J296" s="154" t="s">
        <v>451</v>
      </c>
      <c r="K296" s="102"/>
      <c r="L296" s="102" t="s">
        <v>202</v>
      </c>
      <c r="M296" s="51"/>
    </row>
    <row r="297" spans="1:13" s="16" customFormat="1" ht="24" customHeight="1" x14ac:dyDescent="0.3">
      <c r="A297" s="41"/>
      <c r="B297" s="147"/>
      <c r="C297" s="154">
        <v>10</v>
      </c>
      <c r="D297" s="622" t="s">
        <v>17</v>
      </c>
      <c r="E297" s="160"/>
      <c r="F297" s="161"/>
      <c r="G297" s="160"/>
      <c r="H297" s="154"/>
      <c r="I297" s="622" t="s">
        <v>17</v>
      </c>
      <c r="J297" s="154"/>
      <c r="K297" s="102"/>
      <c r="L297" s="101"/>
      <c r="M297" s="51"/>
    </row>
    <row r="298" spans="1:13" s="16" customFormat="1" ht="24" customHeight="1" x14ac:dyDescent="0.3">
      <c r="A298" s="41"/>
      <c r="B298" s="147"/>
      <c r="C298" s="154">
        <v>11</v>
      </c>
      <c r="D298" s="622"/>
      <c r="E298" s="160"/>
      <c r="F298" s="161"/>
      <c r="G298" s="160"/>
      <c r="H298" s="154"/>
      <c r="I298" s="622"/>
      <c r="J298" s="154"/>
      <c r="K298" s="102"/>
      <c r="L298" s="101"/>
      <c r="M298" s="51"/>
    </row>
    <row r="299" spans="1:13" s="16" customFormat="1" ht="24" customHeight="1" x14ac:dyDescent="0.3">
      <c r="A299" s="41"/>
      <c r="B299" s="147"/>
      <c r="C299" s="154">
        <v>12</v>
      </c>
      <c r="D299" s="622"/>
      <c r="E299" s="487" t="s">
        <v>87</v>
      </c>
      <c r="F299" s="486" t="s">
        <v>223</v>
      </c>
      <c r="G299" s="487"/>
      <c r="H299" s="488" t="s">
        <v>794</v>
      </c>
      <c r="I299" s="622"/>
      <c r="J299" s="488"/>
      <c r="K299" s="102" t="s">
        <v>796</v>
      </c>
      <c r="L299" s="101"/>
      <c r="M299" s="51"/>
    </row>
    <row r="300" spans="1:13" s="16" customFormat="1" ht="24" customHeight="1" x14ac:dyDescent="0.3">
      <c r="A300" s="41"/>
      <c r="B300" s="147"/>
      <c r="C300" s="154">
        <v>13</v>
      </c>
      <c r="D300" s="622" t="s">
        <v>17</v>
      </c>
      <c r="E300" s="160"/>
      <c r="F300" s="540" t="s">
        <v>93</v>
      </c>
      <c r="G300" s="160"/>
      <c r="H300" s="535" t="s">
        <v>883</v>
      </c>
      <c r="I300" s="632" t="s">
        <v>103</v>
      </c>
      <c r="J300" s="154" t="s">
        <v>879</v>
      </c>
      <c r="K300" s="102" t="s">
        <v>884</v>
      </c>
      <c r="L300" s="101"/>
      <c r="M300" s="51"/>
    </row>
    <row r="301" spans="1:13" s="16" customFormat="1" ht="24" customHeight="1" x14ac:dyDescent="0.3">
      <c r="A301" s="41"/>
      <c r="B301" s="147"/>
      <c r="C301" s="154">
        <v>14</v>
      </c>
      <c r="D301" s="622"/>
      <c r="E301" s="160"/>
      <c r="F301" s="161"/>
      <c r="G301" s="161"/>
      <c r="H301" s="161"/>
      <c r="I301" s="632"/>
      <c r="J301" s="154"/>
      <c r="K301" s="102"/>
      <c r="L301" s="101"/>
      <c r="M301" s="51"/>
    </row>
    <row r="302" spans="1:13" s="16" customFormat="1" ht="24" customHeight="1" x14ac:dyDescent="0.3">
      <c r="A302" s="41"/>
      <c r="B302" s="147"/>
      <c r="C302" s="154">
        <v>15</v>
      </c>
      <c r="D302" s="622"/>
      <c r="E302" s="160"/>
      <c r="F302" s="161"/>
      <c r="G302" s="161"/>
      <c r="H302" s="161"/>
      <c r="I302" s="632"/>
      <c r="J302" s="154"/>
      <c r="K302" s="102"/>
      <c r="L302" s="101"/>
      <c r="M302" s="51"/>
    </row>
    <row r="303" spans="1:13" s="16" customFormat="1" ht="24" customHeight="1" x14ac:dyDescent="0.3">
      <c r="A303" s="41"/>
      <c r="B303" s="147"/>
      <c r="C303" s="154">
        <v>16</v>
      </c>
      <c r="D303" s="622" t="s">
        <v>17</v>
      </c>
      <c r="E303" s="160"/>
      <c r="F303" s="161"/>
      <c r="G303" s="161"/>
      <c r="H303" s="161"/>
      <c r="I303" s="622" t="s">
        <v>17</v>
      </c>
      <c r="J303" s="154"/>
      <c r="K303" s="102"/>
      <c r="L303" s="102"/>
      <c r="M303" s="51"/>
    </row>
    <row r="304" spans="1:13" s="16" customFormat="1" ht="24" customHeight="1" x14ac:dyDescent="0.3">
      <c r="A304" s="41"/>
      <c r="B304" s="147"/>
      <c r="C304" s="154">
        <v>17</v>
      </c>
      <c r="D304" s="622"/>
      <c r="E304" s="160"/>
      <c r="F304" s="161"/>
      <c r="G304" s="160"/>
      <c r="H304" s="154"/>
      <c r="I304" s="622"/>
      <c r="J304" s="154"/>
      <c r="K304" s="102"/>
      <c r="L304" s="102"/>
      <c r="M304" s="53"/>
    </row>
    <row r="305" spans="1:13" s="16" customFormat="1" ht="24" customHeight="1" x14ac:dyDescent="0.3">
      <c r="A305" s="41"/>
      <c r="B305" s="147"/>
      <c r="C305" s="154">
        <v>18</v>
      </c>
      <c r="D305" s="622"/>
      <c r="E305" s="160"/>
      <c r="F305" s="161"/>
      <c r="G305" s="160"/>
      <c r="H305" s="154"/>
      <c r="I305" s="622"/>
      <c r="J305" s="154"/>
      <c r="K305" s="102"/>
      <c r="L305" s="102"/>
      <c r="M305" s="53"/>
    </row>
    <row r="306" spans="1:13" s="16" customFormat="1" ht="24" customHeight="1" x14ac:dyDescent="0.3">
      <c r="A306" s="41"/>
      <c r="B306" s="147"/>
      <c r="C306" s="154">
        <v>19</v>
      </c>
      <c r="D306" s="618"/>
      <c r="E306" s="160"/>
      <c r="F306" s="161"/>
      <c r="G306" s="160"/>
      <c r="H306" s="154"/>
      <c r="I306" s="618"/>
      <c r="J306" s="154"/>
      <c r="K306" s="102"/>
      <c r="L306" s="102"/>
      <c r="M306" s="53"/>
    </row>
    <row r="307" spans="1:13" s="16" customFormat="1" ht="24" customHeight="1" x14ac:dyDescent="0.3">
      <c r="A307" s="41"/>
      <c r="B307" s="147"/>
      <c r="C307" s="154">
        <v>20</v>
      </c>
      <c r="D307" s="618"/>
      <c r="E307" s="160"/>
      <c r="F307" s="161"/>
      <c r="G307" s="160"/>
      <c r="H307" s="154"/>
      <c r="I307" s="618"/>
      <c r="J307" s="154"/>
      <c r="K307" s="102"/>
      <c r="L307" s="102"/>
      <c r="M307" s="53"/>
    </row>
    <row r="308" spans="1:13" s="16" customFormat="1" ht="24" customHeight="1" x14ac:dyDescent="0.3">
      <c r="A308" s="41"/>
      <c r="B308" s="147"/>
      <c r="C308" s="154">
        <v>21</v>
      </c>
      <c r="D308" s="618"/>
      <c r="E308" s="160"/>
      <c r="F308" s="161"/>
      <c r="G308" s="160"/>
      <c r="H308" s="154"/>
      <c r="I308" s="618"/>
      <c r="J308" s="154"/>
      <c r="K308" s="102"/>
      <c r="L308" s="102"/>
      <c r="M308" s="53"/>
    </row>
    <row r="309" spans="1:13" s="16" customFormat="1" ht="24" customHeight="1" x14ac:dyDescent="0.3">
      <c r="A309" s="41"/>
      <c r="B309" s="147"/>
      <c r="C309" s="154">
        <v>22</v>
      </c>
      <c r="D309" s="618"/>
      <c r="E309" s="160"/>
      <c r="F309" s="161"/>
      <c r="G309" s="160"/>
      <c r="H309" s="154"/>
      <c r="I309" s="618"/>
      <c r="J309" s="154"/>
      <c r="K309" s="102"/>
      <c r="M309" s="18"/>
    </row>
    <row r="310" spans="1:13" s="16" customFormat="1" ht="24" customHeight="1" x14ac:dyDescent="0.3">
      <c r="A310" s="41"/>
      <c r="B310" s="147"/>
      <c r="C310" s="154">
        <v>23</v>
      </c>
      <c r="D310" s="618"/>
      <c r="E310" s="160"/>
      <c r="F310" s="161"/>
      <c r="G310" s="160"/>
      <c r="H310" s="154"/>
      <c r="I310" s="618"/>
      <c r="J310" s="154"/>
      <c r="K310" s="102"/>
      <c r="L310" s="102"/>
      <c r="M310" s="53"/>
    </row>
    <row r="311" spans="1:13" s="16" customFormat="1" ht="24" customHeight="1" x14ac:dyDescent="0.3">
      <c r="A311" s="41"/>
      <c r="B311" s="147"/>
      <c r="C311" s="154">
        <v>24</v>
      </c>
      <c r="D311" s="618"/>
      <c r="E311" s="160"/>
      <c r="F311" s="161"/>
      <c r="G311" s="160"/>
      <c r="H311" s="154"/>
      <c r="I311" s="618"/>
      <c r="J311" s="154"/>
      <c r="K311" s="102"/>
      <c r="L311" s="102"/>
      <c r="M311" s="53"/>
    </row>
    <row r="312" spans="1:13" s="16" customFormat="1" ht="24" customHeight="1" x14ac:dyDescent="0.3">
      <c r="A312" s="41"/>
      <c r="B312" s="147"/>
      <c r="C312" s="154">
        <v>25</v>
      </c>
      <c r="D312" s="618"/>
      <c r="E312" s="160"/>
      <c r="F312" s="161"/>
      <c r="G312" s="160"/>
      <c r="H312" s="154"/>
      <c r="I312" s="618"/>
      <c r="J312" s="154"/>
      <c r="K312" s="102"/>
      <c r="L312" s="102"/>
      <c r="M312" s="53"/>
    </row>
    <row r="313" spans="1:13" s="16" customFormat="1" ht="24" customHeight="1" x14ac:dyDescent="0.3">
      <c r="A313" s="41"/>
      <c r="B313" s="147"/>
      <c r="C313" s="154">
        <v>26</v>
      </c>
      <c r="D313" s="618"/>
      <c r="E313" s="160"/>
      <c r="F313" s="161"/>
      <c r="G313" s="160"/>
      <c r="H313" s="154"/>
      <c r="I313" s="618"/>
      <c r="J313" s="154"/>
      <c r="K313" s="102"/>
      <c r="L313" s="102"/>
      <c r="M313" s="51"/>
    </row>
    <row r="314" spans="1:13" s="16" customFormat="1" ht="24" customHeight="1" x14ac:dyDescent="0.3">
      <c r="A314" s="41"/>
      <c r="B314" s="147"/>
      <c r="C314" s="154">
        <v>27</v>
      </c>
      <c r="D314" s="618"/>
      <c r="E314" s="160"/>
      <c r="F314" s="161"/>
      <c r="G314" s="160"/>
      <c r="H314" s="154"/>
      <c r="I314" s="618"/>
      <c r="J314" s="154"/>
      <c r="K314" s="102"/>
      <c r="L314" s="102"/>
      <c r="M314" s="51"/>
    </row>
    <row r="315" spans="1:13" s="16" customFormat="1" ht="24" customHeight="1" x14ac:dyDescent="0.3">
      <c r="A315" s="41"/>
      <c r="B315" s="147"/>
      <c r="C315" s="154">
        <v>28</v>
      </c>
      <c r="D315" s="618"/>
      <c r="E315" s="160"/>
      <c r="F315" s="161"/>
      <c r="G315" s="160"/>
      <c r="H315" s="154"/>
      <c r="I315" s="618"/>
      <c r="J315" s="154"/>
      <c r="K315" s="102"/>
      <c r="L315" s="102"/>
      <c r="M315" s="51"/>
    </row>
    <row r="316" spans="1:13" s="16" customFormat="1" ht="24" customHeight="1" x14ac:dyDescent="0.3">
      <c r="A316" s="41"/>
      <c r="B316" s="147"/>
      <c r="C316" s="154">
        <v>29</v>
      </c>
      <c r="D316" s="618"/>
      <c r="E316" s="160"/>
      <c r="F316" s="161"/>
      <c r="G316" s="160"/>
      <c r="H316" s="154"/>
      <c r="I316" s="618"/>
      <c r="J316" s="154"/>
      <c r="K316" s="102"/>
      <c r="L316" s="102"/>
      <c r="M316" s="51"/>
    </row>
    <row r="317" spans="1:13" s="16" customFormat="1" ht="24" customHeight="1" x14ac:dyDescent="0.3">
      <c r="A317" s="139"/>
      <c r="B317" s="148"/>
      <c r="C317" s="158">
        <v>30</v>
      </c>
      <c r="D317" s="618"/>
      <c r="E317" s="165"/>
      <c r="F317" s="166"/>
      <c r="G317" s="165"/>
      <c r="H317" s="158"/>
      <c r="I317" s="618"/>
      <c r="J317" s="158"/>
      <c r="K317" s="102"/>
      <c r="L317" s="102"/>
      <c r="M317" s="51"/>
    </row>
    <row r="318" spans="1:13" s="16" customFormat="1" ht="24" customHeight="1" x14ac:dyDescent="0.3">
      <c r="A318" s="141" t="s">
        <v>22</v>
      </c>
      <c r="B318" s="149" t="s">
        <v>224</v>
      </c>
      <c r="C318" s="152">
        <v>1</v>
      </c>
      <c r="D318" s="622" t="s">
        <v>17</v>
      </c>
      <c r="E318" s="167"/>
      <c r="F318" s="536" t="s">
        <v>93</v>
      </c>
      <c r="G318" s="530"/>
      <c r="H318" s="545" t="s">
        <v>95</v>
      </c>
      <c r="I318" s="632" t="s">
        <v>103</v>
      </c>
      <c r="J318" s="152" t="s">
        <v>227</v>
      </c>
      <c r="K318" s="102"/>
      <c r="L318" s="102"/>
      <c r="M318" s="51"/>
    </row>
    <row r="319" spans="1:13" s="16" customFormat="1" ht="24" customHeight="1" x14ac:dyDescent="0.3">
      <c r="A319" s="620" t="s">
        <v>12</v>
      </c>
      <c r="B319" s="621"/>
      <c r="C319" s="154">
        <v>2</v>
      </c>
      <c r="D319" s="622"/>
      <c r="E319" s="160"/>
      <c r="F319" s="540" t="s">
        <v>93</v>
      </c>
      <c r="G319" s="532"/>
      <c r="H319" s="546" t="s">
        <v>433</v>
      </c>
      <c r="I319" s="632"/>
      <c r="J319" s="154" t="s">
        <v>228</v>
      </c>
      <c r="K319" s="102"/>
      <c r="L319" s="102"/>
      <c r="M319" s="51"/>
    </row>
    <row r="320" spans="1:13" s="16" customFormat="1" ht="24" customHeight="1" x14ac:dyDescent="0.3">
      <c r="A320" s="613" t="s">
        <v>452</v>
      </c>
      <c r="B320" s="614"/>
      <c r="C320" s="154">
        <v>3</v>
      </c>
      <c r="D320" s="622"/>
      <c r="E320" s="160"/>
      <c r="F320" s="540" t="s">
        <v>93</v>
      </c>
      <c r="G320" s="532"/>
      <c r="H320" s="546" t="s">
        <v>225</v>
      </c>
      <c r="I320" s="632"/>
      <c r="J320" s="154" t="s">
        <v>876</v>
      </c>
      <c r="K320" s="102" t="s">
        <v>884</v>
      </c>
      <c r="L320" s="101"/>
      <c r="M320" s="51"/>
    </row>
    <row r="321" spans="1:13" s="16" customFormat="1" ht="24" customHeight="1" x14ac:dyDescent="0.3">
      <c r="A321" s="41"/>
      <c r="B321" s="147"/>
      <c r="C321" s="154">
        <v>4</v>
      </c>
      <c r="D321" s="622" t="s">
        <v>17</v>
      </c>
      <c r="E321" s="160"/>
      <c r="F321" s="540" t="s">
        <v>93</v>
      </c>
      <c r="G321" s="532"/>
      <c r="H321" s="546" t="s">
        <v>405</v>
      </c>
      <c r="I321" s="632" t="s">
        <v>103</v>
      </c>
      <c r="J321" s="154" t="s">
        <v>229</v>
      </c>
      <c r="K321" s="102"/>
      <c r="L321" s="101"/>
      <c r="M321" s="51"/>
    </row>
    <row r="322" spans="1:13" s="16" customFormat="1" ht="24" customHeight="1" x14ac:dyDescent="0.3">
      <c r="A322" s="41"/>
      <c r="B322" s="147"/>
      <c r="C322" s="154">
        <v>5</v>
      </c>
      <c r="D322" s="622"/>
      <c r="E322" s="160"/>
      <c r="F322" s="540" t="s">
        <v>93</v>
      </c>
      <c r="G322" s="532"/>
      <c r="H322" s="546" t="s">
        <v>226</v>
      </c>
      <c r="I322" s="632"/>
      <c r="J322" s="154" t="s">
        <v>230</v>
      </c>
      <c r="K322" s="102"/>
      <c r="L322" s="101"/>
      <c r="M322" s="51"/>
    </row>
    <row r="323" spans="1:13" s="16" customFormat="1" ht="24" customHeight="1" x14ac:dyDescent="0.3">
      <c r="A323" s="41"/>
      <c r="B323" s="147"/>
      <c r="C323" s="154">
        <v>6</v>
      </c>
      <c r="D323" s="622"/>
      <c r="E323" s="212"/>
      <c r="F323" s="544" t="s">
        <v>93</v>
      </c>
      <c r="G323" s="532"/>
      <c r="H323" s="547" t="s">
        <v>930</v>
      </c>
      <c r="I323" s="632"/>
      <c r="J323" s="213" t="s">
        <v>231</v>
      </c>
      <c r="K323" s="365"/>
      <c r="L323" s="136" t="s">
        <v>404</v>
      </c>
      <c r="M323" s="51"/>
    </row>
    <row r="324" spans="1:13" s="16" customFormat="1" ht="24" customHeight="1" x14ac:dyDescent="0.3">
      <c r="A324" s="41"/>
      <c r="B324" s="147"/>
      <c r="C324" s="154">
        <v>7</v>
      </c>
      <c r="D324" s="622" t="s">
        <v>17</v>
      </c>
      <c r="E324" s="212"/>
      <c r="F324" s="540" t="s">
        <v>93</v>
      </c>
      <c r="G324" s="532"/>
      <c r="H324" s="546" t="s">
        <v>931</v>
      </c>
      <c r="I324" s="632" t="s">
        <v>103</v>
      </c>
      <c r="J324" s="214" t="s">
        <v>232</v>
      </c>
      <c r="K324" s="365" t="s">
        <v>672</v>
      </c>
      <c r="L324" s="136" t="s">
        <v>404</v>
      </c>
      <c r="M324" s="51"/>
    </row>
    <row r="325" spans="1:13" s="16" customFormat="1" ht="24" customHeight="1" x14ac:dyDescent="0.3">
      <c r="A325" s="41"/>
      <c r="B325" s="147"/>
      <c r="C325" s="154">
        <v>8</v>
      </c>
      <c r="D325" s="622"/>
      <c r="E325" s="160"/>
      <c r="F325" s="540" t="s">
        <v>93</v>
      </c>
      <c r="G325" s="532"/>
      <c r="H325" s="546" t="s">
        <v>434</v>
      </c>
      <c r="I325" s="632"/>
      <c r="J325" s="154" t="s">
        <v>209</v>
      </c>
      <c r="K325" s="102"/>
      <c r="L325" s="136" t="s">
        <v>369</v>
      </c>
      <c r="M325" s="51"/>
    </row>
    <row r="326" spans="1:13" s="16" customFormat="1" ht="24" customHeight="1" x14ac:dyDescent="0.3">
      <c r="A326" s="41"/>
      <c r="B326" s="147"/>
      <c r="C326" s="154">
        <v>9</v>
      </c>
      <c r="D326" s="622"/>
      <c r="E326" s="160"/>
      <c r="F326" s="540" t="s">
        <v>93</v>
      </c>
      <c r="G326" s="532"/>
      <c r="H326" s="546" t="s">
        <v>381</v>
      </c>
      <c r="I326" s="632"/>
      <c r="J326" s="154" t="s">
        <v>435</v>
      </c>
      <c r="K326" s="102"/>
      <c r="L326" s="136" t="s">
        <v>369</v>
      </c>
      <c r="M326" s="51"/>
    </row>
    <row r="327" spans="1:13" s="16" customFormat="1" ht="24" customHeight="1" x14ac:dyDescent="0.3">
      <c r="A327" s="41"/>
      <c r="B327" s="147"/>
      <c r="C327" s="154">
        <v>10</v>
      </c>
      <c r="D327" s="622" t="s">
        <v>17</v>
      </c>
      <c r="E327" s="227" t="s">
        <v>87</v>
      </c>
      <c r="F327" s="228" t="s">
        <v>223</v>
      </c>
      <c r="G327" s="227"/>
      <c r="H327" s="226" t="s">
        <v>440</v>
      </c>
      <c r="I327" s="622" t="s">
        <v>17</v>
      </c>
      <c r="J327" s="226" t="s">
        <v>439</v>
      </c>
      <c r="K327" s="361"/>
      <c r="L327" s="136" t="s">
        <v>369</v>
      </c>
      <c r="M327" s="51"/>
    </row>
    <row r="328" spans="1:13" s="16" customFormat="1" ht="24" customHeight="1" x14ac:dyDescent="0.3">
      <c r="A328" s="41"/>
      <c r="B328" s="147"/>
      <c r="C328" s="154">
        <v>11</v>
      </c>
      <c r="D328" s="622"/>
      <c r="E328" s="227" t="s">
        <v>444</v>
      </c>
      <c r="F328" s="228" t="s">
        <v>223</v>
      </c>
      <c r="G328" s="227" t="s">
        <v>27</v>
      </c>
      <c r="H328" s="226" t="s">
        <v>255</v>
      </c>
      <c r="I328" s="622"/>
      <c r="J328" s="226" t="s">
        <v>443</v>
      </c>
      <c r="K328" s="361"/>
      <c r="L328" s="136" t="s">
        <v>369</v>
      </c>
      <c r="M328" s="51"/>
    </row>
    <row r="329" spans="1:13" s="16" customFormat="1" ht="24" customHeight="1" x14ac:dyDescent="0.3">
      <c r="A329" s="41"/>
      <c r="B329" s="147"/>
      <c r="C329" s="154">
        <v>12</v>
      </c>
      <c r="D329" s="622"/>
      <c r="E329" s="473" t="s">
        <v>87</v>
      </c>
      <c r="F329" s="211" t="s">
        <v>223</v>
      </c>
      <c r="G329" s="473"/>
      <c r="H329" s="210" t="s">
        <v>246</v>
      </c>
      <c r="I329" s="622"/>
      <c r="J329" s="210" t="s">
        <v>441</v>
      </c>
      <c r="K329" s="361"/>
      <c r="L329" s="136" t="s">
        <v>369</v>
      </c>
      <c r="M329" s="51"/>
    </row>
    <row r="330" spans="1:13" s="16" customFormat="1" ht="24" customHeight="1" x14ac:dyDescent="0.3">
      <c r="A330" s="41"/>
      <c r="B330" s="147"/>
      <c r="C330" s="154">
        <v>13</v>
      </c>
      <c r="D330" s="622" t="s">
        <v>17</v>
      </c>
      <c r="E330" s="227" t="s">
        <v>87</v>
      </c>
      <c r="F330" s="228" t="s">
        <v>223</v>
      </c>
      <c r="G330" s="227" t="s">
        <v>27</v>
      </c>
      <c r="H330" s="226" t="s">
        <v>247</v>
      </c>
      <c r="I330" s="622" t="s">
        <v>17</v>
      </c>
      <c r="J330" s="226" t="s">
        <v>442</v>
      </c>
      <c r="K330" s="361"/>
      <c r="L330" s="136" t="s">
        <v>369</v>
      </c>
      <c r="M330" s="51"/>
    </row>
    <row r="331" spans="1:13" s="16" customFormat="1" ht="24" customHeight="1" x14ac:dyDescent="0.3">
      <c r="A331" s="41"/>
      <c r="B331" s="147"/>
      <c r="C331" s="154">
        <v>14</v>
      </c>
      <c r="D331" s="622"/>
      <c r="E331" s="160" t="s">
        <v>89</v>
      </c>
      <c r="F331" s="161" t="s">
        <v>223</v>
      </c>
      <c r="G331" s="161"/>
      <c r="H331" s="211" t="s">
        <v>381</v>
      </c>
      <c r="I331" s="622"/>
      <c r="J331" s="208" t="s">
        <v>403</v>
      </c>
      <c r="K331" s="366"/>
      <c r="L331" s="136" t="s">
        <v>392</v>
      </c>
      <c r="M331" s="51"/>
    </row>
    <row r="332" spans="1:13" s="16" customFormat="1" ht="24" customHeight="1" x14ac:dyDescent="0.3">
      <c r="A332" s="41"/>
      <c r="B332" s="147"/>
      <c r="C332" s="154">
        <v>15</v>
      </c>
      <c r="D332" s="622"/>
      <c r="E332" s="160" t="s">
        <v>89</v>
      </c>
      <c r="F332" s="161" t="s">
        <v>223</v>
      </c>
      <c r="G332" s="161"/>
      <c r="H332" s="211" t="s">
        <v>254</v>
      </c>
      <c r="I332" s="622"/>
      <c r="J332" s="154" t="s">
        <v>253</v>
      </c>
      <c r="K332" s="102"/>
      <c r="L332" s="101"/>
      <c r="M332" s="51"/>
    </row>
    <row r="333" spans="1:13" s="16" customFormat="1" ht="24" customHeight="1" x14ac:dyDescent="0.3">
      <c r="A333" s="41"/>
      <c r="B333" s="147"/>
      <c r="C333" s="154">
        <v>16</v>
      </c>
      <c r="D333" s="622" t="s">
        <v>17</v>
      </c>
      <c r="E333" s="160" t="s">
        <v>89</v>
      </c>
      <c r="F333" s="161" t="s">
        <v>223</v>
      </c>
      <c r="G333" s="160"/>
      <c r="H333" s="210" t="s">
        <v>376</v>
      </c>
      <c r="I333" s="622" t="s">
        <v>17</v>
      </c>
      <c r="J333" s="154" t="s">
        <v>402</v>
      </c>
      <c r="K333" s="102"/>
      <c r="L333" s="136" t="s">
        <v>392</v>
      </c>
      <c r="M333" s="51"/>
    </row>
    <row r="334" spans="1:13" s="16" customFormat="1" ht="24" customHeight="1" x14ac:dyDescent="0.3">
      <c r="A334" s="41"/>
      <c r="B334" s="147"/>
      <c r="C334" s="154">
        <v>17</v>
      </c>
      <c r="D334" s="622"/>
      <c r="E334" s="160"/>
      <c r="F334" s="161"/>
      <c r="G334" s="160"/>
      <c r="H334" s="154"/>
      <c r="I334" s="622"/>
      <c r="J334" s="154"/>
      <c r="K334" s="102"/>
      <c r="L334" s="101"/>
      <c r="M334" s="51"/>
    </row>
    <row r="335" spans="1:13" s="16" customFormat="1" ht="24" customHeight="1" x14ac:dyDescent="0.3">
      <c r="A335" s="41"/>
      <c r="B335" s="147"/>
      <c r="C335" s="154">
        <v>18</v>
      </c>
      <c r="D335" s="622"/>
      <c r="E335" s="201" t="s">
        <v>89</v>
      </c>
      <c r="F335" s="202" t="s">
        <v>223</v>
      </c>
      <c r="G335" s="201"/>
      <c r="H335" s="203" t="s">
        <v>773</v>
      </c>
      <c r="I335" s="622"/>
      <c r="J335" s="203" t="s">
        <v>770</v>
      </c>
      <c r="K335" s="102"/>
      <c r="L335" s="101"/>
      <c r="M335" s="51"/>
    </row>
    <row r="336" spans="1:13" s="16" customFormat="1" ht="24" customHeight="1" x14ac:dyDescent="0.3">
      <c r="A336" s="41"/>
      <c r="B336" s="147"/>
      <c r="C336" s="154">
        <v>19</v>
      </c>
      <c r="D336" s="622" t="s">
        <v>17</v>
      </c>
      <c r="E336" s="201"/>
      <c r="F336" s="202" t="s">
        <v>93</v>
      </c>
      <c r="G336" s="201"/>
      <c r="H336" s="203" t="s">
        <v>772</v>
      </c>
      <c r="I336" s="622" t="s">
        <v>17</v>
      </c>
      <c r="J336" s="203" t="s">
        <v>771</v>
      </c>
      <c r="K336" s="102"/>
      <c r="L336" s="101"/>
      <c r="M336" s="51"/>
    </row>
    <row r="337" spans="1:13" s="16" customFormat="1" ht="24" customHeight="1" x14ac:dyDescent="0.3">
      <c r="A337" s="41"/>
      <c r="B337" s="147"/>
      <c r="C337" s="154">
        <v>20</v>
      </c>
      <c r="D337" s="622"/>
      <c r="E337" s="201"/>
      <c r="F337" s="202" t="s">
        <v>93</v>
      </c>
      <c r="G337" s="201"/>
      <c r="H337" s="203" t="s">
        <v>777</v>
      </c>
      <c r="I337" s="622"/>
      <c r="J337" s="203" t="s">
        <v>776</v>
      </c>
      <c r="K337" s="102"/>
      <c r="L337" s="101"/>
      <c r="M337" s="51"/>
    </row>
    <row r="338" spans="1:13" s="16" customFormat="1" ht="24" customHeight="1" x14ac:dyDescent="0.3">
      <c r="A338" s="41"/>
      <c r="B338" s="147"/>
      <c r="C338" s="154">
        <v>21</v>
      </c>
      <c r="D338" s="622"/>
      <c r="E338" s="160"/>
      <c r="F338" s="161"/>
      <c r="G338" s="160"/>
      <c r="H338" s="154"/>
      <c r="I338" s="622"/>
      <c r="J338" s="154"/>
      <c r="K338" s="102"/>
      <c r="L338" s="101"/>
      <c r="M338" s="51"/>
    </row>
    <row r="339" spans="1:13" s="16" customFormat="1" ht="24" customHeight="1" x14ac:dyDescent="0.3">
      <c r="A339" s="41"/>
      <c r="B339" s="147"/>
      <c r="C339" s="154">
        <v>22</v>
      </c>
      <c r="D339" s="622" t="s">
        <v>17</v>
      </c>
      <c r="E339" s="201" t="s">
        <v>89</v>
      </c>
      <c r="F339" s="202" t="s">
        <v>223</v>
      </c>
      <c r="G339" s="201"/>
      <c r="H339" s="203" t="s">
        <v>775</v>
      </c>
      <c r="I339" s="622" t="s">
        <v>17</v>
      </c>
      <c r="J339" s="203" t="s">
        <v>774</v>
      </c>
      <c r="K339" s="102"/>
      <c r="L339" s="101"/>
      <c r="M339" s="51"/>
    </row>
    <row r="340" spans="1:13" s="16" customFormat="1" ht="24" customHeight="1" x14ac:dyDescent="0.3">
      <c r="A340" s="41"/>
      <c r="B340" s="147"/>
      <c r="C340" s="154">
        <v>23</v>
      </c>
      <c r="D340" s="622"/>
      <c r="E340" s="487" t="s">
        <v>89</v>
      </c>
      <c r="F340" s="486" t="s">
        <v>223</v>
      </c>
      <c r="G340" s="487"/>
      <c r="H340" s="488" t="s">
        <v>793</v>
      </c>
      <c r="I340" s="622"/>
      <c r="J340" s="488"/>
      <c r="K340" s="102" t="s">
        <v>796</v>
      </c>
      <c r="L340" s="101"/>
      <c r="M340" s="51"/>
    </row>
    <row r="341" spans="1:13" s="16" customFormat="1" ht="24" customHeight="1" x14ac:dyDescent="0.3">
      <c r="A341" s="41"/>
      <c r="B341" s="147"/>
      <c r="C341" s="154">
        <v>24</v>
      </c>
      <c r="D341" s="622"/>
      <c r="E341" s="487"/>
      <c r="F341" s="486" t="s">
        <v>93</v>
      </c>
      <c r="G341" s="487"/>
      <c r="H341" s="488" t="s">
        <v>795</v>
      </c>
      <c r="I341" s="622"/>
      <c r="J341" s="488"/>
      <c r="K341" s="102" t="s">
        <v>796</v>
      </c>
      <c r="L341" s="101"/>
      <c r="M341" s="51"/>
    </row>
    <row r="342" spans="1:13" s="16" customFormat="1" ht="24" customHeight="1" x14ac:dyDescent="0.3">
      <c r="A342" s="41"/>
      <c r="B342" s="147"/>
      <c r="C342" s="154">
        <v>25</v>
      </c>
      <c r="D342" s="618"/>
      <c r="E342" s="160"/>
      <c r="F342" s="161"/>
      <c r="G342" s="160"/>
      <c r="H342" s="154"/>
      <c r="I342" s="618"/>
      <c r="J342" s="154"/>
      <c r="K342" s="102"/>
      <c r="L342" s="101"/>
      <c r="M342" s="51"/>
    </row>
    <row r="343" spans="1:13" s="16" customFormat="1" ht="24" customHeight="1" x14ac:dyDescent="0.3">
      <c r="A343" s="41"/>
      <c r="B343" s="147"/>
      <c r="C343" s="154">
        <v>26</v>
      </c>
      <c r="D343" s="618"/>
      <c r="E343" s="160"/>
      <c r="F343" s="161"/>
      <c r="G343" s="160"/>
      <c r="H343" s="154"/>
      <c r="I343" s="618"/>
      <c r="J343" s="154"/>
      <c r="K343" s="102"/>
      <c r="L343" s="101"/>
      <c r="M343" s="51"/>
    </row>
    <row r="344" spans="1:13" s="16" customFormat="1" ht="24" customHeight="1" x14ac:dyDescent="0.3">
      <c r="A344" s="41"/>
      <c r="B344" s="147"/>
      <c r="C344" s="154">
        <v>27</v>
      </c>
      <c r="D344" s="618"/>
      <c r="E344" s="160"/>
      <c r="F344" s="161"/>
      <c r="G344" s="160"/>
      <c r="H344" s="154"/>
      <c r="I344" s="618"/>
      <c r="J344" s="154"/>
      <c r="K344" s="102"/>
      <c r="L344" s="101"/>
      <c r="M344" s="51"/>
    </row>
    <row r="345" spans="1:13" s="16" customFormat="1" ht="24" customHeight="1" x14ac:dyDescent="0.3">
      <c r="A345" s="41"/>
      <c r="B345" s="147"/>
      <c r="C345" s="154">
        <v>28</v>
      </c>
      <c r="D345" s="618"/>
      <c r="E345" s="160"/>
      <c r="F345" s="161"/>
      <c r="G345" s="160"/>
      <c r="H345" s="154"/>
      <c r="I345" s="618"/>
      <c r="J345" s="154"/>
      <c r="K345" s="102"/>
      <c r="L345" s="101"/>
      <c r="M345" s="51"/>
    </row>
    <row r="346" spans="1:13" s="16" customFormat="1" ht="24" customHeight="1" x14ac:dyDescent="0.3">
      <c r="A346" s="41"/>
      <c r="B346" s="147"/>
      <c r="C346" s="154">
        <v>29</v>
      </c>
      <c r="D346" s="618"/>
      <c r="E346" s="160"/>
      <c r="F346" s="161"/>
      <c r="G346" s="160"/>
      <c r="H346" s="154"/>
      <c r="I346" s="618"/>
      <c r="J346" s="154"/>
      <c r="K346" s="102"/>
      <c r="L346" s="101"/>
      <c r="M346" s="51"/>
    </row>
    <row r="347" spans="1:13" s="16" customFormat="1" ht="24" customHeight="1" x14ac:dyDescent="0.3">
      <c r="A347" s="144"/>
      <c r="B347" s="151"/>
      <c r="C347" s="162">
        <v>30</v>
      </c>
      <c r="D347" s="618"/>
      <c r="E347" s="163"/>
      <c r="F347" s="171"/>
      <c r="G347" s="163"/>
      <c r="H347" s="162"/>
      <c r="I347" s="618"/>
      <c r="J347" s="162"/>
      <c r="K347" s="102"/>
      <c r="L347" s="101"/>
      <c r="M347" s="51"/>
    </row>
    <row r="351" spans="1:13" ht="22.5" customHeight="1" x14ac:dyDescent="0.3">
      <c r="A351" s="619" t="s">
        <v>579</v>
      </c>
      <c r="B351" s="619"/>
      <c r="C351" s="619"/>
      <c r="D351" s="619"/>
      <c r="E351" s="619"/>
      <c r="F351" s="619"/>
      <c r="G351" s="619"/>
      <c r="H351" s="368"/>
      <c r="I351" s="367"/>
      <c r="J351" s="367"/>
    </row>
    <row r="352" spans="1:13" ht="22.5" customHeight="1" x14ac:dyDescent="0.3">
      <c r="A352" s="367"/>
      <c r="B352" s="367"/>
      <c r="C352" s="367"/>
      <c r="D352" s="367"/>
      <c r="E352" s="368"/>
      <c r="F352" s="369"/>
      <c r="G352" s="368"/>
      <c r="H352" s="368"/>
      <c r="I352" s="367"/>
      <c r="J352" s="367"/>
    </row>
    <row r="353" spans="1:10" ht="22.5" customHeight="1" thickBot="1" x14ac:dyDescent="0.35">
      <c r="A353" s="367"/>
      <c r="B353" s="367"/>
      <c r="C353" s="367"/>
      <c r="D353" s="367"/>
      <c r="E353" s="368"/>
      <c r="F353" s="369"/>
      <c r="G353" s="368"/>
      <c r="H353" s="368"/>
      <c r="I353" s="367"/>
      <c r="J353" s="367"/>
    </row>
    <row r="354" spans="1:10" ht="40.5" customHeight="1" thickBot="1" x14ac:dyDescent="0.35">
      <c r="A354" s="367"/>
      <c r="B354" s="610" t="s">
        <v>580</v>
      </c>
      <c r="C354" s="611"/>
      <c r="D354" s="612"/>
      <c r="E354" s="368"/>
      <c r="F354" s="615" t="s">
        <v>584</v>
      </c>
      <c r="G354" s="616"/>
      <c r="H354" s="617"/>
      <c r="I354" s="367"/>
      <c r="J354" s="367"/>
    </row>
    <row r="355" spans="1:10" ht="22.5" customHeight="1" thickBot="1" x14ac:dyDescent="0.35">
      <c r="A355" s="367"/>
      <c r="B355" s="368"/>
      <c r="C355" s="367"/>
      <c r="D355" s="367"/>
      <c r="E355" s="368"/>
      <c r="F355" s="369"/>
      <c r="G355" s="368"/>
      <c r="H355" s="368"/>
      <c r="I355" s="367"/>
      <c r="J355" s="367"/>
    </row>
    <row r="356" spans="1:10" ht="22.5" customHeight="1" thickBot="1" x14ac:dyDescent="0.35">
      <c r="A356" s="367"/>
      <c r="B356" s="610" t="s">
        <v>581</v>
      </c>
      <c r="C356" s="611"/>
      <c r="D356" s="612"/>
      <c r="E356" s="368"/>
      <c r="F356" s="602" t="s">
        <v>589</v>
      </c>
      <c r="G356" s="603"/>
      <c r="H356" s="604"/>
      <c r="I356" s="367"/>
      <c r="J356" s="367"/>
    </row>
    <row r="357" spans="1:10" ht="22.5" customHeight="1" thickBot="1" x14ac:dyDescent="0.35">
      <c r="A357" s="367"/>
      <c r="B357" s="368"/>
      <c r="C357" s="367"/>
      <c r="D357" s="367"/>
      <c r="E357" s="368"/>
      <c r="F357" s="369"/>
      <c r="G357" s="368"/>
      <c r="H357" s="368"/>
      <c r="I357" s="367"/>
      <c r="J357" s="367"/>
    </row>
    <row r="358" spans="1:10" ht="22.5" customHeight="1" thickBot="1" x14ac:dyDescent="0.35">
      <c r="A358" s="367"/>
      <c r="B358" s="610" t="s">
        <v>582</v>
      </c>
      <c r="C358" s="611"/>
      <c r="D358" s="612"/>
      <c r="E358" s="368"/>
      <c r="F358" s="602" t="s">
        <v>585</v>
      </c>
      <c r="G358" s="603"/>
      <c r="H358" s="604"/>
      <c r="I358" s="367"/>
      <c r="J358" s="367"/>
    </row>
    <row r="359" spans="1:10" ht="22.5" customHeight="1" thickBot="1" x14ac:dyDescent="0.35">
      <c r="A359" s="367"/>
      <c r="B359" s="368"/>
      <c r="C359" s="367"/>
      <c r="D359" s="367"/>
      <c r="E359" s="368"/>
      <c r="F359" s="369"/>
      <c r="G359" s="368"/>
      <c r="H359" s="368"/>
      <c r="I359" s="367"/>
      <c r="J359" s="367"/>
    </row>
    <row r="360" spans="1:10" ht="22.5" customHeight="1" thickBot="1" x14ac:dyDescent="0.35">
      <c r="A360" s="367"/>
      <c r="B360" s="610" t="s">
        <v>222</v>
      </c>
      <c r="C360" s="611"/>
      <c r="D360" s="612"/>
      <c r="E360" s="368"/>
      <c r="F360" s="602" t="s">
        <v>222</v>
      </c>
      <c r="G360" s="603"/>
      <c r="H360" s="604"/>
      <c r="I360" s="367"/>
      <c r="J360" s="367"/>
    </row>
    <row r="361" spans="1:10" ht="22.5" customHeight="1" thickBot="1" x14ac:dyDescent="0.35">
      <c r="A361" s="367"/>
      <c r="B361" s="368"/>
      <c r="C361" s="367"/>
      <c r="D361" s="367"/>
      <c r="E361" s="368"/>
      <c r="F361" s="369"/>
      <c r="G361" s="368"/>
      <c r="H361" s="368"/>
      <c r="I361" s="367"/>
      <c r="J361" s="367"/>
    </row>
    <row r="362" spans="1:10" ht="22.5" customHeight="1" thickBot="1" x14ac:dyDescent="0.35">
      <c r="A362" s="367"/>
      <c r="B362" s="610" t="s">
        <v>222</v>
      </c>
      <c r="C362" s="611"/>
      <c r="D362" s="612"/>
      <c r="E362" s="368"/>
      <c r="F362" s="602" t="s">
        <v>586</v>
      </c>
      <c r="G362" s="603"/>
      <c r="H362" s="604"/>
      <c r="I362" s="367"/>
      <c r="J362" s="367"/>
    </row>
    <row r="363" spans="1:10" ht="22.5" customHeight="1" thickBot="1" x14ac:dyDescent="0.35">
      <c r="A363" s="367"/>
      <c r="B363" s="368"/>
      <c r="C363" s="367"/>
      <c r="D363" s="367"/>
      <c r="E363" s="368"/>
      <c r="F363" s="369"/>
      <c r="G363" s="368"/>
      <c r="H363" s="368"/>
      <c r="I363" s="367"/>
      <c r="J363" s="370" t="s">
        <v>590</v>
      </c>
    </row>
    <row r="364" spans="1:10" ht="22.5" customHeight="1" thickBot="1" x14ac:dyDescent="0.35">
      <c r="A364" s="367"/>
      <c r="B364" s="610" t="s">
        <v>222</v>
      </c>
      <c r="C364" s="611"/>
      <c r="D364" s="612"/>
      <c r="E364" s="368"/>
      <c r="F364" s="602" t="s">
        <v>222</v>
      </c>
      <c r="G364" s="603"/>
      <c r="H364" s="604"/>
      <c r="I364" s="367"/>
      <c r="J364" s="367"/>
    </row>
    <row r="365" spans="1:10" ht="22.5" customHeight="1" thickBot="1" x14ac:dyDescent="0.35">
      <c r="A365" s="367"/>
      <c r="B365" s="368"/>
      <c r="C365" s="367"/>
      <c r="D365" s="367"/>
      <c r="E365" s="368"/>
      <c r="F365" s="369"/>
      <c r="G365" s="368"/>
      <c r="H365" s="368"/>
      <c r="I365" s="367"/>
      <c r="J365" s="367"/>
    </row>
    <row r="366" spans="1:10" ht="22.5" customHeight="1" thickBot="1" x14ac:dyDescent="0.35">
      <c r="A366" s="367"/>
      <c r="B366" s="610" t="s">
        <v>583</v>
      </c>
      <c r="C366" s="611"/>
      <c r="D366" s="612"/>
      <c r="E366" s="368"/>
      <c r="F366" s="602" t="s">
        <v>587</v>
      </c>
      <c r="G366" s="603"/>
      <c r="H366" s="604"/>
      <c r="I366" s="367"/>
      <c r="J366" s="367"/>
    </row>
    <row r="367" spans="1:10" ht="22.5" customHeight="1" thickBot="1" x14ac:dyDescent="0.35">
      <c r="A367" s="367"/>
      <c r="B367" s="368"/>
      <c r="C367" s="367"/>
      <c r="D367" s="367"/>
      <c r="E367" s="368"/>
      <c r="F367" s="369"/>
      <c r="G367" s="368"/>
      <c r="H367" s="368"/>
      <c r="I367" s="367"/>
      <c r="J367" s="367"/>
    </row>
    <row r="368" spans="1:10" ht="22.5" customHeight="1" thickBot="1" x14ac:dyDescent="0.35">
      <c r="A368" s="367"/>
      <c r="B368" s="610" t="s">
        <v>374</v>
      </c>
      <c r="C368" s="611"/>
      <c r="D368" s="612"/>
      <c r="E368" s="368"/>
      <c r="F368" s="602" t="s">
        <v>588</v>
      </c>
      <c r="G368" s="603"/>
      <c r="H368" s="604"/>
      <c r="I368" s="367"/>
      <c r="J368" s="367"/>
    </row>
    <row r="369" spans="1:10" ht="17.25" x14ac:dyDescent="0.3">
      <c r="A369" s="367"/>
      <c r="B369" s="367"/>
      <c r="C369" s="367"/>
      <c r="D369" s="367"/>
      <c r="E369" s="368"/>
      <c r="F369" s="369"/>
      <c r="G369" s="368"/>
      <c r="H369" s="368"/>
      <c r="I369" s="367"/>
      <c r="J369" s="367"/>
    </row>
  </sheetData>
  <mergeCells count="183">
    <mergeCell ref="A108:B108"/>
    <mergeCell ref="A169:B169"/>
    <mergeCell ref="A199:B199"/>
    <mergeCell ref="A229:B229"/>
    <mergeCell ref="A259:B259"/>
    <mergeCell ref="A289:B289"/>
    <mergeCell ref="A230:B230"/>
    <mergeCell ref="D137:D142"/>
    <mergeCell ref="I137:I142"/>
    <mergeCell ref="A138:B138"/>
    <mergeCell ref="D143:D149"/>
    <mergeCell ref="I143:I149"/>
    <mergeCell ref="D150:D155"/>
    <mergeCell ref="I150:I155"/>
    <mergeCell ref="A139:B140"/>
    <mergeCell ref="D270:D272"/>
    <mergeCell ref="I270:I272"/>
    <mergeCell ref="I279:I281"/>
    <mergeCell ref="D264:D266"/>
    <mergeCell ref="D273:D275"/>
    <mergeCell ref="I273:I275"/>
    <mergeCell ref="D276:D278"/>
    <mergeCell ref="I276:I278"/>
    <mergeCell ref="D288:D290"/>
    <mergeCell ref="I291:I293"/>
    <mergeCell ref="D294:D296"/>
    <mergeCell ref="I294:I296"/>
    <mergeCell ref="D327:D329"/>
    <mergeCell ref="I327:I329"/>
    <mergeCell ref="D300:D302"/>
    <mergeCell ref="I306:I308"/>
    <mergeCell ref="I315:I317"/>
    <mergeCell ref="I324:I326"/>
    <mergeCell ref="D312:D314"/>
    <mergeCell ref="D315:D317"/>
    <mergeCell ref="D318:D320"/>
    <mergeCell ref="D297:D299"/>
    <mergeCell ref="I303:I305"/>
    <mergeCell ref="D321:D323"/>
    <mergeCell ref="I321:I323"/>
    <mergeCell ref="I312:I314"/>
    <mergeCell ref="D324:D326"/>
    <mergeCell ref="I300:I302"/>
    <mergeCell ref="D303:D305"/>
    <mergeCell ref="D306:D308"/>
    <mergeCell ref="D309:D311"/>
    <mergeCell ref="I309:I311"/>
    <mergeCell ref="I288:I290"/>
    <mergeCell ref="I297:I299"/>
    <mergeCell ref="I282:I284"/>
    <mergeCell ref="D285:D287"/>
    <mergeCell ref="D282:D284"/>
    <mergeCell ref="D222:D227"/>
    <mergeCell ref="I222:I227"/>
    <mergeCell ref="D228:D233"/>
    <mergeCell ref="I228:I233"/>
    <mergeCell ref="I264:I266"/>
    <mergeCell ref="D267:D269"/>
    <mergeCell ref="I267:I269"/>
    <mergeCell ref="D240:D245"/>
    <mergeCell ref="I240:I245"/>
    <mergeCell ref="D246:D251"/>
    <mergeCell ref="I246:I251"/>
    <mergeCell ref="D252:D257"/>
    <mergeCell ref="I285:I287"/>
    <mergeCell ref="I252:I257"/>
    <mergeCell ref="D258:D260"/>
    <mergeCell ref="I258:I260"/>
    <mergeCell ref="D261:D263"/>
    <mergeCell ref="I261:I263"/>
    <mergeCell ref="D291:D293"/>
    <mergeCell ref="D210:D215"/>
    <mergeCell ref="I210:I215"/>
    <mergeCell ref="D216:D221"/>
    <mergeCell ref="I216:I221"/>
    <mergeCell ref="D234:D239"/>
    <mergeCell ref="I234:I239"/>
    <mergeCell ref="D71:D76"/>
    <mergeCell ref="I71:I76"/>
    <mergeCell ref="I101:I106"/>
    <mergeCell ref="D107:D112"/>
    <mergeCell ref="I107:I112"/>
    <mergeCell ref="I119:I124"/>
    <mergeCell ref="I168:I173"/>
    <mergeCell ref="I186:I191"/>
    <mergeCell ref="I156:I161"/>
    <mergeCell ref="D162:D167"/>
    <mergeCell ref="I162:I167"/>
    <mergeCell ref="D174:D179"/>
    <mergeCell ref="I174:I179"/>
    <mergeCell ref="D180:D185"/>
    <mergeCell ref="D156:D161"/>
    <mergeCell ref="I180:I185"/>
    <mergeCell ref="I83:I88"/>
    <mergeCell ref="D89:D94"/>
    <mergeCell ref="I345:I347"/>
    <mergeCell ref="D330:D332"/>
    <mergeCell ref="I330:I332"/>
    <mergeCell ref="D333:D335"/>
    <mergeCell ref="I318:I320"/>
    <mergeCell ref="D339:D341"/>
    <mergeCell ref="I339:I341"/>
    <mergeCell ref="D342:D344"/>
    <mergeCell ref="I333:I335"/>
    <mergeCell ref="D336:D338"/>
    <mergeCell ref="I342:I344"/>
    <mergeCell ref="I336:I338"/>
    <mergeCell ref="I89:I94"/>
    <mergeCell ref="D95:D100"/>
    <mergeCell ref="D186:D191"/>
    <mergeCell ref="D204:D209"/>
    <mergeCell ref="I204:I209"/>
    <mergeCell ref="D198:D203"/>
    <mergeCell ref="I198:I203"/>
    <mergeCell ref="D192:D197"/>
    <mergeCell ref="I192:I197"/>
    <mergeCell ref="D125:D130"/>
    <mergeCell ref="I125:I130"/>
    <mergeCell ref="D113:D118"/>
    <mergeCell ref="I113:I118"/>
    <mergeCell ref="D119:D124"/>
    <mergeCell ref="I95:I100"/>
    <mergeCell ref="D101:D106"/>
    <mergeCell ref="A1:J1"/>
    <mergeCell ref="E2:H2"/>
    <mergeCell ref="D3:D6"/>
    <mergeCell ref="I3:I6"/>
    <mergeCell ref="A4:B4"/>
    <mergeCell ref="A5:B5"/>
    <mergeCell ref="D7:D10"/>
    <mergeCell ref="A200:B200"/>
    <mergeCell ref="I7:I10"/>
    <mergeCell ref="D11:D14"/>
    <mergeCell ref="I11:I14"/>
    <mergeCell ref="I65:I70"/>
    <mergeCell ref="I47:I52"/>
    <mergeCell ref="D53:D58"/>
    <mergeCell ref="I53:I58"/>
    <mergeCell ref="D59:D64"/>
    <mergeCell ref="D65:D70"/>
    <mergeCell ref="I59:I64"/>
    <mergeCell ref="A48:B48"/>
    <mergeCell ref="D31:D42"/>
    <mergeCell ref="I31:I42"/>
    <mergeCell ref="A32:B32"/>
    <mergeCell ref="D43:D46"/>
    <mergeCell ref="I43:I46"/>
    <mergeCell ref="F366:H366"/>
    <mergeCell ref="F368:H368"/>
    <mergeCell ref="B360:D360"/>
    <mergeCell ref="B362:D362"/>
    <mergeCell ref="B364:D364"/>
    <mergeCell ref="B366:D366"/>
    <mergeCell ref="B368:D368"/>
    <mergeCell ref="F358:H358"/>
    <mergeCell ref="F360:H360"/>
    <mergeCell ref="F362:H362"/>
    <mergeCell ref="F364:H364"/>
    <mergeCell ref="B358:D358"/>
    <mergeCell ref="F356:H356"/>
    <mergeCell ref="D15:D26"/>
    <mergeCell ref="I15:I26"/>
    <mergeCell ref="A16:B16"/>
    <mergeCell ref="D27:D30"/>
    <mergeCell ref="I27:I30"/>
    <mergeCell ref="B354:D354"/>
    <mergeCell ref="A109:B109"/>
    <mergeCell ref="A141:B141"/>
    <mergeCell ref="A170:B170"/>
    <mergeCell ref="F354:H354"/>
    <mergeCell ref="A320:B320"/>
    <mergeCell ref="D345:D347"/>
    <mergeCell ref="A351:G351"/>
    <mergeCell ref="B356:D356"/>
    <mergeCell ref="A290:B290"/>
    <mergeCell ref="A319:B319"/>
    <mergeCell ref="D47:D52"/>
    <mergeCell ref="D131:D136"/>
    <mergeCell ref="I131:I136"/>
    <mergeCell ref="D168:D173"/>
    <mergeCell ref="D77:D82"/>
    <mergeCell ref="I77:I82"/>
    <mergeCell ref="D83:D8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1" fitToHeight="0" orientation="portrait" r:id="rId1"/>
  <rowBreaks count="5" manualBreakCount="5">
    <brk id="65" max="9" man="1"/>
    <brk id="136" max="9" man="1"/>
    <brk id="197" max="9" man="1"/>
    <brk id="257" max="9" man="1"/>
    <brk id="317" max="9" man="1"/>
  </rowBreaks>
  <colBreaks count="1" manualBreakCount="1">
    <brk id="11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R440"/>
  <sheetViews>
    <sheetView view="pageBreakPreview" zoomScale="85" zoomScaleNormal="70" zoomScaleSheetLayoutView="85" workbookViewId="0">
      <selection activeCell="J28" sqref="J28"/>
    </sheetView>
  </sheetViews>
  <sheetFormatPr defaultRowHeight="16.5" x14ac:dyDescent="0.3"/>
  <cols>
    <col min="1" max="2" width="12.625" style="6" customWidth="1"/>
    <col min="3" max="4" width="7.625" style="6" customWidth="1"/>
    <col min="5" max="5" width="5.625" style="18" customWidth="1"/>
    <col min="6" max="6" width="12.625" style="19" customWidth="1"/>
    <col min="7" max="7" width="5.625" style="18" customWidth="1"/>
    <col min="8" max="8" width="29.375" style="18" bestFit="1" customWidth="1"/>
    <col min="9" max="9" width="7.625" style="6" customWidth="1"/>
    <col min="10" max="10" width="78.625" style="6" customWidth="1"/>
    <col min="11" max="11" width="30.25" style="6" customWidth="1"/>
    <col min="12" max="12" width="14.5" style="18" customWidth="1"/>
    <col min="13" max="13" width="4.125" style="6" customWidth="1"/>
    <col min="14" max="16384" width="9" style="6"/>
  </cols>
  <sheetData>
    <row r="1" spans="1:12" ht="38.25" x14ac:dyDescent="0.3">
      <c r="A1" s="626" t="s">
        <v>812</v>
      </c>
      <c r="B1" s="626"/>
      <c r="C1" s="626"/>
      <c r="D1" s="626"/>
      <c r="E1" s="626"/>
      <c r="F1" s="626"/>
      <c r="G1" s="626"/>
      <c r="H1" s="626"/>
      <c r="I1" s="626"/>
      <c r="J1" s="626"/>
      <c r="K1" s="94"/>
    </row>
    <row r="3" spans="1:12" x14ac:dyDescent="0.3">
      <c r="J3" s="59"/>
      <c r="K3" s="59"/>
    </row>
    <row r="4" spans="1:12" ht="30" customHeight="1" x14ac:dyDescent="0.15">
      <c r="A4" s="181" t="s">
        <v>0</v>
      </c>
      <c r="B4" s="182" t="s">
        <v>1</v>
      </c>
      <c r="C4" s="182" t="s">
        <v>289</v>
      </c>
      <c r="D4" s="182" t="s">
        <v>290</v>
      </c>
      <c r="E4" s="627" t="s">
        <v>291</v>
      </c>
      <c r="F4" s="627"/>
      <c r="G4" s="627"/>
      <c r="H4" s="627"/>
      <c r="I4" s="182" t="s">
        <v>290</v>
      </c>
      <c r="J4" s="183" t="s">
        <v>292</v>
      </c>
      <c r="K4" s="100"/>
    </row>
    <row r="5" spans="1:12" s="16" customFormat="1" ht="24" customHeight="1" x14ac:dyDescent="0.3">
      <c r="A5" s="140" t="s">
        <v>212</v>
      </c>
      <c r="B5" s="145" t="s">
        <v>22</v>
      </c>
      <c r="C5" s="172">
        <v>1</v>
      </c>
      <c r="D5" s="641" t="s">
        <v>862</v>
      </c>
      <c r="E5" s="152" t="s">
        <v>6</v>
      </c>
      <c r="F5" s="152" t="s">
        <v>675</v>
      </c>
      <c r="G5" s="172" t="str">
        <f>본부통신실!G3</f>
        <v/>
      </c>
      <c r="H5" s="152" t="s">
        <v>676</v>
      </c>
      <c r="I5" s="641" t="s">
        <v>862</v>
      </c>
      <c r="J5" s="152" t="s">
        <v>827</v>
      </c>
      <c r="K5" s="102"/>
      <c r="L5" s="51"/>
    </row>
    <row r="6" spans="1:12" s="16" customFormat="1" ht="24" customHeight="1" x14ac:dyDescent="0.3">
      <c r="A6" s="607" t="s">
        <v>824</v>
      </c>
      <c r="B6" s="608"/>
      <c r="C6" s="154">
        <v>2</v>
      </c>
      <c r="D6" s="656"/>
      <c r="E6" s="154" t="s">
        <v>6</v>
      </c>
      <c r="F6" s="154" t="s">
        <v>886</v>
      </c>
      <c r="G6" s="172" t="str">
        <f>본부통신실!G4</f>
        <v/>
      </c>
      <c r="H6" s="154" t="s">
        <v>887</v>
      </c>
      <c r="I6" s="656"/>
      <c r="J6" s="154" t="s">
        <v>826</v>
      </c>
      <c r="K6" s="102"/>
      <c r="L6" s="51"/>
    </row>
    <row r="7" spans="1:12" s="16" customFormat="1" ht="24" customHeight="1" x14ac:dyDescent="0.3">
      <c r="A7" s="613" t="s">
        <v>823</v>
      </c>
      <c r="B7" s="614"/>
      <c r="C7" s="154">
        <v>3</v>
      </c>
      <c r="D7" s="656"/>
      <c r="E7" s="154" t="s">
        <v>25</v>
      </c>
      <c r="F7" s="154" t="s">
        <v>675</v>
      </c>
      <c r="G7" s="172" t="str">
        <f>본부통신실!G5</f>
        <v/>
      </c>
      <c r="H7" s="154" t="s">
        <v>677</v>
      </c>
      <c r="I7" s="656"/>
      <c r="J7" s="154" t="s">
        <v>828</v>
      </c>
      <c r="K7" s="102"/>
      <c r="L7" s="51"/>
    </row>
    <row r="8" spans="1:12" s="16" customFormat="1" ht="24" customHeight="1" x14ac:dyDescent="0.3">
      <c r="A8" s="41"/>
      <c r="B8" s="147"/>
      <c r="C8" s="158">
        <v>4</v>
      </c>
      <c r="D8" s="656"/>
      <c r="E8" s="154" t="s">
        <v>6</v>
      </c>
      <c r="F8" s="154" t="s">
        <v>675</v>
      </c>
      <c r="G8" s="172" t="str">
        <f>본부통신실!G6</f>
        <v/>
      </c>
      <c r="H8" s="154" t="s">
        <v>678</v>
      </c>
      <c r="I8" s="656"/>
      <c r="J8" s="154" t="s">
        <v>829</v>
      </c>
      <c r="K8" s="102"/>
      <c r="L8" s="51"/>
    </row>
    <row r="9" spans="1:12" s="16" customFormat="1" ht="24" customHeight="1" x14ac:dyDescent="0.3">
      <c r="A9" s="41"/>
      <c r="B9" s="147"/>
      <c r="C9" s="154">
        <v>5</v>
      </c>
      <c r="D9" s="656"/>
      <c r="E9" s="162" t="s">
        <v>6</v>
      </c>
      <c r="F9" s="162" t="s">
        <v>675</v>
      </c>
      <c r="G9" s="172"/>
      <c r="H9" s="162" t="s">
        <v>679</v>
      </c>
      <c r="I9" s="656"/>
      <c r="J9" s="154" t="s">
        <v>830</v>
      </c>
      <c r="K9" s="102"/>
      <c r="L9" s="51"/>
    </row>
    <row r="10" spans="1:12" s="16" customFormat="1" ht="24" customHeight="1" x14ac:dyDescent="0.3">
      <c r="A10" s="41"/>
      <c r="B10" s="147"/>
      <c r="C10" s="154">
        <v>6</v>
      </c>
      <c r="D10" s="656"/>
      <c r="E10" s="154" t="s">
        <v>28</v>
      </c>
      <c r="F10" s="154" t="s">
        <v>368</v>
      </c>
      <c r="G10" s="172"/>
      <c r="H10" s="154" t="s">
        <v>825</v>
      </c>
      <c r="I10" s="656"/>
      <c r="J10" s="154" t="s">
        <v>831</v>
      </c>
      <c r="K10" s="101"/>
      <c r="L10" s="51"/>
    </row>
    <row r="11" spans="1:12" s="16" customFormat="1" ht="24" customHeight="1" x14ac:dyDescent="0.3">
      <c r="A11" s="41"/>
      <c r="B11" s="147"/>
      <c r="C11" s="154">
        <v>7</v>
      </c>
      <c r="D11" s="656"/>
      <c r="E11" s="154" t="s">
        <v>28</v>
      </c>
      <c r="F11" s="154" t="s">
        <v>368</v>
      </c>
      <c r="G11" s="172"/>
      <c r="H11" s="154" t="s">
        <v>832</v>
      </c>
      <c r="I11" s="656"/>
      <c r="J11" s="154" t="s">
        <v>834</v>
      </c>
      <c r="K11" s="101"/>
      <c r="L11" s="18"/>
    </row>
    <row r="12" spans="1:12" s="16" customFormat="1" ht="24" customHeight="1" x14ac:dyDescent="0.3">
      <c r="A12" s="41"/>
      <c r="B12" s="147"/>
      <c r="C12" s="154">
        <v>8</v>
      </c>
      <c r="D12" s="656"/>
      <c r="E12" s="154" t="s">
        <v>28</v>
      </c>
      <c r="F12" s="154" t="s">
        <v>368</v>
      </c>
      <c r="G12" s="172"/>
      <c r="H12" s="154" t="s">
        <v>833</v>
      </c>
      <c r="I12" s="656"/>
      <c r="J12" s="154" t="s">
        <v>835</v>
      </c>
      <c r="K12" s="102"/>
      <c r="L12" s="18"/>
    </row>
    <row r="13" spans="1:12" s="16" customFormat="1" ht="24" customHeight="1" x14ac:dyDescent="0.3">
      <c r="A13" s="41"/>
      <c r="B13" s="147"/>
      <c r="C13" s="172">
        <v>9</v>
      </c>
      <c r="D13" s="656"/>
      <c r="E13" s="172" t="str">
        <f>본부통신실!E11</f>
        <v/>
      </c>
      <c r="F13" s="172" t="str">
        <f>본부통신실!F11</f>
        <v/>
      </c>
      <c r="G13" s="172" t="str">
        <f>본부통신실!G11</f>
        <v/>
      </c>
      <c r="H13" s="172" t="str">
        <f>본부통신실!H11</f>
        <v/>
      </c>
      <c r="I13" s="656"/>
      <c r="J13" s="172" t="str">
        <f>본부통신실!J11</f>
        <v/>
      </c>
      <c r="K13" s="102"/>
      <c r="L13" s="18"/>
    </row>
    <row r="14" spans="1:12" s="16" customFormat="1" ht="24" customHeight="1" x14ac:dyDescent="0.3">
      <c r="A14" s="41"/>
      <c r="B14" s="147"/>
      <c r="C14" s="154">
        <v>10</v>
      </c>
      <c r="D14" s="656"/>
      <c r="E14" s="172"/>
      <c r="F14" s="172"/>
      <c r="G14" s="172"/>
      <c r="H14" s="172"/>
      <c r="I14" s="656"/>
      <c r="J14" s="172"/>
      <c r="K14" s="102"/>
      <c r="L14" s="51"/>
    </row>
    <row r="15" spans="1:12" s="16" customFormat="1" ht="24" customHeight="1" x14ac:dyDescent="0.3">
      <c r="A15" s="41"/>
      <c r="B15" s="147"/>
      <c r="C15" s="154">
        <v>11</v>
      </c>
      <c r="D15" s="656"/>
      <c r="E15" s="172"/>
      <c r="F15" s="172"/>
      <c r="G15" s="172"/>
      <c r="H15" s="172"/>
      <c r="I15" s="656"/>
      <c r="J15" s="172"/>
      <c r="K15" s="51"/>
    </row>
    <row r="16" spans="1:12" s="16" customFormat="1" ht="24" customHeight="1" x14ac:dyDescent="0.3">
      <c r="A16" s="139"/>
      <c r="B16" s="148"/>
      <c r="C16" s="158">
        <v>12</v>
      </c>
      <c r="D16" s="656"/>
      <c r="E16" s="170"/>
      <c r="F16" s="170"/>
      <c r="G16" s="170"/>
      <c r="H16" s="170"/>
      <c r="I16" s="656"/>
      <c r="J16" s="170"/>
      <c r="K16" s="18"/>
    </row>
    <row r="17" spans="1:12" s="16" customFormat="1" ht="24" customHeight="1" x14ac:dyDescent="0.3">
      <c r="A17" s="141" t="s">
        <v>212</v>
      </c>
      <c r="B17" s="149" t="s">
        <v>44</v>
      </c>
      <c r="C17" s="152">
        <v>1</v>
      </c>
      <c r="D17" s="641" t="s">
        <v>862</v>
      </c>
      <c r="E17" s="449" t="s">
        <v>28</v>
      </c>
      <c r="F17" s="188" t="s">
        <v>736</v>
      </c>
      <c r="G17" s="187" t="s">
        <v>29</v>
      </c>
      <c r="H17" s="187" t="s">
        <v>100</v>
      </c>
      <c r="I17" s="641" t="s">
        <v>862</v>
      </c>
      <c r="J17" s="190" t="s">
        <v>904</v>
      </c>
      <c r="K17" s="18" t="s">
        <v>863</v>
      </c>
    </row>
    <row r="18" spans="1:12" s="16" customFormat="1" ht="24" customHeight="1" x14ac:dyDescent="0.3">
      <c r="A18" s="607" t="s">
        <v>824</v>
      </c>
      <c r="B18" s="608"/>
      <c r="C18" s="154">
        <v>2</v>
      </c>
      <c r="D18" s="656"/>
      <c r="E18" s="388" t="s">
        <v>28</v>
      </c>
      <c r="F18" s="157" t="s">
        <v>12</v>
      </c>
      <c r="G18" s="154"/>
      <c r="H18" s="154" t="s">
        <v>35</v>
      </c>
      <c r="I18" s="656"/>
      <c r="J18" s="155" t="s">
        <v>858</v>
      </c>
      <c r="K18" s="18" t="s">
        <v>863</v>
      </c>
    </row>
    <row r="19" spans="1:12" s="16" customFormat="1" ht="24" customHeight="1" x14ac:dyDescent="0.3">
      <c r="A19" s="613" t="s">
        <v>857</v>
      </c>
      <c r="B19" s="614"/>
      <c r="C19" s="154">
        <v>3</v>
      </c>
      <c r="D19" s="656"/>
      <c r="E19" s="388" t="s">
        <v>25</v>
      </c>
      <c r="F19" s="157" t="s">
        <v>26</v>
      </c>
      <c r="G19" s="154" t="s">
        <v>29</v>
      </c>
      <c r="H19" s="154" t="s">
        <v>120</v>
      </c>
      <c r="I19" s="656"/>
      <c r="J19" s="155" t="s">
        <v>859</v>
      </c>
      <c r="K19" s="18" t="s">
        <v>863</v>
      </c>
    </row>
    <row r="20" spans="1:12" s="16" customFormat="1" ht="24" customHeight="1" x14ac:dyDescent="0.3">
      <c r="A20" s="41"/>
      <c r="B20" s="147"/>
      <c r="C20" s="158">
        <v>4</v>
      </c>
      <c r="D20" s="656"/>
      <c r="E20" s="388" t="s">
        <v>25</v>
      </c>
      <c r="F20" s="156" t="s">
        <v>26</v>
      </c>
      <c r="G20" s="155" t="s">
        <v>29</v>
      </c>
      <c r="H20" s="155" t="s">
        <v>119</v>
      </c>
      <c r="I20" s="656"/>
      <c r="J20" s="155" t="s">
        <v>860</v>
      </c>
      <c r="K20" s="18" t="s">
        <v>863</v>
      </c>
    </row>
    <row r="21" spans="1:12" s="16" customFormat="1" ht="24" customHeight="1" x14ac:dyDescent="0.3">
      <c r="A21" s="41"/>
      <c r="B21" s="147"/>
      <c r="C21" s="154">
        <v>5</v>
      </c>
      <c r="D21" s="656"/>
      <c r="E21" s="154"/>
      <c r="F21" s="154"/>
      <c r="G21" s="172"/>
      <c r="H21" s="154"/>
      <c r="I21" s="656"/>
      <c r="J21" s="154"/>
      <c r="K21" s="18"/>
    </row>
    <row r="22" spans="1:12" s="16" customFormat="1" ht="24" customHeight="1" x14ac:dyDescent="0.3">
      <c r="A22" s="41"/>
      <c r="B22" s="147"/>
      <c r="C22" s="154">
        <v>6</v>
      </c>
      <c r="D22" s="656"/>
      <c r="E22" s="154"/>
      <c r="F22" s="154"/>
      <c r="G22" s="154"/>
      <c r="H22" s="154"/>
      <c r="I22" s="656"/>
      <c r="J22" s="154"/>
      <c r="K22" s="18"/>
    </row>
    <row r="23" spans="1:12" s="16" customFormat="1" ht="24" customHeight="1" x14ac:dyDescent="0.3">
      <c r="A23" s="41"/>
      <c r="B23" s="147"/>
      <c r="C23" s="154">
        <v>7</v>
      </c>
      <c r="D23" s="656"/>
      <c r="E23" s="154"/>
      <c r="F23" s="154"/>
      <c r="G23" s="172"/>
      <c r="H23" s="154"/>
      <c r="I23" s="656"/>
      <c r="J23" s="154"/>
      <c r="K23" s="18"/>
    </row>
    <row r="24" spans="1:12" s="16" customFormat="1" ht="24" customHeight="1" x14ac:dyDescent="0.3">
      <c r="A24" s="41"/>
      <c r="B24" s="147"/>
      <c r="C24" s="154">
        <v>8</v>
      </c>
      <c r="D24" s="656"/>
      <c r="E24" s="154"/>
      <c r="F24" s="154"/>
      <c r="G24" s="172"/>
      <c r="H24" s="154"/>
      <c r="I24" s="656"/>
      <c r="J24" s="154"/>
      <c r="K24" s="18"/>
    </row>
    <row r="25" spans="1:12" s="16" customFormat="1" ht="24" customHeight="1" x14ac:dyDescent="0.3">
      <c r="A25" s="41"/>
      <c r="B25" s="147"/>
      <c r="C25" s="172">
        <v>9</v>
      </c>
      <c r="D25" s="656"/>
      <c r="E25" s="172"/>
      <c r="F25" s="172"/>
      <c r="G25" s="172"/>
      <c r="H25" s="172"/>
      <c r="I25" s="656"/>
      <c r="J25" s="172"/>
      <c r="K25" s="18"/>
    </row>
    <row r="26" spans="1:12" s="16" customFormat="1" ht="24" customHeight="1" x14ac:dyDescent="0.3">
      <c r="A26" s="41"/>
      <c r="B26" s="147"/>
      <c r="C26" s="154">
        <v>10</v>
      </c>
      <c r="D26" s="656"/>
      <c r="E26" s="172"/>
      <c r="F26" s="172"/>
      <c r="G26" s="172"/>
      <c r="H26" s="172"/>
      <c r="I26" s="656"/>
      <c r="J26" s="172"/>
      <c r="K26" s="18"/>
    </row>
    <row r="27" spans="1:12" s="16" customFormat="1" ht="24" customHeight="1" x14ac:dyDescent="0.3">
      <c r="A27" s="41"/>
      <c r="B27" s="147"/>
      <c r="C27" s="154">
        <v>11</v>
      </c>
      <c r="D27" s="656"/>
      <c r="E27" s="172"/>
      <c r="F27" s="172"/>
      <c r="G27" s="172"/>
      <c r="H27" s="172"/>
      <c r="I27" s="656"/>
      <c r="J27" s="172"/>
      <c r="K27" s="18"/>
    </row>
    <row r="28" spans="1:12" s="16" customFormat="1" ht="24" customHeight="1" x14ac:dyDescent="0.3">
      <c r="A28" s="144"/>
      <c r="B28" s="151"/>
      <c r="C28" s="162">
        <v>12</v>
      </c>
      <c r="D28" s="640"/>
      <c r="E28" s="526"/>
      <c r="F28" s="526"/>
      <c r="G28" s="526"/>
      <c r="H28" s="526"/>
      <c r="I28" s="640"/>
      <c r="J28" s="526"/>
      <c r="K28" s="18"/>
    </row>
    <row r="29" spans="1:12" s="16" customFormat="1" ht="24" customHeight="1" x14ac:dyDescent="0.3">
      <c r="A29" s="141" t="s">
        <v>43</v>
      </c>
      <c r="B29" s="194" t="s">
        <v>212</v>
      </c>
      <c r="C29" s="152">
        <v>1</v>
      </c>
      <c r="D29" s="606" t="s">
        <v>302</v>
      </c>
      <c r="E29" s="449"/>
      <c r="F29" s="152"/>
      <c r="G29" s="152"/>
      <c r="H29" s="152"/>
      <c r="I29" s="606" t="s">
        <v>302</v>
      </c>
      <c r="J29" s="152"/>
      <c r="K29" s="101"/>
      <c r="L29" s="51"/>
    </row>
    <row r="30" spans="1:12" s="16" customFormat="1" ht="24" customHeight="1" x14ac:dyDescent="0.3">
      <c r="A30" s="607" t="s">
        <v>343</v>
      </c>
      <c r="B30" s="608"/>
      <c r="C30" s="154">
        <v>2</v>
      </c>
      <c r="D30" s="644"/>
      <c r="E30" s="388"/>
      <c r="F30" s="154"/>
      <c r="G30" s="154"/>
      <c r="H30" s="154"/>
      <c r="I30" s="644"/>
      <c r="J30" s="190"/>
      <c r="K30" s="101"/>
      <c r="L30" s="51"/>
    </row>
    <row r="31" spans="1:12" s="16" customFormat="1" ht="24" customHeight="1" x14ac:dyDescent="0.3">
      <c r="A31" s="677" t="s">
        <v>491</v>
      </c>
      <c r="B31" s="614"/>
      <c r="C31" s="154">
        <v>3</v>
      </c>
      <c r="D31" s="644"/>
      <c r="E31" s="388"/>
      <c r="F31" s="154"/>
      <c r="G31" s="154"/>
      <c r="H31" s="154"/>
      <c r="I31" s="644"/>
      <c r="J31" s="190"/>
      <c r="K31" s="101"/>
      <c r="L31" s="51"/>
    </row>
    <row r="32" spans="1:12" s="16" customFormat="1" ht="24" customHeight="1" x14ac:dyDescent="0.3">
      <c r="A32" s="41"/>
      <c r="B32" s="147"/>
      <c r="C32" s="154">
        <v>4</v>
      </c>
      <c r="D32" s="644"/>
      <c r="E32" s="388"/>
      <c r="F32" s="154"/>
      <c r="G32" s="154"/>
      <c r="H32" s="154"/>
      <c r="I32" s="644"/>
      <c r="J32" s="190"/>
      <c r="K32" s="101"/>
      <c r="L32" s="51"/>
    </row>
    <row r="33" spans="1:12" s="16" customFormat="1" ht="24" customHeight="1" x14ac:dyDescent="0.3">
      <c r="A33" s="41"/>
      <c r="B33" s="147"/>
      <c r="C33" s="154">
        <v>5</v>
      </c>
      <c r="D33" s="644"/>
      <c r="E33" s="388"/>
      <c r="F33" s="154"/>
      <c r="G33" s="154"/>
      <c r="H33" s="154"/>
      <c r="I33" s="644"/>
      <c r="J33" s="190"/>
      <c r="K33" s="101"/>
      <c r="L33" s="51"/>
    </row>
    <row r="34" spans="1:12" s="16" customFormat="1" ht="24" customHeight="1" x14ac:dyDescent="0.3">
      <c r="A34" s="41"/>
      <c r="B34" s="147"/>
      <c r="C34" s="154">
        <v>6</v>
      </c>
      <c r="D34" s="644"/>
      <c r="E34" s="394"/>
      <c r="F34" s="397"/>
      <c r="G34" s="394"/>
      <c r="H34" s="394"/>
      <c r="I34" s="644"/>
      <c r="J34" s="410"/>
      <c r="K34" s="101"/>
      <c r="L34" s="51"/>
    </row>
    <row r="35" spans="1:12" s="16" customFormat="1" ht="24" customHeight="1" x14ac:dyDescent="0.3">
      <c r="A35" s="41"/>
      <c r="B35" s="147"/>
      <c r="C35" s="154">
        <v>7</v>
      </c>
      <c r="D35" s="644"/>
      <c r="E35" s="394" t="s">
        <v>680</v>
      </c>
      <c r="F35" s="397" t="s">
        <v>680</v>
      </c>
      <c r="G35" s="394" t="s">
        <v>680</v>
      </c>
      <c r="H35" s="394" t="s">
        <v>680</v>
      </c>
      <c r="I35" s="644"/>
      <c r="J35" s="410" t="s">
        <v>680</v>
      </c>
      <c r="K35" s="101"/>
      <c r="L35" s="51"/>
    </row>
    <row r="36" spans="1:12" s="16" customFormat="1" ht="24" customHeight="1" x14ac:dyDescent="0.3">
      <c r="A36" s="41"/>
      <c r="B36" s="147"/>
      <c r="C36" s="154">
        <v>8</v>
      </c>
      <c r="D36" s="644"/>
      <c r="E36" s="394" t="s">
        <v>680</v>
      </c>
      <c r="F36" s="397" t="s">
        <v>680</v>
      </c>
      <c r="G36" s="394" t="s">
        <v>680</v>
      </c>
      <c r="H36" s="394" t="s">
        <v>680</v>
      </c>
      <c r="I36" s="644"/>
      <c r="J36" s="410" t="s">
        <v>680</v>
      </c>
      <c r="K36" s="101"/>
      <c r="L36" s="51"/>
    </row>
    <row r="37" spans="1:12" s="16" customFormat="1" ht="24" customHeight="1" x14ac:dyDescent="0.3">
      <c r="A37" s="41"/>
      <c r="B37" s="147"/>
      <c r="C37" s="154">
        <v>9</v>
      </c>
      <c r="D37" s="644"/>
      <c r="E37" s="394" t="s">
        <v>680</v>
      </c>
      <c r="F37" s="397" t="s">
        <v>680</v>
      </c>
      <c r="G37" s="394" t="s">
        <v>680</v>
      </c>
      <c r="H37" s="394" t="s">
        <v>680</v>
      </c>
      <c r="I37" s="644"/>
      <c r="J37" s="410" t="s">
        <v>680</v>
      </c>
      <c r="K37" s="101"/>
      <c r="L37" s="51"/>
    </row>
    <row r="38" spans="1:12" s="16" customFormat="1" ht="24" customHeight="1" x14ac:dyDescent="0.3">
      <c r="A38" s="41"/>
      <c r="B38" s="147"/>
      <c r="C38" s="154">
        <v>10</v>
      </c>
      <c r="D38" s="644"/>
      <c r="E38" s="394" t="s">
        <v>680</v>
      </c>
      <c r="F38" s="397" t="s">
        <v>680</v>
      </c>
      <c r="G38" s="394" t="s">
        <v>680</v>
      </c>
      <c r="H38" s="394" t="s">
        <v>680</v>
      </c>
      <c r="I38" s="644"/>
      <c r="J38" s="410" t="s">
        <v>680</v>
      </c>
      <c r="K38" s="101"/>
      <c r="L38" s="51"/>
    </row>
    <row r="39" spans="1:12" s="16" customFormat="1" ht="24" customHeight="1" x14ac:dyDescent="0.3">
      <c r="A39" s="41"/>
      <c r="B39" s="147"/>
      <c r="C39" s="154">
        <v>11</v>
      </c>
      <c r="D39" s="644"/>
      <c r="E39" s="394" t="s">
        <v>680</v>
      </c>
      <c r="F39" s="397" t="s">
        <v>680</v>
      </c>
      <c r="G39" s="394" t="s">
        <v>680</v>
      </c>
      <c r="H39" s="394" t="s">
        <v>680</v>
      </c>
      <c r="I39" s="644"/>
      <c r="J39" s="410" t="s">
        <v>680</v>
      </c>
      <c r="K39" s="101"/>
      <c r="L39" s="51"/>
    </row>
    <row r="40" spans="1:12" s="16" customFormat="1" ht="24" customHeight="1" x14ac:dyDescent="0.3">
      <c r="A40" s="41"/>
      <c r="B40" s="147"/>
      <c r="C40" s="158">
        <v>12</v>
      </c>
      <c r="D40" s="645"/>
      <c r="E40" s="394" t="s">
        <v>680</v>
      </c>
      <c r="F40" s="397" t="s">
        <v>680</v>
      </c>
      <c r="G40" s="394" t="s">
        <v>680</v>
      </c>
      <c r="H40" s="394" t="s">
        <v>680</v>
      </c>
      <c r="I40" s="645"/>
      <c r="J40" s="410" t="s">
        <v>680</v>
      </c>
      <c r="K40" s="101"/>
      <c r="L40" s="51"/>
    </row>
    <row r="41" spans="1:12" s="16" customFormat="1" ht="24" customHeight="1" x14ac:dyDescent="0.3">
      <c r="A41" s="41"/>
      <c r="B41" s="147"/>
      <c r="C41" s="152">
        <v>1</v>
      </c>
      <c r="D41" s="651" t="s">
        <v>73</v>
      </c>
      <c r="E41" s="167"/>
      <c r="F41" s="153"/>
      <c r="G41" s="152"/>
      <c r="H41" s="152"/>
      <c r="I41" s="651" t="s">
        <v>73</v>
      </c>
      <c r="J41" s="192"/>
      <c r="K41" s="101"/>
      <c r="L41" s="51"/>
    </row>
    <row r="42" spans="1:12" s="16" customFormat="1" ht="24" customHeight="1" x14ac:dyDescent="0.3">
      <c r="A42" s="41"/>
      <c r="B42" s="147"/>
      <c r="C42" s="154">
        <v>2</v>
      </c>
      <c r="D42" s="649"/>
      <c r="E42" s="160"/>
      <c r="F42" s="157"/>
      <c r="G42" s="160"/>
      <c r="H42" s="154"/>
      <c r="I42" s="649"/>
      <c r="J42" s="190"/>
      <c r="K42" s="101"/>
      <c r="L42" s="51"/>
    </row>
    <row r="43" spans="1:12" s="16" customFormat="1" ht="24" customHeight="1" x14ac:dyDescent="0.3">
      <c r="A43" s="41"/>
      <c r="B43" s="147"/>
      <c r="C43" s="154">
        <v>3</v>
      </c>
      <c r="D43" s="649"/>
      <c r="E43" s="160"/>
      <c r="F43" s="157"/>
      <c r="G43" s="154"/>
      <c r="H43" s="154"/>
      <c r="I43" s="649"/>
      <c r="J43" s="190"/>
      <c r="K43" s="101"/>
      <c r="L43" s="51"/>
    </row>
    <row r="44" spans="1:12" s="16" customFormat="1" ht="24" customHeight="1" x14ac:dyDescent="0.3">
      <c r="A44" s="139"/>
      <c r="B44" s="148"/>
      <c r="C44" s="158">
        <v>4</v>
      </c>
      <c r="D44" s="650"/>
      <c r="E44" s="163"/>
      <c r="F44" s="164"/>
      <c r="G44" s="162"/>
      <c r="H44" s="162"/>
      <c r="I44" s="650"/>
      <c r="J44" s="191"/>
      <c r="K44" s="101"/>
      <c r="L44" s="51"/>
    </row>
    <row r="45" spans="1:12" s="16" customFormat="1" ht="24" customHeight="1" x14ac:dyDescent="0.3">
      <c r="A45" s="141" t="s">
        <v>16</v>
      </c>
      <c r="B45" s="194" t="s">
        <v>32</v>
      </c>
      <c r="C45" s="172">
        <v>1</v>
      </c>
      <c r="D45" s="640" t="s">
        <v>105</v>
      </c>
      <c r="E45" s="448" t="s">
        <v>25</v>
      </c>
      <c r="F45" s="180" t="s">
        <v>26</v>
      </c>
      <c r="G45" s="172" t="s">
        <v>7</v>
      </c>
      <c r="H45" s="172" t="s">
        <v>77</v>
      </c>
      <c r="I45" s="640" t="s">
        <v>105</v>
      </c>
      <c r="J45" s="152" t="s">
        <v>726</v>
      </c>
      <c r="K45" s="102"/>
      <c r="L45" s="93"/>
    </row>
    <row r="46" spans="1:12" s="16" customFormat="1" ht="24" customHeight="1" x14ac:dyDescent="0.3">
      <c r="A46" s="607" t="s">
        <v>10</v>
      </c>
      <c r="B46" s="608"/>
      <c r="C46" s="154">
        <v>2</v>
      </c>
      <c r="D46" s="628"/>
      <c r="E46" s="155"/>
      <c r="F46" s="156"/>
      <c r="G46" s="155"/>
      <c r="H46" s="155"/>
      <c r="I46" s="628"/>
      <c r="J46" s="155"/>
      <c r="K46" s="102"/>
      <c r="L46" s="53"/>
    </row>
    <row r="47" spans="1:12" s="16" customFormat="1" ht="24" customHeight="1" x14ac:dyDescent="0.3">
      <c r="A47" s="613"/>
      <c r="B47" s="614"/>
      <c r="C47" s="154">
        <v>3</v>
      </c>
      <c r="D47" s="628"/>
      <c r="E47" s="155"/>
      <c r="F47" s="156"/>
      <c r="G47" s="155"/>
      <c r="H47" s="155"/>
      <c r="I47" s="628"/>
      <c r="J47" s="155"/>
      <c r="K47" s="102"/>
      <c r="L47" s="93"/>
    </row>
    <row r="48" spans="1:12" s="16" customFormat="1" ht="24" customHeight="1" x14ac:dyDescent="0.3">
      <c r="A48" s="41"/>
      <c r="B48" s="147"/>
      <c r="C48" s="158">
        <v>4</v>
      </c>
      <c r="D48" s="641"/>
      <c r="E48" s="450" t="s">
        <v>6</v>
      </c>
      <c r="F48" s="185" t="s">
        <v>11</v>
      </c>
      <c r="G48" s="184"/>
      <c r="H48" s="184" t="s">
        <v>78</v>
      </c>
      <c r="I48" s="641"/>
      <c r="J48" s="162" t="s">
        <v>31</v>
      </c>
      <c r="K48" s="102"/>
      <c r="L48" s="51"/>
    </row>
    <row r="49" spans="1:12" s="16" customFormat="1" ht="24" customHeight="1" x14ac:dyDescent="0.3">
      <c r="A49" s="41"/>
      <c r="B49" s="147"/>
      <c r="C49" s="152">
        <v>5</v>
      </c>
      <c r="D49" s="628" t="s">
        <v>105</v>
      </c>
      <c r="E49" s="449" t="s">
        <v>25</v>
      </c>
      <c r="F49" s="188" t="s">
        <v>26</v>
      </c>
      <c r="G49" s="187" t="s">
        <v>29</v>
      </c>
      <c r="H49" s="187" t="s">
        <v>79</v>
      </c>
      <c r="I49" s="628" t="s">
        <v>105</v>
      </c>
      <c r="J49" s="187" t="s">
        <v>313</v>
      </c>
      <c r="K49" s="102"/>
      <c r="L49" s="51"/>
    </row>
    <row r="50" spans="1:12" s="16" customFormat="1" ht="24" customHeight="1" x14ac:dyDescent="0.3">
      <c r="A50" s="41"/>
      <c r="B50" s="147"/>
      <c r="C50" s="154">
        <v>6</v>
      </c>
      <c r="D50" s="628"/>
      <c r="E50" s="155"/>
      <c r="F50" s="156"/>
      <c r="G50" s="155"/>
      <c r="H50" s="155"/>
      <c r="I50" s="628"/>
      <c r="J50" s="155"/>
      <c r="K50" s="101"/>
      <c r="L50" s="51"/>
    </row>
    <row r="51" spans="1:12" s="16" customFormat="1" ht="24" customHeight="1" x14ac:dyDescent="0.3">
      <c r="A51" s="41"/>
      <c r="B51" s="147"/>
      <c r="C51" s="154">
        <v>7</v>
      </c>
      <c r="D51" s="628"/>
      <c r="E51" s="154"/>
      <c r="F51" s="157"/>
      <c r="G51" s="154"/>
      <c r="H51" s="154"/>
      <c r="I51" s="628"/>
      <c r="J51" s="155"/>
      <c r="K51" s="101"/>
      <c r="L51" s="51"/>
    </row>
    <row r="52" spans="1:12" s="16" customFormat="1" ht="24" customHeight="1" x14ac:dyDescent="0.3">
      <c r="A52" s="41"/>
      <c r="B52" s="147"/>
      <c r="C52" s="162">
        <v>8</v>
      </c>
      <c r="D52" s="628"/>
      <c r="E52" s="162"/>
      <c r="F52" s="164"/>
      <c r="G52" s="162"/>
      <c r="H52" s="162"/>
      <c r="I52" s="628"/>
      <c r="J52" s="189"/>
      <c r="K52" s="101"/>
      <c r="L52" s="51"/>
    </row>
    <row r="53" spans="1:12" s="16" customFormat="1" ht="24" customHeight="1" x14ac:dyDescent="0.3">
      <c r="A53" s="41"/>
      <c r="B53" s="147"/>
      <c r="C53" s="172">
        <v>9</v>
      </c>
      <c r="D53" s="640"/>
      <c r="E53" s="172"/>
      <c r="F53" s="180"/>
      <c r="G53" s="172"/>
      <c r="H53" s="172"/>
      <c r="I53" s="640"/>
      <c r="J53" s="186"/>
      <c r="K53" s="101"/>
      <c r="L53" s="51"/>
    </row>
    <row r="54" spans="1:12" s="16" customFormat="1" ht="24" customHeight="1" x14ac:dyDescent="0.3">
      <c r="A54" s="41"/>
      <c r="B54" s="147"/>
      <c r="C54" s="154">
        <v>10</v>
      </c>
      <c r="D54" s="628"/>
      <c r="E54" s="154"/>
      <c r="F54" s="157"/>
      <c r="G54" s="154"/>
      <c r="H54" s="154"/>
      <c r="I54" s="628"/>
      <c r="J54" s="155"/>
      <c r="K54" s="101"/>
      <c r="L54" s="51"/>
    </row>
    <row r="55" spans="1:12" s="16" customFormat="1" ht="24" customHeight="1" x14ac:dyDescent="0.3">
      <c r="A55" s="41"/>
      <c r="B55" s="147"/>
      <c r="C55" s="154">
        <v>11</v>
      </c>
      <c r="D55" s="628"/>
      <c r="E55" s="154"/>
      <c r="F55" s="157"/>
      <c r="G55" s="154"/>
      <c r="H55" s="154"/>
      <c r="I55" s="628"/>
      <c r="J55" s="155"/>
      <c r="K55" s="101"/>
      <c r="L55" s="51"/>
    </row>
    <row r="56" spans="1:12" s="16" customFormat="1" ht="24" customHeight="1" x14ac:dyDescent="0.3">
      <c r="A56" s="41"/>
      <c r="B56" s="147"/>
      <c r="C56" s="158">
        <v>12</v>
      </c>
      <c r="D56" s="628"/>
      <c r="E56" s="158"/>
      <c r="F56" s="159"/>
      <c r="G56" s="158"/>
      <c r="H56" s="158"/>
      <c r="I56" s="641"/>
      <c r="J56" s="184"/>
      <c r="K56" s="101"/>
      <c r="L56" s="51"/>
    </row>
    <row r="57" spans="1:12" s="16" customFormat="1" ht="24" customHeight="1" x14ac:dyDescent="0.3">
      <c r="A57" s="41"/>
      <c r="B57" s="147"/>
      <c r="C57" s="152">
        <v>13</v>
      </c>
      <c r="D57" s="628"/>
      <c r="E57" s="152"/>
      <c r="F57" s="153"/>
      <c r="G57" s="152"/>
      <c r="H57" s="152"/>
      <c r="I57" s="628"/>
      <c r="J57" s="152"/>
      <c r="K57" s="102"/>
      <c r="L57" s="18"/>
    </row>
    <row r="58" spans="1:12" s="16" customFormat="1" ht="24" customHeight="1" x14ac:dyDescent="0.3">
      <c r="A58" s="41"/>
      <c r="B58" s="147"/>
      <c r="C58" s="154">
        <v>14</v>
      </c>
      <c r="D58" s="628"/>
      <c r="E58" s="154"/>
      <c r="F58" s="157"/>
      <c r="G58" s="154"/>
      <c r="H58" s="154"/>
      <c r="I58" s="628"/>
      <c r="J58" s="154"/>
      <c r="K58" s="102"/>
      <c r="L58" s="18"/>
    </row>
    <row r="59" spans="1:12" s="16" customFormat="1" ht="24" customHeight="1" x14ac:dyDescent="0.3">
      <c r="A59" s="41"/>
      <c r="B59" s="147"/>
      <c r="C59" s="154">
        <v>15</v>
      </c>
      <c r="D59" s="628"/>
      <c r="E59" s="155"/>
      <c r="F59" s="156"/>
      <c r="G59" s="155"/>
      <c r="H59" s="155"/>
      <c r="I59" s="628"/>
      <c r="J59" s="155"/>
      <c r="K59" s="102"/>
      <c r="L59" s="51"/>
    </row>
    <row r="60" spans="1:12" s="16" customFormat="1" ht="24" customHeight="1" x14ac:dyDescent="0.3">
      <c r="A60" s="144"/>
      <c r="B60" s="142"/>
      <c r="C60" s="162">
        <v>16</v>
      </c>
      <c r="D60" s="628"/>
      <c r="E60" s="162"/>
      <c r="F60" s="164"/>
      <c r="G60" s="162"/>
      <c r="H60" s="162"/>
      <c r="I60" s="628"/>
      <c r="J60" s="162"/>
      <c r="K60" s="102"/>
      <c r="L60" s="51"/>
    </row>
    <row r="61" spans="1:12" s="16" customFormat="1" ht="24" customHeight="1" x14ac:dyDescent="0.3">
      <c r="A61" s="141" t="s">
        <v>212</v>
      </c>
      <c r="B61" s="149" t="s">
        <v>363</v>
      </c>
      <c r="C61" s="152">
        <v>1</v>
      </c>
      <c r="D61" s="605" t="s">
        <v>301</v>
      </c>
      <c r="E61" s="449" t="str">
        <f>본부통신실!E15</f>
        <v>T1</v>
      </c>
      <c r="F61" s="234" t="str">
        <f>본부통신실!F15</f>
        <v>데이터링크</v>
      </c>
      <c r="G61" s="234" t="str">
        <f>본부통신실!G15</f>
        <v/>
      </c>
      <c r="H61" s="234" t="str">
        <f>본부통신실!H15</f>
        <v>거래소-춘천</v>
      </c>
      <c r="I61" s="605" t="s">
        <v>301</v>
      </c>
      <c r="J61" s="234" t="str">
        <f>본부통신실!J15</f>
        <v>본사[MSPP_W 52-PQM-17]-(MSPP 52-PQM-15]강원DD-통합[1]-춘천S/S(급전소)</v>
      </c>
      <c r="K61" s="102"/>
      <c r="L61" s="51"/>
    </row>
    <row r="62" spans="1:12" s="16" customFormat="1" ht="24" customHeight="1" x14ac:dyDescent="0.3">
      <c r="A62" s="607" t="s">
        <v>516</v>
      </c>
      <c r="B62" s="608"/>
      <c r="C62" s="154">
        <v>2</v>
      </c>
      <c r="D62" s="605"/>
      <c r="E62" s="388" t="str">
        <f>본부통신실!E16</f>
        <v>E1</v>
      </c>
      <c r="F62" s="203"/>
      <c r="G62" s="203"/>
      <c r="H62" s="203"/>
      <c r="I62" s="605"/>
      <c r="J62" s="203"/>
      <c r="K62" s="136"/>
      <c r="L62" s="51"/>
    </row>
    <row r="63" spans="1:12" s="16" customFormat="1" ht="24" customHeight="1" x14ac:dyDescent="0.3">
      <c r="A63" s="613" t="s">
        <v>288</v>
      </c>
      <c r="B63" s="614"/>
      <c r="C63" s="154">
        <v>3</v>
      </c>
      <c r="D63" s="605"/>
      <c r="E63" s="388" t="str">
        <f>본부통신실!E17</f>
        <v>E1</v>
      </c>
      <c r="F63" s="154"/>
      <c r="G63" s="154"/>
      <c r="H63" s="154"/>
      <c r="I63" s="605"/>
      <c r="J63" s="154"/>
      <c r="K63" s="102"/>
      <c r="L63" s="51"/>
    </row>
    <row r="64" spans="1:12" s="16" customFormat="1" ht="24" customHeight="1" x14ac:dyDescent="0.3">
      <c r="A64" s="41"/>
      <c r="B64" s="147"/>
      <c r="C64" s="154">
        <v>4</v>
      </c>
      <c r="D64" s="605"/>
      <c r="E64" s="388" t="str">
        <f>본부통신실!E18</f>
        <v>E1</v>
      </c>
      <c r="F64" s="154" t="str">
        <f>본부통신실!F18</f>
        <v>급전분소 후비</v>
      </c>
      <c r="G64" s="154" t="str">
        <f>본부통신실!G18</f>
        <v/>
      </c>
      <c r="H64" s="154" t="str">
        <f>본부통신실!H18</f>
        <v>급전소-강릉</v>
      </c>
      <c r="I64" s="605"/>
      <c r="J64" s="154" t="str">
        <f>본부통신실!J18</f>
        <v>강릉[MSPP_2_PQM-25]-강원DD[MSPP_52_PQM-30]-통합[4]-춘천S/S-ETH_CSU</v>
      </c>
      <c r="K64" s="102"/>
      <c r="L64" s="51"/>
    </row>
    <row r="65" spans="1:18" s="16" customFormat="1" ht="24" customHeight="1" x14ac:dyDescent="0.3">
      <c r="A65" s="41"/>
      <c r="B65" s="147"/>
      <c r="C65" s="154">
        <v>5</v>
      </c>
      <c r="D65" s="605"/>
      <c r="E65" s="388" t="str">
        <f>본부통신실!E19</f>
        <v>E1</v>
      </c>
      <c r="F65" s="154" t="str">
        <f>본부통신실!F19</f>
        <v>급전분소 후비</v>
      </c>
      <c r="G65" s="154" t="str">
        <f>본부통신실!G19</f>
        <v/>
      </c>
      <c r="H65" s="154" t="str">
        <f>본부통신실!H19</f>
        <v>급전소-원주</v>
      </c>
      <c r="I65" s="605"/>
      <c r="J65" s="154" t="str">
        <f>본부통신실!J19</f>
        <v>원주[MSPP_2_PQM-28]-강원DD[MSPP_52_PQM-41]-통합[5]-춘천S/S-ETH_CSU</v>
      </c>
      <c r="K65" s="102"/>
      <c r="L65" s="51"/>
      <c r="R65" s="51"/>
    </row>
    <row r="66" spans="1:18" s="16" customFormat="1" ht="24" customHeight="1" x14ac:dyDescent="0.3">
      <c r="A66" s="41"/>
      <c r="B66" s="147"/>
      <c r="C66" s="154">
        <v>6</v>
      </c>
      <c r="D66" s="605"/>
      <c r="E66" s="388" t="str">
        <f>본부통신실!E20</f>
        <v>E1</v>
      </c>
      <c r="F66" s="154" t="str">
        <f>본부통신실!F20</f>
        <v>송변전감시</v>
      </c>
      <c r="G66" s="154" t="str">
        <f>본부통신실!G20</f>
        <v/>
      </c>
      <c r="H66" s="154" t="str">
        <f>본부통신실!H20</f>
        <v>춘천-횡계</v>
      </c>
      <c r="I66" s="605"/>
      <c r="J66" s="154" t="str">
        <f>본부통신실!J20</f>
        <v>춘천-6(PTP)본부#2[MSPP PQM(2)-강릉PO[MSPP PQM(2)]</v>
      </c>
      <c r="K66" s="102"/>
      <c r="M66" s="31"/>
      <c r="N66" s="353"/>
    </row>
    <row r="67" spans="1:18" s="16" customFormat="1" ht="24" customHeight="1" x14ac:dyDescent="0.3">
      <c r="A67" s="41"/>
      <c r="B67" s="147"/>
      <c r="C67" s="154">
        <v>7</v>
      </c>
      <c r="D67" s="605"/>
      <c r="E67" s="388" t="str">
        <f>본부통신실!E21</f>
        <v>E1</v>
      </c>
      <c r="F67" s="154" t="str">
        <f>본부통신실!F21</f>
        <v>CMS-PLUS</v>
      </c>
      <c r="G67" s="154" t="str">
        <f>본부통신실!G21</f>
        <v/>
      </c>
      <c r="H67" s="154" t="str">
        <f>본부통신실!H21</f>
        <v>춘천(구)-원주</v>
      </c>
      <c r="I67" s="605"/>
      <c r="J67" s="154" t="str">
        <f>본부통신실!J21</f>
        <v>춘천-7(PTP)-본부[MSPP PQM()-원주PO[MSPP PQM()]</v>
      </c>
      <c r="K67" s="102"/>
      <c r="L67" s="51"/>
    </row>
    <row r="68" spans="1:18" s="16" customFormat="1" ht="24" customHeight="1" x14ac:dyDescent="0.3">
      <c r="A68" s="41"/>
      <c r="B68" s="147"/>
      <c r="C68" s="154">
        <v>8</v>
      </c>
      <c r="D68" s="605"/>
      <c r="E68" s="388" t="str">
        <f>본부통신실!E22</f>
        <v>E1</v>
      </c>
      <c r="F68" s="203"/>
      <c r="G68" s="203"/>
      <c r="H68" s="203"/>
      <c r="I68" s="605"/>
      <c r="J68" s="203"/>
      <c r="K68" s="102"/>
      <c r="L68" s="51"/>
    </row>
    <row r="69" spans="1:18" s="16" customFormat="1" ht="24" customHeight="1" x14ac:dyDescent="0.3">
      <c r="A69" s="41"/>
      <c r="B69" s="147"/>
      <c r="C69" s="154">
        <v>9</v>
      </c>
      <c r="D69" s="605"/>
      <c r="E69" s="388" t="str">
        <f>본부통신실!E23</f>
        <v>E1</v>
      </c>
      <c r="F69" s="154" t="str">
        <f>본부통신실!F23</f>
        <v>송변전감시</v>
      </c>
      <c r="G69" s="154" t="str">
        <f>본부통신실!G23</f>
        <v/>
      </c>
      <c r="H69" s="154" t="str">
        <f>본부통신실!H23</f>
        <v>춘천-영월</v>
      </c>
      <c r="I69" s="605"/>
      <c r="J69" s="154" t="str">
        <f>본부통신실!J23</f>
        <v>춘천-9(PTP)-본부#2[MSPP PQM(3)-태백PO[MSPP PQM(1)]</v>
      </c>
      <c r="K69" s="102"/>
      <c r="L69" s="51"/>
    </row>
    <row r="70" spans="1:18" s="16" customFormat="1" ht="24" customHeight="1" x14ac:dyDescent="0.3">
      <c r="A70" s="41"/>
      <c r="B70" s="147"/>
      <c r="C70" s="154">
        <v>10</v>
      </c>
      <c r="D70" s="605"/>
      <c r="E70" s="388" t="str">
        <f>본부통신실!E24</f>
        <v>E1</v>
      </c>
      <c r="F70" s="203" t="str">
        <f>본부통신실!F24</f>
        <v>D-SCADA</v>
      </c>
      <c r="G70" s="203" t="str">
        <f>본부통신실!G24</f>
        <v/>
      </c>
      <c r="H70" s="203" t="str">
        <f>본부통신실!H24</f>
        <v>원주 LIU DS</v>
      </c>
      <c r="I70" s="605"/>
      <c r="J70" s="203" t="str">
        <f>본부통신실!J24</f>
        <v>춘천-10(PTP)-본부[MSPP PQM(12)-원주PO[MSPP PQM(12)]</v>
      </c>
      <c r="K70" s="102"/>
      <c r="L70" s="51"/>
    </row>
    <row r="71" spans="1:18" s="16" customFormat="1" ht="24" customHeight="1" x14ac:dyDescent="0.3">
      <c r="A71" s="41"/>
      <c r="B71" s="147"/>
      <c r="C71" s="154">
        <v>11</v>
      </c>
      <c r="D71" s="605"/>
      <c r="E71" s="388" t="str">
        <f>본부통신실!E25</f>
        <v>E1</v>
      </c>
      <c r="F71" s="154"/>
      <c r="G71" s="154" t="str">
        <f>본부통신실!G25</f>
        <v/>
      </c>
      <c r="H71" s="154"/>
      <c r="I71" s="605"/>
      <c r="J71" s="154"/>
      <c r="K71" s="102"/>
      <c r="L71" s="51"/>
    </row>
    <row r="72" spans="1:18" s="16" customFormat="1" ht="24" customHeight="1" x14ac:dyDescent="0.3">
      <c r="A72" s="41"/>
      <c r="B72" s="147"/>
      <c r="C72" s="158">
        <v>12</v>
      </c>
      <c r="D72" s="605"/>
      <c r="E72" s="388" t="str">
        <f>본부통신실!E26</f>
        <v>E1</v>
      </c>
      <c r="F72" s="203"/>
      <c r="G72" s="203"/>
      <c r="H72" s="203"/>
      <c r="I72" s="606"/>
      <c r="J72" s="203"/>
      <c r="K72" s="102"/>
      <c r="L72" s="51"/>
    </row>
    <row r="73" spans="1:18" s="16" customFormat="1" ht="24" customHeight="1" x14ac:dyDescent="0.3">
      <c r="A73" s="41"/>
      <c r="B73" s="147"/>
      <c r="C73" s="152">
        <v>1</v>
      </c>
      <c r="D73" s="609" t="s">
        <v>73</v>
      </c>
      <c r="E73" s="154" t="str">
        <f>본부통신실!E27</f>
        <v>9.6K</v>
      </c>
      <c r="F73" s="154"/>
      <c r="G73" s="154"/>
      <c r="H73" s="154"/>
      <c r="I73" s="609" t="s">
        <v>73</v>
      </c>
      <c r="J73" s="152"/>
      <c r="K73" s="102"/>
      <c r="L73" s="51"/>
    </row>
    <row r="74" spans="1:18" s="16" customFormat="1" ht="24" customHeight="1" x14ac:dyDescent="0.3">
      <c r="A74" s="13"/>
      <c r="B74" s="42"/>
      <c r="C74" s="154">
        <v>2</v>
      </c>
      <c r="D74" s="609"/>
      <c r="E74" s="154" t="str">
        <f>본부통신실!E28</f>
        <v>9.6K</v>
      </c>
      <c r="F74" s="154"/>
      <c r="G74" s="154"/>
      <c r="H74" s="154"/>
      <c r="I74" s="609"/>
      <c r="J74" s="154"/>
      <c r="K74" s="102"/>
      <c r="L74" s="51"/>
    </row>
    <row r="75" spans="1:18" s="16" customFormat="1" ht="24" customHeight="1" x14ac:dyDescent="0.3">
      <c r="A75" s="13"/>
      <c r="B75" s="42"/>
      <c r="C75" s="154">
        <v>3</v>
      </c>
      <c r="D75" s="609"/>
      <c r="E75" s="154" t="str">
        <f>본부통신실!E29</f>
        <v>9.6K</v>
      </c>
      <c r="F75" s="154"/>
      <c r="G75" s="154"/>
      <c r="H75" s="154"/>
      <c r="I75" s="609"/>
      <c r="J75" s="154"/>
      <c r="K75" s="102"/>
      <c r="L75" s="51"/>
    </row>
    <row r="76" spans="1:18" s="16" customFormat="1" ht="24" customHeight="1" x14ac:dyDescent="0.3">
      <c r="A76" s="17"/>
      <c r="B76" s="150"/>
      <c r="C76" s="162">
        <v>4</v>
      </c>
      <c r="D76" s="609"/>
      <c r="E76" s="154" t="str">
        <f>본부통신실!E30</f>
        <v>9.6K</v>
      </c>
      <c r="F76" s="154"/>
      <c r="G76" s="154"/>
      <c r="H76" s="154"/>
      <c r="I76" s="609"/>
      <c r="J76" s="154"/>
      <c r="K76" s="102"/>
      <c r="L76" s="51"/>
    </row>
    <row r="77" spans="1:18" s="16" customFormat="1" ht="24" customHeight="1" x14ac:dyDescent="0.3">
      <c r="A77" s="141" t="s">
        <v>212</v>
      </c>
      <c r="B77" s="149" t="s">
        <v>22</v>
      </c>
      <c r="C77" s="152">
        <v>1</v>
      </c>
      <c r="D77" s="605" t="s">
        <v>301</v>
      </c>
      <c r="E77" s="388" t="str">
        <f>본부통신실!E31</f>
        <v>E1</v>
      </c>
      <c r="F77" s="203"/>
      <c r="G77" s="203" t="str">
        <f>본부통신실!G31</f>
        <v/>
      </c>
      <c r="H77" s="203"/>
      <c r="I77" s="605" t="s">
        <v>301</v>
      </c>
      <c r="J77" s="499"/>
      <c r="K77" s="102"/>
      <c r="L77" s="51"/>
    </row>
    <row r="78" spans="1:18" s="16" customFormat="1" ht="24" customHeight="1" x14ac:dyDescent="0.3">
      <c r="A78" s="607" t="s">
        <v>517</v>
      </c>
      <c r="B78" s="608"/>
      <c r="C78" s="154">
        <v>2</v>
      </c>
      <c r="D78" s="605"/>
      <c r="E78" s="388" t="str">
        <f>본부통신실!E32</f>
        <v>E1</v>
      </c>
      <c r="F78" s="154" t="str">
        <f>본부통신실!F32</f>
        <v>신재생 감시</v>
      </c>
      <c r="G78" s="154" t="str">
        <f>본부통신실!G32</f>
        <v/>
      </c>
      <c r="H78" s="154" t="str">
        <f>본부통신실!H32</f>
        <v>동해변전소 제어동</v>
      </c>
      <c r="I78" s="605"/>
      <c r="J78" s="154" t="str">
        <f>본부통신실!J32</f>
        <v>동해 : 동해-(MSPP:49 - MSPP#2:5) - 강원본부 - (PTP#2:2) - 춘천(구) - 신재생발전원스위치3</v>
      </c>
      <c r="K78" s="102"/>
      <c r="L78" s="51"/>
    </row>
    <row r="79" spans="1:18" s="16" customFormat="1" ht="24" customHeight="1" x14ac:dyDescent="0.3">
      <c r="A79" s="613" t="s">
        <v>288</v>
      </c>
      <c r="B79" s="614"/>
      <c r="C79" s="154">
        <v>3</v>
      </c>
      <c r="D79" s="605"/>
      <c r="E79" s="388" t="str">
        <f>본부통신실!E33</f>
        <v>E1</v>
      </c>
      <c r="F79" s="203"/>
      <c r="G79" s="203"/>
      <c r="H79" s="203"/>
      <c r="I79" s="605"/>
      <c r="J79" s="203"/>
      <c r="K79" s="102"/>
      <c r="L79" s="51"/>
    </row>
    <row r="80" spans="1:18" s="16" customFormat="1" ht="24" customHeight="1" x14ac:dyDescent="0.3">
      <c r="A80" s="41"/>
      <c r="B80" s="147"/>
      <c r="C80" s="154">
        <v>4</v>
      </c>
      <c r="D80" s="605"/>
      <c r="E80" s="388" t="str">
        <f>본부통신실!E34</f>
        <v>E1</v>
      </c>
      <c r="F80" s="154" t="str">
        <f>본부통신실!F34</f>
        <v>배전전력구</v>
      </c>
      <c r="G80" s="154" t="str">
        <f>본부통신실!G34</f>
        <v/>
      </c>
      <c r="H80" s="154" t="str">
        <f>본부통신실!H34</f>
        <v>화천배전전력구</v>
      </c>
      <c r="I80" s="605"/>
      <c r="J80" s="154" t="str">
        <f>본부통신실!J34</f>
        <v>화천 ECSU-(4:통합단말:9)-춘천(구)(PTP#2 : 4 ) - 본부CSU - ~</v>
      </c>
      <c r="K80" s="102"/>
      <c r="L80" s="51"/>
    </row>
    <row r="81" spans="1:12" s="16" customFormat="1" ht="24" customHeight="1" x14ac:dyDescent="0.3">
      <c r="A81" s="41"/>
      <c r="B81" s="147"/>
      <c r="C81" s="154">
        <v>5</v>
      </c>
      <c r="D81" s="605"/>
      <c r="E81" s="388" t="str">
        <f>본부통신실!E35</f>
        <v>E1</v>
      </c>
      <c r="F81" s="154" t="str">
        <f>본부통신실!F35</f>
        <v>배전전력구</v>
      </c>
      <c r="G81" s="154" t="str">
        <f>본부통신실!G35</f>
        <v/>
      </c>
      <c r="H81" s="154" t="str">
        <f>본부통신실!H35</f>
        <v>서홍천배전전력구</v>
      </c>
      <c r="I81" s="605"/>
      <c r="J81" s="154" t="str">
        <f>본부통신실!J35</f>
        <v>서홍천 ECSU-(2:통합단말:9)-춘천(구)(PTP#2 : 5) - 본부CSU - ~</v>
      </c>
      <c r="K81" s="102"/>
      <c r="L81" s="51"/>
    </row>
    <row r="82" spans="1:12" s="16" customFormat="1" ht="24" customHeight="1" x14ac:dyDescent="0.3">
      <c r="A82" s="41"/>
      <c r="B82" s="147"/>
      <c r="C82" s="154">
        <v>6</v>
      </c>
      <c r="D82" s="605"/>
      <c r="E82" s="388" t="str">
        <f>본부통신실!E36</f>
        <v>E1</v>
      </c>
      <c r="F82" s="154" t="str">
        <f>본부통신실!F36</f>
        <v>신재생 감시</v>
      </c>
      <c r="G82" s="154" t="str">
        <f>본부통신실!G36</f>
        <v/>
      </c>
      <c r="H82" s="154" t="str">
        <f>본부통신실!H36</f>
        <v>북평화력</v>
      </c>
      <c r="I82" s="605"/>
      <c r="J82" s="154" t="str">
        <f>본부통신실!J36</f>
        <v>북평TP : 동해-(MSPP:50 - MSPP#2:6) - 강원본부 - (PTP#2:6) - 춘천(구) - 신재생발전원스위치4</v>
      </c>
      <c r="K82" s="102"/>
      <c r="L82" s="51"/>
    </row>
    <row r="83" spans="1:12" s="16" customFormat="1" ht="24" customHeight="1" x14ac:dyDescent="0.3">
      <c r="A83" s="41"/>
      <c r="B83" s="147"/>
      <c r="C83" s="154">
        <v>7</v>
      </c>
      <c r="D83" s="605"/>
      <c r="E83" s="388" t="str">
        <f>본부통신실!E37</f>
        <v>E1</v>
      </c>
      <c r="F83" s="154" t="str">
        <f>본부통신실!F37</f>
        <v>신재생 감시</v>
      </c>
      <c r="G83" s="154" t="str">
        <f>본부통신실!G37</f>
        <v/>
      </c>
      <c r="H83" s="154" t="str">
        <f>본부통신실!H37</f>
        <v>삼척G/P</v>
      </c>
      <c r="I83" s="605"/>
      <c r="J83" s="154" t="str">
        <f>본부통신실!J37</f>
        <v>삼척GP : 동해-(MSPP:51 - MSPP#2:7) - 강원본부 - (PTP#2:7) - 춘천(구) - 신재생발전원스위치5</v>
      </c>
      <c r="K83" s="102"/>
      <c r="L83" s="51"/>
    </row>
    <row r="84" spans="1:12" s="16" customFormat="1" ht="24" customHeight="1" x14ac:dyDescent="0.3">
      <c r="A84" s="41"/>
      <c r="B84" s="147"/>
      <c r="C84" s="154">
        <v>8</v>
      </c>
      <c r="D84" s="605"/>
      <c r="E84" s="154" t="str">
        <f>본부통신실!E38</f>
        <v/>
      </c>
      <c r="F84" s="154" t="str">
        <f>본부통신실!F38</f>
        <v/>
      </c>
      <c r="G84" s="154" t="str">
        <f>본부통신실!G38</f>
        <v/>
      </c>
      <c r="H84" s="154" t="str">
        <f>본부통신실!H38</f>
        <v/>
      </c>
      <c r="I84" s="605"/>
      <c r="J84" s="154" t="str">
        <f>본부통신실!J38</f>
        <v/>
      </c>
      <c r="K84" s="102"/>
      <c r="L84" s="51"/>
    </row>
    <row r="85" spans="1:12" s="16" customFormat="1" ht="24" customHeight="1" x14ac:dyDescent="0.3">
      <c r="A85" s="41"/>
      <c r="B85" s="147"/>
      <c r="C85" s="154">
        <v>9</v>
      </c>
      <c r="D85" s="605"/>
      <c r="E85" s="154" t="str">
        <f>본부통신실!E39</f>
        <v/>
      </c>
      <c r="F85" s="154" t="str">
        <f>본부통신실!F39</f>
        <v/>
      </c>
      <c r="G85" s="154" t="str">
        <f>본부통신실!G39</f>
        <v/>
      </c>
      <c r="H85" s="154" t="str">
        <f>본부통신실!H39</f>
        <v/>
      </c>
      <c r="I85" s="605"/>
      <c r="J85" s="154" t="str">
        <f>본부통신실!J39</f>
        <v/>
      </c>
      <c r="K85" s="102"/>
      <c r="L85" s="51"/>
    </row>
    <row r="86" spans="1:12" s="16" customFormat="1" ht="24" customHeight="1" x14ac:dyDescent="0.3">
      <c r="A86" s="41"/>
      <c r="B86" s="147"/>
      <c r="C86" s="154">
        <v>10</v>
      </c>
      <c r="D86" s="605"/>
      <c r="E86" s="154" t="str">
        <f>본부통신실!E40</f>
        <v/>
      </c>
      <c r="F86" s="154" t="str">
        <f>본부통신실!F40</f>
        <v/>
      </c>
      <c r="G86" s="154" t="str">
        <f>본부통신실!G40</f>
        <v/>
      </c>
      <c r="H86" s="154" t="str">
        <f>본부통신실!H40</f>
        <v/>
      </c>
      <c r="I86" s="605"/>
      <c r="J86" s="154" t="str">
        <f>본부통신실!J40</f>
        <v/>
      </c>
      <c r="K86" s="102"/>
      <c r="L86" s="51"/>
    </row>
    <row r="87" spans="1:12" s="16" customFormat="1" ht="24" customHeight="1" x14ac:dyDescent="0.3">
      <c r="A87" s="41"/>
      <c r="B87" s="147"/>
      <c r="C87" s="154">
        <v>11</v>
      </c>
      <c r="D87" s="605"/>
      <c r="E87" s="388" t="str">
        <f>본부통신실!E41</f>
        <v>E1</v>
      </c>
      <c r="F87" s="154" t="str">
        <f>본부통신실!F41</f>
        <v>배전전력구</v>
      </c>
      <c r="G87" s="154" t="str">
        <f>본부통신실!G41</f>
        <v/>
      </c>
      <c r="H87" s="154" t="str">
        <f>본부통신실!H41</f>
        <v>남춘천 배전전력구 화상감시#1</v>
      </c>
      <c r="I87" s="605"/>
      <c r="J87" s="154" t="str">
        <f>본부통신실!J41</f>
        <v>남춘천-(9:통합단말:10)-춘천-(PTP#2:11)-본부</v>
      </c>
      <c r="K87" s="102"/>
      <c r="L87" s="51"/>
    </row>
    <row r="88" spans="1:12" s="16" customFormat="1" ht="24" customHeight="1" x14ac:dyDescent="0.3">
      <c r="A88" s="41"/>
      <c r="B88" s="147"/>
      <c r="C88" s="158">
        <v>12</v>
      </c>
      <c r="D88" s="605"/>
      <c r="E88" s="154" t="str">
        <f>본부통신실!E42</f>
        <v/>
      </c>
      <c r="F88" s="154" t="str">
        <f>본부통신실!F42</f>
        <v/>
      </c>
      <c r="G88" s="154" t="str">
        <f>본부통신실!G42</f>
        <v/>
      </c>
      <c r="H88" s="154" t="str">
        <f>본부통신실!H42</f>
        <v/>
      </c>
      <c r="I88" s="606"/>
      <c r="J88" s="154" t="str">
        <f>본부통신실!J42</f>
        <v/>
      </c>
      <c r="K88" s="102"/>
      <c r="L88" s="51"/>
    </row>
    <row r="89" spans="1:12" s="16" customFormat="1" ht="24" customHeight="1" x14ac:dyDescent="0.3">
      <c r="A89" s="41"/>
      <c r="B89" s="147"/>
      <c r="C89" s="152">
        <v>1</v>
      </c>
      <c r="D89" s="609" t="s">
        <v>73</v>
      </c>
      <c r="E89" s="154" t="str">
        <f>본부통신실!E43</f>
        <v/>
      </c>
      <c r="F89" s="154" t="str">
        <f>본부통신실!F43</f>
        <v/>
      </c>
      <c r="G89" s="154" t="str">
        <f>본부통신실!G43</f>
        <v/>
      </c>
      <c r="H89" s="154" t="str">
        <f>본부통신실!H43</f>
        <v/>
      </c>
      <c r="I89" s="609" t="s">
        <v>73</v>
      </c>
      <c r="J89" s="152"/>
      <c r="K89" s="102"/>
      <c r="L89" s="51"/>
    </row>
    <row r="90" spans="1:12" s="16" customFormat="1" ht="24" customHeight="1" x14ac:dyDescent="0.3">
      <c r="A90" s="13"/>
      <c r="B90" s="42"/>
      <c r="C90" s="154">
        <v>2</v>
      </c>
      <c r="D90" s="609"/>
      <c r="E90" s="154" t="str">
        <f>본부통신실!E44</f>
        <v/>
      </c>
      <c r="F90" s="154" t="str">
        <f>본부통신실!F44</f>
        <v/>
      </c>
      <c r="G90" s="154" t="str">
        <f>본부통신실!G44</f>
        <v/>
      </c>
      <c r="H90" s="154" t="str">
        <f>본부통신실!H44</f>
        <v/>
      </c>
      <c r="I90" s="609"/>
      <c r="J90" s="154"/>
      <c r="K90" s="102"/>
      <c r="L90" s="51"/>
    </row>
    <row r="91" spans="1:12" s="16" customFormat="1" ht="24" customHeight="1" x14ac:dyDescent="0.3">
      <c r="A91" s="13"/>
      <c r="B91" s="42"/>
      <c r="C91" s="154">
        <v>3</v>
      </c>
      <c r="D91" s="609"/>
      <c r="E91" s="154" t="str">
        <f>본부통신실!E45</f>
        <v/>
      </c>
      <c r="F91" s="154" t="str">
        <f>본부통신실!F45</f>
        <v/>
      </c>
      <c r="G91" s="154" t="str">
        <f>본부통신실!G45</f>
        <v/>
      </c>
      <c r="H91" s="154" t="str">
        <f>본부통신실!H45</f>
        <v/>
      </c>
      <c r="I91" s="609"/>
      <c r="J91" s="154"/>
      <c r="K91" s="102"/>
      <c r="L91" s="51"/>
    </row>
    <row r="92" spans="1:12" s="16" customFormat="1" ht="24" customHeight="1" x14ac:dyDescent="0.3">
      <c r="A92" s="17"/>
      <c r="B92" s="150"/>
      <c r="C92" s="162">
        <v>4</v>
      </c>
      <c r="D92" s="609"/>
      <c r="E92" s="154" t="str">
        <f>본부통신실!E46</f>
        <v/>
      </c>
      <c r="F92" s="154" t="str">
        <f>본부통신실!F46</f>
        <v/>
      </c>
      <c r="G92" s="154" t="str">
        <f>본부통신실!G46</f>
        <v/>
      </c>
      <c r="H92" s="154" t="str">
        <f>본부통신실!H46</f>
        <v/>
      </c>
      <c r="I92" s="609"/>
      <c r="J92" s="162"/>
      <c r="K92" s="102"/>
      <c r="L92" s="51"/>
    </row>
    <row r="93" spans="1:12" s="16" customFormat="1" ht="24" customHeight="1" x14ac:dyDescent="0.3">
      <c r="A93" s="29" t="s">
        <v>296</v>
      </c>
      <c r="B93" s="146" t="s">
        <v>297</v>
      </c>
      <c r="C93" s="152">
        <v>1</v>
      </c>
      <c r="D93" s="642" t="s">
        <v>302</v>
      </c>
      <c r="E93" s="449" t="s">
        <v>25</v>
      </c>
      <c r="F93" s="153" t="s">
        <v>26</v>
      </c>
      <c r="G93" s="152" t="s">
        <v>27</v>
      </c>
      <c r="H93" s="152" t="s">
        <v>303</v>
      </c>
      <c r="I93" s="606" t="s">
        <v>302</v>
      </c>
      <c r="J93" s="192" t="s">
        <v>646</v>
      </c>
      <c r="K93" s="102"/>
      <c r="L93" s="18"/>
    </row>
    <row r="94" spans="1:12" s="16" customFormat="1" ht="24" customHeight="1" x14ac:dyDescent="0.3">
      <c r="A94" s="607" t="s">
        <v>299</v>
      </c>
      <c r="B94" s="608"/>
      <c r="C94" s="154">
        <v>2</v>
      </c>
      <c r="D94" s="643"/>
      <c r="E94" s="388" t="s">
        <v>25</v>
      </c>
      <c r="F94" s="157" t="s">
        <v>26</v>
      </c>
      <c r="G94" s="154" t="s">
        <v>27</v>
      </c>
      <c r="H94" s="154" t="s">
        <v>304</v>
      </c>
      <c r="I94" s="644"/>
      <c r="J94" s="239" t="s">
        <v>647</v>
      </c>
      <c r="K94" s="102"/>
      <c r="L94" s="18"/>
    </row>
    <row r="95" spans="1:12" s="16" customFormat="1" ht="24" customHeight="1" x14ac:dyDescent="0.3">
      <c r="A95" s="613" t="s">
        <v>288</v>
      </c>
      <c r="B95" s="614"/>
      <c r="C95" s="154">
        <v>3</v>
      </c>
      <c r="D95" s="643"/>
      <c r="E95" s="207"/>
      <c r="F95" s="157"/>
      <c r="G95" s="154"/>
      <c r="H95" s="154"/>
      <c r="I95" s="644"/>
      <c r="J95" s="239"/>
      <c r="K95" s="102"/>
      <c r="L95" s="51"/>
    </row>
    <row r="96" spans="1:12" s="16" customFormat="1" ht="24" customHeight="1" x14ac:dyDescent="0.3">
      <c r="A96" s="41"/>
      <c r="B96" s="147"/>
      <c r="C96" s="154">
        <v>4</v>
      </c>
      <c r="D96" s="643"/>
      <c r="E96" s="394" t="s">
        <v>680</v>
      </c>
      <c r="F96" s="397" t="s">
        <v>680</v>
      </c>
      <c r="G96" s="394" t="s">
        <v>680</v>
      </c>
      <c r="H96" s="394" t="s">
        <v>680</v>
      </c>
      <c r="I96" s="644"/>
      <c r="J96" s="410" t="s">
        <v>680</v>
      </c>
      <c r="K96" s="102"/>
      <c r="L96" s="51"/>
    </row>
    <row r="97" spans="1:12" s="16" customFormat="1" ht="24" customHeight="1" x14ac:dyDescent="0.3">
      <c r="A97" s="41"/>
      <c r="B97" s="147"/>
      <c r="C97" s="154">
        <v>5</v>
      </c>
      <c r="D97" s="643"/>
      <c r="E97" s="388" t="s">
        <v>28</v>
      </c>
      <c r="F97" s="154" t="s">
        <v>599</v>
      </c>
      <c r="G97" s="154" t="s">
        <v>27</v>
      </c>
      <c r="H97" s="154" t="s">
        <v>602</v>
      </c>
      <c r="I97" s="644"/>
      <c r="J97" s="190" t="s">
        <v>648</v>
      </c>
      <c r="K97" s="102"/>
      <c r="L97" s="51"/>
    </row>
    <row r="98" spans="1:12" s="16" customFormat="1" ht="24" customHeight="1" x14ac:dyDescent="0.3">
      <c r="A98" s="41"/>
      <c r="B98" s="147"/>
      <c r="C98" s="154">
        <v>6</v>
      </c>
      <c r="D98" s="643"/>
      <c r="E98" s="394" t="s">
        <v>680</v>
      </c>
      <c r="F98" s="397" t="s">
        <v>680</v>
      </c>
      <c r="G98" s="394" t="s">
        <v>680</v>
      </c>
      <c r="H98" s="394" t="s">
        <v>680</v>
      </c>
      <c r="I98" s="644"/>
      <c r="J98" s="410" t="s">
        <v>680</v>
      </c>
      <c r="K98" s="102"/>
      <c r="L98" s="51"/>
    </row>
    <row r="99" spans="1:12" s="16" customFormat="1" ht="24" customHeight="1" x14ac:dyDescent="0.3">
      <c r="A99" s="41"/>
      <c r="B99" s="147"/>
      <c r="C99" s="154">
        <v>7</v>
      </c>
      <c r="D99" s="643"/>
      <c r="E99" s="394" t="s">
        <v>680</v>
      </c>
      <c r="F99" s="397" t="s">
        <v>680</v>
      </c>
      <c r="G99" s="394" t="s">
        <v>680</v>
      </c>
      <c r="H99" s="394" t="s">
        <v>680</v>
      </c>
      <c r="I99" s="644"/>
      <c r="J99" s="410" t="s">
        <v>680</v>
      </c>
      <c r="K99" s="102"/>
      <c r="L99" s="51"/>
    </row>
    <row r="100" spans="1:12" s="16" customFormat="1" ht="24" customHeight="1" x14ac:dyDescent="0.3">
      <c r="A100" s="41"/>
      <c r="B100" s="147"/>
      <c r="C100" s="154">
        <v>8</v>
      </c>
      <c r="D100" s="643"/>
      <c r="E100" s="394" t="s">
        <v>680</v>
      </c>
      <c r="F100" s="397" t="s">
        <v>680</v>
      </c>
      <c r="G100" s="394" t="s">
        <v>680</v>
      </c>
      <c r="H100" s="394" t="s">
        <v>680</v>
      </c>
      <c r="I100" s="644"/>
      <c r="J100" s="410" t="s">
        <v>680</v>
      </c>
      <c r="K100" s="102"/>
      <c r="L100" s="51"/>
    </row>
    <row r="101" spans="1:12" s="16" customFormat="1" ht="24" customHeight="1" x14ac:dyDescent="0.3">
      <c r="A101" s="41"/>
      <c r="B101" s="147"/>
      <c r="C101" s="154">
        <v>9</v>
      </c>
      <c r="D101" s="643"/>
      <c r="E101" s="394" t="s">
        <v>680</v>
      </c>
      <c r="F101" s="397" t="s">
        <v>680</v>
      </c>
      <c r="G101" s="394" t="s">
        <v>680</v>
      </c>
      <c r="H101" s="394" t="s">
        <v>680</v>
      </c>
      <c r="I101" s="644"/>
      <c r="J101" s="410" t="s">
        <v>680</v>
      </c>
      <c r="K101" s="102"/>
      <c r="L101" s="51"/>
    </row>
    <row r="102" spans="1:12" s="16" customFormat="1" ht="24" customHeight="1" x14ac:dyDescent="0.3">
      <c r="A102" s="41"/>
      <c r="B102" s="147"/>
      <c r="C102" s="154">
        <v>10</v>
      </c>
      <c r="D102" s="643"/>
      <c r="E102" s="394" t="s">
        <v>680</v>
      </c>
      <c r="F102" s="397" t="s">
        <v>680</v>
      </c>
      <c r="G102" s="394" t="s">
        <v>680</v>
      </c>
      <c r="H102" s="394" t="s">
        <v>680</v>
      </c>
      <c r="I102" s="644"/>
      <c r="J102" s="410" t="s">
        <v>680</v>
      </c>
      <c r="K102" s="102"/>
      <c r="L102" s="51"/>
    </row>
    <row r="103" spans="1:12" s="16" customFormat="1" ht="24" customHeight="1" x14ac:dyDescent="0.3">
      <c r="A103" s="41"/>
      <c r="B103" s="147"/>
      <c r="C103" s="154">
        <v>11</v>
      </c>
      <c r="D103" s="643"/>
      <c r="E103" s="394" t="s">
        <v>680</v>
      </c>
      <c r="F103" s="397" t="s">
        <v>680</v>
      </c>
      <c r="G103" s="394" t="s">
        <v>680</v>
      </c>
      <c r="H103" s="394" t="s">
        <v>680</v>
      </c>
      <c r="I103" s="644"/>
      <c r="J103" s="410" t="s">
        <v>680</v>
      </c>
      <c r="K103" s="102"/>
      <c r="L103" s="51"/>
    </row>
    <row r="104" spans="1:12" s="16" customFormat="1" ht="24" customHeight="1" x14ac:dyDescent="0.3">
      <c r="A104" s="41"/>
      <c r="B104" s="147"/>
      <c r="C104" s="158">
        <v>12</v>
      </c>
      <c r="D104" s="643"/>
      <c r="E104" s="394" t="s">
        <v>680</v>
      </c>
      <c r="F104" s="397" t="s">
        <v>680</v>
      </c>
      <c r="G104" s="394" t="s">
        <v>680</v>
      </c>
      <c r="H104" s="394" t="s">
        <v>680</v>
      </c>
      <c r="I104" s="645"/>
      <c r="J104" s="410" t="s">
        <v>680</v>
      </c>
      <c r="K104" s="102"/>
      <c r="L104" s="53"/>
    </row>
    <row r="105" spans="1:12" s="16" customFormat="1" ht="24" customHeight="1" x14ac:dyDescent="0.3">
      <c r="A105" s="41"/>
      <c r="B105" s="147"/>
      <c r="C105" s="152">
        <v>1</v>
      </c>
      <c r="D105" s="646" t="s">
        <v>298</v>
      </c>
      <c r="E105" s="173"/>
      <c r="F105" s="180"/>
      <c r="G105" s="409"/>
      <c r="H105" s="172"/>
      <c r="I105" s="649" t="s">
        <v>298</v>
      </c>
      <c r="J105" s="195"/>
      <c r="K105" s="102"/>
      <c r="L105" s="51"/>
    </row>
    <row r="106" spans="1:12" s="16" customFormat="1" ht="24" customHeight="1" x14ac:dyDescent="0.3">
      <c r="A106" s="41"/>
      <c r="B106" s="147"/>
      <c r="C106" s="154">
        <v>2</v>
      </c>
      <c r="D106" s="647"/>
      <c r="E106" s="160"/>
      <c r="F106" s="157"/>
      <c r="G106" s="401"/>
      <c r="H106" s="154"/>
      <c r="I106" s="649"/>
      <c r="J106" s="190"/>
      <c r="K106" s="101"/>
      <c r="L106" s="51"/>
    </row>
    <row r="107" spans="1:12" s="16" customFormat="1" ht="24" customHeight="1" x14ac:dyDescent="0.3">
      <c r="A107" s="41"/>
      <c r="B107" s="147"/>
      <c r="C107" s="154">
        <v>3</v>
      </c>
      <c r="D107" s="647"/>
      <c r="E107" s="160"/>
      <c r="F107" s="157"/>
      <c r="G107" s="394"/>
      <c r="H107" s="154"/>
      <c r="I107" s="649"/>
      <c r="J107" s="190"/>
      <c r="K107" s="101"/>
      <c r="L107" s="51"/>
    </row>
    <row r="108" spans="1:12" s="16" customFormat="1" ht="24" customHeight="1" x14ac:dyDescent="0.3">
      <c r="A108" s="139"/>
      <c r="B108" s="148"/>
      <c r="C108" s="158">
        <v>4</v>
      </c>
      <c r="D108" s="648"/>
      <c r="E108" s="402" t="s">
        <v>680</v>
      </c>
      <c r="F108" s="405" t="s">
        <v>680</v>
      </c>
      <c r="G108" s="395" t="s">
        <v>680</v>
      </c>
      <c r="H108" s="395" t="s">
        <v>680</v>
      </c>
      <c r="I108" s="650"/>
      <c r="J108" s="411" t="s">
        <v>680</v>
      </c>
      <c r="K108" s="101"/>
      <c r="L108" s="51"/>
    </row>
    <row r="109" spans="1:12" s="16" customFormat="1" ht="24" customHeight="1" x14ac:dyDescent="0.3">
      <c r="A109" s="141" t="s">
        <v>296</v>
      </c>
      <c r="B109" s="149" t="s">
        <v>297</v>
      </c>
      <c r="C109" s="152">
        <v>1</v>
      </c>
      <c r="D109" s="652" t="s">
        <v>302</v>
      </c>
      <c r="E109" s="448" t="s">
        <v>8</v>
      </c>
      <c r="F109" s="180" t="s">
        <v>9</v>
      </c>
      <c r="G109" s="172" t="s">
        <v>29</v>
      </c>
      <c r="H109" s="172" t="s">
        <v>305</v>
      </c>
      <c r="I109" s="644" t="s">
        <v>302</v>
      </c>
      <c r="J109" s="187" t="s">
        <v>650</v>
      </c>
      <c r="K109" s="101"/>
      <c r="L109" s="51"/>
    </row>
    <row r="110" spans="1:12" s="16" customFormat="1" ht="24" customHeight="1" x14ac:dyDescent="0.3">
      <c r="A110" s="607" t="s">
        <v>300</v>
      </c>
      <c r="B110" s="608"/>
      <c r="C110" s="154">
        <v>2</v>
      </c>
      <c r="D110" s="652"/>
      <c r="E110" s="388" t="s">
        <v>8</v>
      </c>
      <c r="F110" s="157" t="s">
        <v>736</v>
      </c>
      <c r="G110" s="154" t="s">
        <v>29</v>
      </c>
      <c r="H110" s="154" t="s">
        <v>902</v>
      </c>
      <c r="I110" s="644"/>
      <c r="J110" s="155" t="s">
        <v>649</v>
      </c>
      <c r="K110" s="101"/>
      <c r="L110" s="51"/>
    </row>
    <row r="111" spans="1:12" s="16" customFormat="1" ht="24" customHeight="1" x14ac:dyDescent="0.3">
      <c r="A111" s="613" t="s">
        <v>288</v>
      </c>
      <c r="B111" s="614"/>
      <c r="C111" s="154">
        <v>3</v>
      </c>
      <c r="D111" s="652"/>
      <c r="E111" s="388" t="s">
        <v>8</v>
      </c>
      <c r="F111" s="157" t="s">
        <v>9</v>
      </c>
      <c r="G111" s="154" t="s">
        <v>29</v>
      </c>
      <c r="H111" s="154" t="s">
        <v>912</v>
      </c>
      <c r="I111" s="644"/>
      <c r="J111" s="190" t="s">
        <v>913</v>
      </c>
      <c r="K111" s="102"/>
      <c r="L111" s="53"/>
    </row>
    <row r="112" spans="1:12" s="16" customFormat="1" ht="24" customHeight="1" x14ac:dyDescent="0.3">
      <c r="A112" s="41"/>
      <c r="B112" s="147"/>
      <c r="C112" s="154">
        <v>4</v>
      </c>
      <c r="D112" s="652"/>
      <c r="E112" s="394" t="s">
        <v>680</v>
      </c>
      <c r="F112" s="397" t="s">
        <v>680</v>
      </c>
      <c r="G112" s="394" t="s">
        <v>680</v>
      </c>
      <c r="H112" s="394" t="s">
        <v>680</v>
      </c>
      <c r="I112" s="644"/>
      <c r="J112" s="410" t="s">
        <v>680</v>
      </c>
      <c r="K112" s="102"/>
      <c r="L112" s="53"/>
    </row>
    <row r="113" spans="1:12" s="16" customFormat="1" ht="24" customHeight="1" x14ac:dyDescent="0.3">
      <c r="A113" s="41"/>
      <c r="B113" s="147"/>
      <c r="C113" s="154">
        <v>5</v>
      </c>
      <c r="D113" s="652"/>
      <c r="E113" s="394" t="s">
        <v>680</v>
      </c>
      <c r="F113" s="397" t="s">
        <v>680</v>
      </c>
      <c r="G113" s="394" t="s">
        <v>680</v>
      </c>
      <c r="H113" s="394" t="s">
        <v>680</v>
      </c>
      <c r="I113" s="644"/>
      <c r="J113" s="410" t="s">
        <v>680</v>
      </c>
      <c r="K113" s="102"/>
      <c r="L113" s="51"/>
    </row>
    <row r="114" spans="1:12" s="16" customFormat="1" ht="24" customHeight="1" x14ac:dyDescent="0.3">
      <c r="A114" s="41"/>
      <c r="B114" s="147"/>
      <c r="C114" s="154">
        <v>6</v>
      </c>
      <c r="D114" s="652"/>
      <c r="E114" s="394" t="s">
        <v>680</v>
      </c>
      <c r="F114" s="397" t="s">
        <v>680</v>
      </c>
      <c r="G114" s="394" t="s">
        <v>680</v>
      </c>
      <c r="H114" s="394" t="s">
        <v>680</v>
      </c>
      <c r="I114" s="644"/>
      <c r="J114" s="410" t="s">
        <v>680</v>
      </c>
      <c r="K114" s="102"/>
      <c r="L114" s="51"/>
    </row>
    <row r="115" spans="1:12" s="16" customFormat="1" ht="24" customHeight="1" x14ac:dyDescent="0.3">
      <c r="A115" s="41"/>
      <c r="B115" s="147"/>
      <c r="C115" s="154">
        <v>7</v>
      </c>
      <c r="D115" s="652"/>
      <c r="E115" s="394" t="s">
        <v>680</v>
      </c>
      <c r="F115" s="397" t="s">
        <v>680</v>
      </c>
      <c r="G115" s="394" t="s">
        <v>680</v>
      </c>
      <c r="H115" s="394" t="s">
        <v>680</v>
      </c>
      <c r="I115" s="644"/>
      <c r="J115" s="410" t="s">
        <v>680</v>
      </c>
      <c r="K115" s="102"/>
      <c r="L115" s="51"/>
    </row>
    <row r="116" spans="1:12" s="16" customFormat="1" ht="24" customHeight="1" x14ac:dyDescent="0.3">
      <c r="A116" s="41"/>
      <c r="B116" s="147"/>
      <c r="C116" s="154">
        <v>8</v>
      </c>
      <c r="D116" s="652"/>
      <c r="E116" s="394" t="s">
        <v>680</v>
      </c>
      <c r="F116" s="397" t="s">
        <v>680</v>
      </c>
      <c r="G116" s="394" t="s">
        <v>680</v>
      </c>
      <c r="H116" s="394" t="s">
        <v>680</v>
      </c>
      <c r="I116" s="644"/>
      <c r="J116" s="410" t="s">
        <v>680</v>
      </c>
      <c r="K116" s="102"/>
      <c r="L116" s="51"/>
    </row>
    <row r="117" spans="1:12" s="16" customFormat="1" ht="24" customHeight="1" x14ac:dyDescent="0.3">
      <c r="A117" s="41"/>
      <c r="B117" s="147"/>
      <c r="C117" s="154">
        <v>9</v>
      </c>
      <c r="D117" s="652"/>
      <c r="E117" s="394" t="s">
        <v>680</v>
      </c>
      <c r="F117" s="397" t="s">
        <v>680</v>
      </c>
      <c r="G117" s="394" t="s">
        <v>680</v>
      </c>
      <c r="H117" s="394" t="s">
        <v>680</v>
      </c>
      <c r="I117" s="644"/>
      <c r="J117" s="410" t="s">
        <v>680</v>
      </c>
      <c r="K117" s="102"/>
      <c r="L117" s="53"/>
    </row>
    <row r="118" spans="1:12" s="16" customFormat="1" ht="24" customHeight="1" x14ac:dyDescent="0.3">
      <c r="A118" s="41"/>
      <c r="B118" s="147"/>
      <c r="C118" s="154">
        <v>10</v>
      </c>
      <c r="D118" s="652"/>
      <c r="E118" s="394" t="s">
        <v>680</v>
      </c>
      <c r="F118" s="397" t="s">
        <v>680</v>
      </c>
      <c r="G118" s="394" t="s">
        <v>680</v>
      </c>
      <c r="H118" s="394" t="s">
        <v>680</v>
      </c>
      <c r="I118" s="644"/>
      <c r="J118" s="410" t="s">
        <v>680</v>
      </c>
      <c r="K118" s="102"/>
      <c r="L118" s="53"/>
    </row>
    <row r="119" spans="1:12" s="16" customFormat="1" ht="24" customHeight="1" x14ac:dyDescent="0.3">
      <c r="A119" s="41"/>
      <c r="B119" s="147"/>
      <c r="C119" s="154">
        <v>11</v>
      </c>
      <c r="D119" s="652"/>
      <c r="E119" s="394" t="s">
        <v>680</v>
      </c>
      <c r="F119" s="397" t="s">
        <v>680</v>
      </c>
      <c r="G119" s="394" t="s">
        <v>680</v>
      </c>
      <c r="H119" s="394" t="s">
        <v>680</v>
      </c>
      <c r="I119" s="644"/>
      <c r="J119" s="410" t="s">
        <v>680</v>
      </c>
      <c r="K119" s="102"/>
      <c r="L119" s="53"/>
    </row>
    <row r="120" spans="1:12" s="16" customFormat="1" ht="24" customHeight="1" x14ac:dyDescent="0.3">
      <c r="A120" s="41"/>
      <c r="B120" s="147"/>
      <c r="C120" s="158">
        <v>12</v>
      </c>
      <c r="D120" s="652"/>
      <c r="E120" s="394" t="s">
        <v>680</v>
      </c>
      <c r="F120" s="397" t="s">
        <v>680</v>
      </c>
      <c r="G120" s="394" t="s">
        <v>680</v>
      </c>
      <c r="H120" s="394" t="s">
        <v>680</v>
      </c>
      <c r="I120" s="644"/>
      <c r="J120" s="410" t="s">
        <v>680</v>
      </c>
      <c r="K120" s="102"/>
      <c r="L120" s="53"/>
    </row>
    <row r="121" spans="1:12" s="16" customFormat="1" ht="24" customHeight="1" x14ac:dyDescent="0.3">
      <c r="A121" s="41"/>
      <c r="B121" s="147"/>
      <c r="C121" s="152">
        <v>1</v>
      </c>
      <c r="D121" s="653" t="s">
        <v>298</v>
      </c>
      <c r="E121" s="167"/>
      <c r="F121" s="153"/>
      <c r="G121" s="152"/>
      <c r="H121" s="152"/>
      <c r="I121" s="651" t="s">
        <v>298</v>
      </c>
      <c r="J121" s="192"/>
      <c r="K121" s="102"/>
      <c r="L121" s="53"/>
    </row>
    <row r="122" spans="1:12" s="16" customFormat="1" ht="24" customHeight="1" x14ac:dyDescent="0.3">
      <c r="A122" s="41"/>
      <c r="B122" s="147"/>
      <c r="C122" s="154">
        <v>2</v>
      </c>
      <c r="D122" s="654"/>
      <c r="E122" s="401" t="s">
        <v>680</v>
      </c>
      <c r="F122" s="397" t="s">
        <v>680</v>
      </c>
      <c r="G122" s="401" t="s">
        <v>680</v>
      </c>
      <c r="H122" s="394" t="s">
        <v>680</v>
      </c>
      <c r="I122" s="649"/>
      <c r="J122" s="410" t="s">
        <v>680</v>
      </c>
      <c r="K122" s="102"/>
      <c r="L122" s="18"/>
    </row>
    <row r="123" spans="1:12" s="16" customFormat="1" ht="24" customHeight="1" x14ac:dyDescent="0.3">
      <c r="A123" s="41"/>
      <c r="B123" s="147"/>
      <c r="C123" s="154">
        <v>3</v>
      </c>
      <c r="D123" s="654"/>
      <c r="E123" s="401" t="s">
        <v>680</v>
      </c>
      <c r="F123" s="397" t="s">
        <v>680</v>
      </c>
      <c r="G123" s="401" t="s">
        <v>680</v>
      </c>
      <c r="H123" s="394" t="s">
        <v>680</v>
      </c>
      <c r="I123" s="649"/>
      <c r="J123" s="410" t="s">
        <v>680</v>
      </c>
      <c r="K123" s="102"/>
      <c r="L123" s="18"/>
    </row>
    <row r="124" spans="1:12" s="16" customFormat="1" ht="24" customHeight="1" x14ac:dyDescent="0.3">
      <c r="A124" s="144"/>
      <c r="B124" s="151"/>
      <c r="C124" s="162">
        <v>4</v>
      </c>
      <c r="D124" s="655"/>
      <c r="E124" s="407" t="s">
        <v>680</v>
      </c>
      <c r="F124" s="399" t="s">
        <v>680</v>
      </c>
      <c r="G124" s="407" t="s">
        <v>680</v>
      </c>
      <c r="H124" s="398" t="s">
        <v>680</v>
      </c>
      <c r="I124" s="650"/>
      <c r="J124" s="410" t="s">
        <v>680</v>
      </c>
      <c r="K124" s="102"/>
      <c r="L124" s="18"/>
    </row>
    <row r="125" spans="1:12" s="16" customFormat="1" ht="24" customHeight="1" x14ac:dyDescent="0.3">
      <c r="A125" s="141" t="s">
        <v>212</v>
      </c>
      <c r="B125" s="149" t="s">
        <v>33</v>
      </c>
      <c r="C125" s="152">
        <v>1</v>
      </c>
      <c r="D125" s="652" t="s">
        <v>199</v>
      </c>
      <c r="E125" s="449" t="s">
        <v>306</v>
      </c>
      <c r="F125" s="153" t="s">
        <v>307</v>
      </c>
      <c r="G125" s="152" t="s">
        <v>308</v>
      </c>
      <c r="H125" s="152" t="s">
        <v>101</v>
      </c>
      <c r="I125" s="644" t="s">
        <v>199</v>
      </c>
      <c r="J125" s="190" t="s">
        <v>913</v>
      </c>
      <c r="K125" s="102"/>
      <c r="L125" s="51"/>
    </row>
    <row r="126" spans="1:12" s="16" customFormat="1" ht="24" customHeight="1" x14ac:dyDescent="0.3">
      <c r="A126" s="607" t="s">
        <v>312</v>
      </c>
      <c r="B126" s="608"/>
      <c r="C126" s="154">
        <v>2</v>
      </c>
      <c r="D126" s="652"/>
      <c r="E126" s="388" t="s">
        <v>309</v>
      </c>
      <c r="F126" s="157" t="s">
        <v>310</v>
      </c>
      <c r="G126" s="394" t="s">
        <v>680</v>
      </c>
      <c r="H126" s="154" t="s">
        <v>101</v>
      </c>
      <c r="I126" s="644"/>
      <c r="J126" s="190" t="s">
        <v>652</v>
      </c>
      <c r="K126" s="102"/>
      <c r="L126" s="51"/>
    </row>
    <row r="127" spans="1:12" s="16" customFormat="1" ht="24" customHeight="1" x14ac:dyDescent="0.3">
      <c r="A127" s="41"/>
      <c r="B127" s="147"/>
      <c r="C127" s="154">
        <v>3</v>
      </c>
      <c r="D127" s="652"/>
      <c r="E127" s="388" t="s">
        <v>309</v>
      </c>
      <c r="F127" s="157" t="s">
        <v>311</v>
      </c>
      <c r="G127" s="394" t="s">
        <v>680</v>
      </c>
      <c r="H127" s="154" t="s">
        <v>190</v>
      </c>
      <c r="I127" s="644"/>
      <c r="J127" s="190" t="s">
        <v>651</v>
      </c>
      <c r="K127" s="102"/>
      <c r="L127" s="51"/>
    </row>
    <row r="128" spans="1:12" s="16" customFormat="1" ht="24" customHeight="1" x14ac:dyDescent="0.3">
      <c r="A128" s="41"/>
      <c r="B128" s="147"/>
      <c r="C128" s="154">
        <v>4</v>
      </c>
      <c r="D128" s="652"/>
      <c r="E128" s="388" t="s">
        <v>28</v>
      </c>
      <c r="F128" s="157" t="s">
        <v>189</v>
      </c>
      <c r="G128" s="394" t="s">
        <v>680</v>
      </c>
      <c r="H128" s="154" t="s">
        <v>143</v>
      </c>
      <c r="I128" s="644"/>
      <c r="J128" s="190" t="s">
        <v>249</v>
      </c>
      <c r="K128" s="102"/>
      <c r="L128" s="51"/>
    </row>
    <row r="129" spans="1:13" s="16" customFormat="1" ht="24" customHeight="1" x14ac:dyDescent="0.3">
      <c r="A129" s="41"/>
      <c r="B129" s="147"/>
      <c r="C129" s="154">
        <v>5</v>
      </c>
      <c r="D129" s="652"/>
      <c r="E129" s="154" t="s">
        <v>28</v>
      </c>
      <c r="F129" s="157" t="s">
        <v>654</v>
      </c>
      <c r="G129" s="154" t="s">
        <v>29</v>
      </c>
      <c r="H129" s="154" t="s">
        <v>657</v>
      </c>
      <c r="I129" s="644"/>
      <c r="J129" s="190" t="s">
        <v>659</v>
      </c>
      <c r="K129" s="102"/>
      <c r="L129" s="51"/>
    </row>
    <row r="130" spans="1:13" s="16" customFormat="1" ht="24" customHeight="1" x14ac:dyDescent="0.3">
      <c r="A130" s="41"/>
      <c r="B130" s="147"/>
      <c r="C130" s="154">
        <v>6</v>
      </c>
      <c r="D130" s="652"/>
      <c r="E130" s="394" t="s">
        <v>680</v>
      </c>
      <c r="F130" s="397" t="s">
        <v>680</v>
      </c>
      <c r="G130" s="394" t="s">
        <v>680</v>
      </c>
      <c r="H130" s="394" t="s">
        <v>680</v>
      </c>
      <c r="I130" s="644"/>
      <c r="J130" s="410" t="s">
        <v>680</v>
      </c>
      <c r="K130" s="102"/>
      <c r="L130" s="53"/>
    </row>
    <row r="131" spans="1:13" s="16" customFormat="1" ht="24" customHeight="1" x14ac:dyDescent="0.3">
      <c r="A131" s="41"/>
      <c r="B131" s="147"/>
      <c r="C131" s="154">
        <v>7</v>
      </c>
      <c r="D131" s="652"/>
      <c r="E131" s="388" t="s">
        <v>28</v>
      </c>
      <c r="F131" s="154" t="s">
        <v>599</v>
      </c>
      <c r="G131" s="154" t="s">
        <v>27</v>
      </c>
      <c r="H131" s="154" t="s">
        <v>604</v>
      </c>
      <c r="I131" s="644"/>
      <c r="J131" s="190" t="s">
        <v>603</v>
      </c>
      <c r="K131" s="102"/>
      <c r="L131" s="53"/>
      <c r="M131" s="6"/>
    </row>
    <row r="132" spans="1:13" s="16" customFormat="1" ht="24" customHeight="1" x14ac:dyDescent="0.3">
      <c r="A132" s="41"/>
      <c r="B132" s="147"/>
      <c r="C132" s="154">
        <v>8</v>
      </c>
      <c r="D132" s="652"/>
      <c r="E132" s="154"/>
      <c r="F132" s="154"/>
      <c r="G132" s="154"/>
      <c r="H132" s="154"/>
      <c r="I132" s="644"/>
      <c r="J132" s="190"/>
      <c r="K132" s="102"/>
      <c r="L132" s="53"/>
      <c r="M132" s="6"/>
    </row>
    <row r="133" spans="1:13" s="16" customFormat="1" ht="24" customHeight="1" x14ac:dyDescent="0.3">
      <c r="A133" s="41"/>
      <c r="B133" s="147"/>
      <c r="C133" s="154">
        <v>9</v>
      </c>
      <c r="D133" s="652"/>
      <c r="E133" s="154"/>
      <c r="F133" s="154"/>
      <c r="G133" s="154"/>
      <c r="H133" s="154"/>
      <c r="I133" s="644"/>
      <c r="J133" s="190"/>
      <c r="K133" s="102"/>
      <c r="L133" s="53"/>
    </row>
    <row r="134" spans="1:13" s="16" customFormat="1" ht="24" customHeight="1" x14ac:dyDescent="0.3">
      <c r="A134" s="41"/>
      <c r="B134" s="147"/>
      <c r="C134" s="154">
        <v>10</v>
      </c>
      <c r="D134" s="652"/>
      <c r="E134" s="394" t="s">
        <v>680</v>
      </c>
      <c r="F134" s="397" t="s">
        <v>680</v>
      </c>
      <c r="G134" s="394" t="s">
        <v>680</v>
      </c>
      <c r="H134" s="394" t="s">
        <v>680</v>
      </c>
      <c r="I134" s="644"/>
      <c r="J134" s="410" t="s">
        <v>680</v>
      </c>
      <c r="K134" s="102"/>
      <c r="L134" s="18"/>
    </row>
    <row r="135" spans="1:13" s="16" customFormat="1" ht="24" customHeight="1" x14ac:dyDescent="0.3">
      <c r="A135" s="41"/>
      <c r="B135" s="147"/>
      <c r="C135" s="154">
        <v>11</v>
      </c>
      <c r="D135" s="652"/>
      <c r="E135" s="394" t="s">
        <v>680</v>
      </c>
      <c r="F135" s="397" t="s">
        <v>680</v>
      </c>
      <c r="G135" s="394" t="s">
        <v>680</v>
      </c>
      <c r="H135" s="394" t="s">
        <v>680</v>
      </c>
      <c r="I135" s="644"/>
      <c r="J135" s="410" t="s">
        <v>680</v>
      </c>
      <c r="K135" s="102"/>
      <c r="L135" s="53"/>
    </row>
    <row r="136" spans="1:13" s="16" customFormat="1" ht="24" customHeight="1" x14ac:dyDescent="0.3">
      <c r="A136" s="41"/>
      <c r="B136" s="147"/>
      <c r="C136" s="158">
        <v>12</v>
      </c>
      <c r="D136" s="652"/>
      <c r="E136" s="395" t="s">
        <v>680</v>
      </c>
      <c r="F136" s="405" t="s">
        <v>680</v>
      </c>
      <c r="G136" s="395" t="s">
        <v>680</v>
      </c>
      <c r="H136" s="395" t="s">
        <v>680</v>
      </c>
      <c r="I136" s="644"/>
      <c r="J136" s="411" t="s">
        <v>680</v>
      </c>
      <c r="K136" s="102"/>
      <c r="L136" s="53"/>
    </row>
    <row r="137" spans="1:13" s="16" customFormat="1" ht="24" customHeight="1" x14ac:dyDescent="0.3">
      <c r="A137" s="41"/>
      <c r="B137" s="147"/>
      <c r="C137" s="152">
        <v>1</v>
      </c>
      <c r="D137" s="653" t="s">
        <v>73</v>
      </c>
      <c r="E137" s="400" t="s">
        <v>680</v>
      </c>
      <c r="F137" s="403" t="s">
        <v>680</v>
      </c>
      <c r="G137" s="396" t="s">
        <v>680</v>
      </c>
      <c r="H137" s="396" t="s">
        <v>680</v>
      </c>
      <c r="I137" s="651" t="s">
        <v>73</v>
      </c>
      <c r="J137" s="417" t="s">
        <v>680</v>
      </c>
      <c r="K137" s="102"/>
      <c r="L137" s="18"/>
    </row>
    <row r="138" spans="1:13" s="16" customFormat="1" ht="24" customHeight="1" x14ac:dyDescent="0.3">
      <c r="A138" s="41"/>
      <c r="B138" s="147"/>
      <c r="C138" s="154">
        <v>2</v>
      </c>
      <c r="D138" s="654"/>
      <c r="E138" s="401" t="s">
        <v>680</v>
      </c>
      <c r="F138" s="397" t="s">
        <v>680</v>
      </c>
      <c r="G138" s="401" t="s">
        <v>680</v>
      </c>
      <c r="H138" s="394" t="s">
        <v>680</v>
      </c>
      <c r="I138" s="649"/>
      <c r="J138" s="410" t="s">
        <v>680</v>
      </c>
      <c r="K138" s="102"/>
      <c r="L138" s="18"/>
    </row>
    <row r="139" spans="1:13" s="16" customFormat="1" ht="24" customHeight="1" x14ac:dyDescent="0.3">
      <c r="A139" s="41"/>
      <c r="B139" s="147"/>
      <c r="C139" s="154">
        <v>3</v>
      </c>
      <c r="D139" s="654"/>
      <c r="E139" s="401" t="s">
        <v>680</v>
      </c>
      <c r="F139" s="397" t="s">
        <v>680</v>
      </c>
      <c r="G139" s="394" t="s">
        <v>680</v>
      </c>
      <c r="H139" s="394" t="s">
        <v>680</v>
      </c>
      <c r="I139" s="649"/>
      <c r="J139" s="410" t="s">
        <v>680</v>
      </c>
      <c r="K139" s="102"/>
      <c r="L139" s="53"/>
    </row>
    <row r="140" spans="1:13" s="16" customFormat="1" ht="24" customHeight="1" x14ac:dyDescent="0.3">
      <c r="A140" s="144"/>
      <c r="B140" s="151"/>
      <c r="C140" s="162">
        <v>4</v>
      </c>
      <c r="D140" s="655"/>
      <c r="E140" s="402" t="s">
        <v>680</v>
      </c>
      <c r="F140" s="405" t="s">
        <v>680</v>
      </c>
      <c r="G140" s="395" t="s">
        <v>680</v>
      </c>
      <c r="H140" s="395" t="s">
        <v>680</v>
      </c>
      <c r="I140" s="650"/>
      <c r="J140" s="415" t="s">
        <v>680</v>
      </c>
      <c r="K140" s="102"/>
      <c r="L140" s="53"/>
    </row>
    <row r="141" spans="1:13" s="16" customFormat="1" ht="24" customHeight="1" x14ac:dyDescent="0.3">
      <c r="A141" s="29" t="s">
        <v>212</v>
      </c>
      <c r="B141" s="146" t="s">
        <v>22</v>
      </c>
      <c r="C141" s="154">
        <v>1</v>
      </c>
      <c r="D141" s="622" t="s">
        <v>17</v>
      </c>
      <c r="E141" s="160" t="str">
        <f>본부통신실!E47</f>
        <v/>
      </c>
      <c r="F141" s="160" t="str">
        <f>본부통신실!F47</f>
        <v/>
      </c>
      <c r="G141" s="160" t="str">
        <f>본부통신실!G47</f>
        <v/>
      </c>
      <c r="H141" s="160" t="str">
        <f>본부통신실!H47</f>
        <v/>
      </c>
      <c r="I141" s="622" t="s">
        <v>17</v>
      </c>
      <c r="J141" s="154" t="str">
        <f>본부통신실!J47</f>
        <v>불량</v>
      </c>
      <c r="K141" s="102"/>
      <c r="L141" s="51"/>
    </row>
    <row r="142" spans="1:13" s="16" customFormat="1" ht="24" customHeight="1" x14ac:dyDescent="0.3">
      <c r="A142" s="620" t="s">
        <v>295</v>
      </c>
      <c r="B142" s="621"/>
      <c r="C142" s="154">
        <v>2</v>
      </c>
      <c r="D142" s="622"/>
      <c r="E142" s="160" t="str">
        <f>본부통신실!E48</f>
        <v/>
      </c>
      <c r="F142" s="160" t="str">
        <f>본부통신실!F48</f>
        <v/>
      </c>
      <c r="G142" s="160" t="str">
        <f>본부통신실!G48</f>
        <v/>
      </c>
      <c r="H142" s="160" t="str">
        <f>본부통신실!H48</f>
        <v/>
      </c>
      <c r="I142" s="622"/>
      <c r="J142" s="154" t="str">
        <f>본부통신실!J48</f>
        <v>불량</v>
      </c>
      <c r="K142" s="102" t="s">
        <v>561</v>
      </c>
      <c r="L142" s="51"/>
    </row>
    <row r="143" spans="1:13" s="16" customFormat="1" ht="24" customHeight="1" x14ac:dyDescent="0.3">
      <c r="A143" s="41"/>
      <c r="B143" s="147"/>
      <c r="C143" s="154">
        <v>3</v>
      </c>
      <c r="D143" s="622"/>
      <c r="E143" s="444"/>
      <c r="F143" s="160"/>
      <c r="G143" s="160"/>
      <c r="H143" s="160"/>
      <c r="I143" s="622"/>
      <c r="J143" s="154"/>
      <c r="K143" s="101"/>
      <c r="L143" s="51"/>
    </row>
    <row r="144" spans="1:13" s="16" customFormat="1" ht="24" customHeight="1" x14ac:dyDescent="0.3">
      <c r="A144" s="41"/>
      <c r="B144" s="147"/>
      <c r="C144" s="154">
        <v>4</v>
      </c>
      <c r="D144" s="622"/>
      <c r="E144" s="444"/>
      <c r="F144" s="160"/>
      <c r="G144" s="160"/>
      <c r="H144" s="160"/>
      <c r="I144" s="622"/>
      <c r="J144" s="154"/>
      <c r="K144" s="101"/>
      <c r="L144" s="51"/>
    </row>
    <row r="145" spans="1:14" s="16" customFormat="1" ht="24" customHeight="1" x14ac:dyDescent="0.3">
      <c r="A145" s="41"/>
      <c r="B145" s="147"/>
      <c r="C145" s="154">
        <v>5</v>
      </c>
      <c r="D145" s="622"/>
      <c r="E145" s="444"/>
      <c r="F145" s="160"/>
      <c r="G145" s="160"/>
      <c r="H145" s="160"/>
      <c r="I145" s="622"/>
      <c r="J145" s="154"/>
      <c r="K145" s="102"/>
      <c r="L145" s="51"/>
    </row>
    <row r="146" spans="1:14" s="16" customFormat="1" ht="24" customHeight="1" x14ac:dyDescent="0.3">
      <c r="A146" s="41"/>
      <c r="B146" s="147"/>
      <c r="C146" s="158">
        <v>6</v>
      </c>
      <c r="D146" s="674"/>
      <c r="E146" s="445"/>
      <c r="F146" s="165"/>
      <c r="G146" s="165"/>
      <c r="H146" s="165"/>
      <c r="I146" s="674"/>
      <c r="J146" s="158"/>
      <c r="K146" s="102"/>
      <c r="L146" s="51"/>
    </row>
    <row r="147" spans="1:14" s="16" customFormat="1" ht="24" customHeight="1" x14ac:dyDescent="0.3">
      <c r="A147" s="41"/>
      <c r="B147" s="147"/>
      <c r="C147" s="152">
        <v>7</v>
      </c>
      <c r="D147" s="622" t="s">
        <v>17</v>
      </c>
      <c r="E147" s="167" t="str">
        <f>본부통신실!E53</f>
        <v/>
      </c>
      <c r="F147" s="167" t="str">
        <f>본부통신실!F53</f>
        <v/>
      </c>
      <c r="G147" s="167" t="str">
        <f>본부통신실!G53</f>
        <v/>
      </c>
      <c r="H147" s="167" t="str">
        <f>본부통신실!H53</f>
        <v/>
      </c>
      <c r="I147" s="622" t="s">
        <v>17</v>
      </c>
      <c r="J147" s="152"/>
      <c r="K147" s="102"/>
      <c r="L147" s="51"/>
    </row>
    <row r="148" spans="1:14" s="16" customFormat="1" ht="24" customHeight="1" x14ac:dyDescent="0.3">
      <c r="A148" s="41"/>
      <c r="B148" s="147"/>
      <c r="C148" s="154">
        <v>8</v>
      </c>
      <c r="D148" s="622"/>
      <c r="E148" s="444"/>
      <c r="F148" s="160"/>
      <c r="G148" s="160"/>
      <c r="H148" s="160"/>
      <c r="I148" s="622"/>
      <c r="J148" s="154"/>
      <c r="K148" s="101"/>
      <c r="L148" s="51"/>
    </row>
    <row r="149" spans="1:14" s="16" customFormat="1" ht="24" customHeight="1" x14ac:dyDescent="0.3">
      <c r="A149" s="41"/>
      <c r="B149" s="147"/>
      <c r="C149" s="154">
        <v>9</v>
      </c>
      <c r="D149" s="622"/>
      <c r="E149" s="444"/>
      <c r="F149" s="160"/>
      <c r="G149" s="160"/>
      <c r="H149" s="160"/>
      <c r="I149" s="622"/>
      <c r="J149" s="154"/>
      <c r="K149" s="101"/>
      <c r="L149" s="51"/>
    </row>
    <row r="150" spans="1:14" s="16" customFormat="1" ht="24" customHeight="1" x14ac:dyDescent="0.3">
      <c r="A150" s="41"/>
      <c r="B150" s="147"/>
      <c r="C150" s="154">
        <v>10</v>
      </c>
      <c r="D150" s="622"/>
      <c r="E150" s="444"/>
      <c r="F150" s="160"/>
      <c r="G150" s="160"/>
      <c r="H150" s="160"/>
      <c r="I150" s="622"/>
      <c r="J150" s="154"/>
      <c r="K150" s="102"/>
      <c r="L150" s="51"/>
    </row>
    <row r="151" spans="1:14" s="16" customFormat="1" ht="24" customHeight="1" x14ac:dyDescent="0.3">
      <c r="A151" s="41"/>
      <c r="B151" s="147"/>
      <c r="C151" s="154">
        <v>11</v>
      </c>
      <c r="D151" s="622"/>
      <c r="E151" s="444"/>
      <c r="F151" s="160"/>
      <c r="G151" s="160"/>
      <c r="H151" s="160"/>
      <c r="I151" s="622"/>
      <c r="J151" s="154"/>
      <c r="K151" s="102"/>
      <c r="L151" s="51"/>
    </row>
    <row r="152" spans="1:14" s="16" customFormat="1" ht="24" customHeight="1" x14ac:dyDescent="0.3">
      <c r="A152" s="41"/>
      <c r="B152" s="147"/>
      <c r="C152" s="162">
        <v>12</v>
      </c>
      <c r="D152" s="622"/>
      <c r="E152" s="447"/>
      <c r="F152" s="163" t="str">
        <f>본부통신실!F58</f>
        <v>급전</v>
      </c>
      <c r="G152" s="163" t="str">
        <f>본부통신실!G58</f>
        <v/>
      </c>
      <c r="H152" s="163" t="str">
        <f>본부통신실!H58</f>
        <v>강릉T/P(나주KPX)</v>
      </c>
      <c r="I152" s="622"/>
      <c r="J152" s="162" t="str">
        <f>본부통신실!J58</f>
        <v>나주KPX-(CMS:20)-강원D/D-(CMUX:12)-춘천변전소-(CMUX#2:15)-강릉P/O</v>
      </c>
      <c r="K152" s="102"/>
      <c r="L152" s="51"/>
    </row>
    <row r="153" spans="1:14" s="16" customFormat="1" ht="24" customHeight="1" x14ac:dyDescent="0.3">
      <c r="A153" s="41"/>
      <c r="B153" s="147"/>
      <c r="C153" s="172">
        <v>13</v>
      </c>
      <c r="D153" s="673" t="s">
        <v>17</v>
      </c>
      <c r="E153" s="173"/>
      <c r="F153" s="173"/>
      <c r="G153" s="173" t="str">
        <f>본부통신실!G59</f>
        <v/>
      </c>
      <c r="H153" s="173"/>
      <c r="I153" s="673" t="s">
        <v>17</v>
      </c>
      <c r="J153" s="172"/>
      <c r="K153" s="102"/>
      <c r="L153" s="51"/>
    </row>
    <row r="154" spans="1:14" s="16" customFormat="1" ht="24" customHeight="1" x14ac:dyDescent="0.3">
      <c r="A154" s="41"/>
      <c r="B154" s="147"/>
      <c r="C154" s="154">
        <v>14</v>
      </c>
      <c r="D154" s="622"/>
      <c r="E154" s="160" t="str">
        <f>본부통신실!E60</f>
        <v/>
      </c>
      <c r="F154" s="160" t="str">
        <f>본부통신실!F60</f>
        <v/>
      </c>
      <c r="G154" s="160" t="str">
        <f>본부통신실!G60</f>
        <v/>
      </c>
      <c r="H154" s="160" t="str">
        <f>본부통신실!H60</f>
        <v/>
      </c>
      <c r="I154" s="622"/>
      <c r="J154" s="154" t="str">
        <f>본부통신실!J60</f>
        <v/>
      </c>
      <c r="K154" s="102"/>
      <c r="L154" s="51"/>
    </row>
    <row r="155" spans="1:14" s="16" customFormat="1" ht="24" customHeight="1" x14ac:dyDescent="0.3">
      <c r="A155" s="41"/>
      <c r="B155" s="147"/>
      <c r="C155" s="154">
        <v>15</v>
      </c>
      <c r="D155" s="622"/>
      <c r="E155" s="160"/>
      <c r="F155" s="160"/>
      <c r="G155" s="160" t="str">
        <f>본부통신실!G61</f>
        <v/>
      </c>
      <c r="H155" s="160"/>
      <c r="I155" s="622"/>
      <c r="J155" s="154"/>
      <c r="K155" s="102"/>
      <c r="L155" s="51"/>
    </row>
    <row r="156" spans="1:14" s="16" customFormat="1" ht="24" customHeight="1" x14ac:dyDescent="0.3">
      <c r="A156" s="41"/>
      <c r="B156" s="147"/>
      <c r="C156" s="154">
        <v>16</v>
      </c>
      <c r="D156" s="622"/>
      <c r="E156" s="160" t="str">
        <f>본부통신실!E62</f>
        <v/>
      </c>
      <c r="F156" s="160" t="str">
        <f>본부통신실!F62</f>
        <v>급전</v>
      </c>
      <c r="G156" s="160" t="str">
        <f>본부통신실!G62</f>
        <v/>
      </c>
      <c r="H156" s="160" t="str">
        <f>본부통신실!H62</f>
        <v>안인개폐소(의왕KPX)</v>
      </c>
      <c r="I156" s="622"/>
      <c r="J156" s="154" t="str">
        <f>본부통신실!J62</f>
        <v>의왕KPX-(CMS:10)-강원본부-16(CMUX)-춘천-(CMUX#2:14)-강릉P/O</v>
      </c>
      <c r="K156" s="102"/>
      <c r="L156" s="51"/>
      <c r="N156" s="16" t="e">
        <f>+B153:N166C161:N1N164:N158</f>
        <v>#NAME?</v>
      </c>
    </row>
    <row r="157" spans="1:14" s="16" customFormat="1" ht="24" customHeight="1" x14ac:dyDescent="0.3">
      <c r="A157" s="41"/>
      <c r="B157" s="147"/>
      <c r="C157" s="154">
        <v>17</v>
      </c>
      <c r="D157" s="622"/>
      <c r="E157" s="444" t="str">
        <f>본부통신실!E63</f>
        <v/>
      </c>
      <c r="F157" s="160" t="str">
        <f>본부통신실!F63</f>
        <v>급전</v>
      </c>
      <c r="G157" s="160" t="str">
        <f>본부통신실!G63</f>
        <v/>
      </c>
      <c r="H157" s="160" t="str">
        <f>본부통신실!H63</f>
        <v>강릉T/P(의왕KPX)</v>
      </c>
      <c r="I157" s="622"/>
      <c r="J157" s="154" t="str">
        <f>본부통신실!J63</f>
        <v>의왕KPX-(CMS:11)-강원본부-17(CMUX)-춘천-(CMUX#2:16)-강릉P/O</v>
      </c>
      <c r="K157" s="102"/>
      <c r="L157" s="51"/>
    </row>
    <row r="158" spans="1:14" s="16" customFormat="1" ht="24" customHeight="1" x14ac:dyDescent="0.3">
      <c r="A158" s="41"/>
      <c r="B158" s="147"/>
      <c r="C158" s="291">
        <v>18</v>
      </c>
      <c r="D158" s="674"/>
      <c r="E158" s="445"/>
      <c r="F158" s="165"/>
      <c r="G158" s="165" t="str">
        <f>본부통신실!G64</f>
        <v/>
      </c>
      <c r="H158" s="165"/>
      <c r="I158" s="674"/>
      <c r="J158" s="158"/>
      <c r="K158" s="102"/>
      <c r="L158" s="51"/>
    </row>
    <row r="159" spans="1:14" s="16" customFormat="1" ht="24" customHeight="1" x14ac:dyDescent="0.3">
      <c r="A159" s="41"/>
      <c r="B159" s="147"/>
      <c r="C159" s="152">
        <v>19</v>
      </c>
      <c r="D159" s="622" t="s">
        <v>17</v>
      </c>
      <c r="E159" s="446" t="str">
        <f>본부통신실!E65</f>
        <v/>
      </c>
      <c r="F159" s="167" t="str">
        <f>본부통신실!F65</f>
        <v>급전</v>
      </c>
      <c r="G159" s="167" t="str">
        <f>본부통신실!G65</f>
        <v/>
      </c>
      <c r="H159" s="167" t="str">
        <f>본부통신실!H65</f>
        <v>급전소-청평양수</v>
      </c>
      <c r="I159" s="629" t="s">
        <v>103</v>
      </c>
      <c r="J159" s="152" t="str">
        <f>본부통신실!J65</f>
        <v>본부-19(CMUX)-춘천-17(통합단말)13-서홍천-1(P32T)-청평PP</v>
      </c>
      <c r="K159" s="102"/>
      <c r="L159" s="51"/>
    </row>
    <row r="160" spans="1:14" s="16" customFormat="1" ht="24" customHeight="1" x14ac:dyDescent="0.3">
      <c r="A160" s="41"/>
      <c r="B160" s="147"/>
      <c r="C160" s="154">
        <v>20</v>
      </c>
      <c r="D160" s="622"/>
      <c r="E160" s="444" t="str">
        <f>본부통신실!E66</f>
        <v/>
      </c>
      <c r="F160" s="160" t="str">
        <f>본부통신실!F66</f>
        <v>급전</v>
      </c>
      <c r="G160" s="160" t="str">
        <f>본부통신실!G66</f>
        <v/>
      </c>
      <c r="H160" s="160" t="str">
        <f>본부통신실!H66</f>
        <v>급전소-한강RCC</v>
      </c>
      <c r="I160" s="629"/>
      <c r="J160" s="154" t="str">
        <f>본부통신실!J66</f>
        <v>본부-20(C-MUX)-춘천-18(통합단말)11-북춘천-16(P32T)-춘천HP</v>
      </c>
      <c r="K160" s="102"/>
      <c r="L160" s="51"/>
    </row>
    <row r="161" spans="1:12" s="16" customFormat="1" ht="24" customHeight="1" x14ac:dyDescent="0.3">
      <c r="A161" s="41"/>
      <c r="B161" s="147"/>
      <c r="C161" s="154">
        <v>21</v>
      </c>
      <c r="D161" s="622"/>
      <c r="E161" s="444" t="str">
        <f>본부통신실!E67</f>
        <v/>
      </c>
      <c r="F161" s="201"/>
      <c r="G161" s="201"/>
      <c r="H161" s="201"/>
      <c r="I161" s="629"/>
      <c r="J161" s="203"/>
      <c r="K161" s="101"/>
      <c r="L161" s="51"/>
    </row>
    <row r="162" spans="1:12" s="16" customFormat="1" ht="24" customHeight="1" x14ac:dyDescent="0.3">
      <c r="A162" s="41"/>
      <c r="B162" s="147"/>
      <c r="C162" s="154">
        <v>22</v>
      </c>
      <c r="D162" s="622"/>
      <c r="E162" s="444" t="str">
        <f>본부통신실!E68</f>
        <v/>
      </c>
      <c r="F162" s="201"/>
      <c r="G162" s="201"/>
      <c r="H162" s="201"/>
      <c r="I162" s="629"/>
      <c r="J162" s="203"/>
      <c r="K162" s="102"/>
      <c r="L162" s="51"/>
    </row>
    <row r="163" spans="1:12" s="16" customFormat="1" ht="24" customHeight="1" x14ac:dyDescent="0.3">
      <c r="A163" s="41"/>
      <c r="B163" s="147"/>
      <c r="C163" s="154">
        <v>23</v>
      </c>
      <c r="D163" s="622"/>
      <c r="E163" s="444" t="str">
        <f>본부통신실!E69</f>
        <v/>
      </c>
      <c r="F163" s="160" t="str">
        <f>본부통신실!F69</f>
        <v/>
      </c>
      <c r="G163" s="160" t="str">
        <f>본부통신실!G69</f>
        <v/>
      </c>
      <c r="H163" s="160" t="str">
        <f>본부통신실!H69</f>
        <v/>
      </c>
      <c r="I163" s="629"/>
      <c r="J163" s="154" t="str">
        <f>본부통신실!J69</f>
        <v/>
      </c>
      <c r="K163" s="102"/>
      <c r="L163" s="51"/>
    </row>
    <row r="164" spans="1:12" s="16" customFormat="1" ht="24" customHeight="1" x14ac:dyDescent="0.3">
      <c r="A164" s="41"/>
      <c r="B164" s="147"/>
      <c r="C164" s="162">
        <v>24</v>
      </c>
      <c r="D164" s="622"/>
      <c r="E164" s="447" t="str">
        <f>본부통신실!E70</f>
        <v/>
      </c>
      <c r="F164" s="163" t="str">
        <f>본부통신실!F70</f>
        <v/>
      </c>
      <c r="G164" s="163" t="str">
        <f>본부통신실!G70</f>
        <v/>
      </c>
      <c r="H164" s="163" t="str">
        <f>본부통신실!H70</f>
        <v/>
      </c>
      <c r="I164" s="629"/>
      <c r="J164" s="162" t="str">
        <f>본부통신실!J70</f>
        <v/>
      </c>
      <c r="K164" s="102"/>
      <c r="L164" s="53"/>
    </row>
    <row r="165" spans="1:12" s="16" customFormat="1" ht="24" customHeight="1" x14ac:dyDescent="0.3">
      <c r="A165" s="41"/>
      <c r="B165" s="147"/>
      <c r="C165" s="172">
        <v>25</v>
      </c>
      <c r="D165" s="673" t="s">
        <v>17</v>
      </c>
      <c r="E165" s="173"/>
      <c r="F165" s="173"/>
      <c r="G165" s="173"/>
      <c r="H165" s="173"/>
      <c r="I165" s="673" t="s">
        <v>17</v>
      </c>
      <c r="J165" s="172"/>
      <c r="K165" s="102"/>
      <c r="L165" s="51"/>
    </row>
    <row r="166" spans="1:12" s="16" customFormat="1" ht="24" customHeight="1" x14ac:dyDescent="0.3">
      <c r="A166" s="41"/>
      <c r="B166" s="147"/>
      <c r="C166" s="154">
        <v>26</v>
      </c>
      <c r="D166" s="622"/>
      <c r="E166" s="160"/>
      <c r="F166" s="160"/>
      <c r="G166" s="160"/>
      <c r="H166" s="160"/>
      <c r="I166" s="622"/>
      <c r="J166" s="154"/>
      <c r="K166" s="102"/>
      <c r="L166" s="51"/>
    </row>
    <row r="167" spans="1:12" s="16" customFormat="1" ht="24" customHeight="1" x14ac:dyDescent="0.3">
      <c r="A167" s="41"/>
      <c r="B167" s="147"/>
      <c r="C167" s="154">
        <v>27</v>
      </c>
      <c r="D167" s="622"/>
      <c r="E167" s="160"/>
      <c r="F167" s="160"/>
      <c r="G167" s="160"/>
      <c r="H167" s="160"/>
      <c r="I167" s="622"/>
      <c r="J167" s="154"/>
      <c r="K167" s="102"/>
      <c r="L167" s="51"/>
    </row>
    <row r="168" spans="1:12" s="16" customFormat="1" ht="24" customHeight="1" x14ac:dyDescent="0.3">
      <c r="A168" s="41"/>
      <c r="B168" s="147"/>
      <c r="C168" s="154">
        <v>28</v>
      </c>
      <c r="D168" s="622"/>
      <c r="E168" s="444"/>
      <c r="F168" s="160"/>
      <c r="G168" s="160"/>
      <c r="H168" s="160"/>
      <c r="I168" s="622"/>
      <c r="J168" s="154"/>
      <c r="K168" s="102"/>
      <c r="L168" s="51"/>
    </row>
    <row r="169" spans="1:12" s="16" customFormat="1" ht="24" customHeight="1" x14ac:dyDescent="0.3">
      <c r="A169" s="41"/>
      <c r="B169" s="147"/>
      <c r="C169" s="154">
        <v>29</v>
      </c>
      <c r="D169" s="622"/>
      <c r="E169" s="444" t="str">
        <f>본부통신실!E75</f>
        <v/>
      </c>
      <c r="F169" s="160" t="str">
        <f>본부통신실!F75</f>
        <v>급전</v>
      </c>
      <c r="G169" s="160">
        <f>본부통신실!G75</f>
        <v>0</v>
      </c>
      <c r="H169" s="160" t="str">
        <f>본부통신실!H75</f>
        <v>안인개폐소(나주KPX)</v>
      </c>
      <c r="I169" s="622"/>
      <c r="J169" s="154" t="str">
        <f>본부통신실!J75</f>
        <v>나주KPX-(CMS:19)-강원D/D-(CMUX:29)-춘천변전소-(CMUX#2:13)-강릉P/O</v>
      </c>
      <c r="K169" s="102"/>
      <c r="L169" s="51"/>
    </row>
    <row r="170" spans="1:12" s="16" customFormat="1" ht="24" customHeight="1" x14ac:dyDescent="0.3">
      <c r="A170" s="41"/>
      <c r="B170" s="147"/>
      <c r="C170" s="158">
        <v>30</v>
      </c>
      <c r="D170" s="674"/>
      <c r="E170" s="165" t="str">
        <f>본부통신실!E76</f>
        <v/>
      </c>
      <c r="F170" s="165" t="str">
        <f>본부통신실!F76</f>
        <v/>
      </c>
      <c r="G170" s="165" t="str">
        <f>본부통신실!G76</f>
        <v/>
      </c>
      <c r="H170" s="165" t="str">
        <f>본부통신실!H76</f>
        <v>사용불가</v>
      </c>
      <c r="I170" s="674"/>
      <c r="J170" s="158" t="str">
        <f>본부통신실!J76</f>
        <v>사용불가</v>
      </c>
      <c r="K170" s="102"/>
      <c r="L170" s="51"/>
    </row>
    <row r="171" spans="1:12" s="16" customFormat="1" ht="24" customHeight="1" x14ac:dyDescent="0.3">
      <c r="A171" s="41"/>
      <c r="B171" s="147"/>
      <c r="C171" s="152">
        <v>31</v>
      </c>
      <c r="D171" s="622" t="s">
        <v>17</v>
      </c>
      <c r="E171" s="446" t="str">
        <f>본부통신실!E77</f>
        <v/>
      </c>
      <c r="F171" s="232"/>
      <c r="G171" s="232" t="str">
        <f>본부통신실!G77</f>
        <v/>
      </c>
      <c r="H171" s="232"/>
      <c r="I171" s="629" t="s">
        <v>103</v>
      </c>
      <c r="J171" s="234"/>
      <c r="K171" s="102" t="s">
        <v>789</v>
      </c>
      <c r="L171" s="53" t="s">
        <v>790</v>
      </c>
    </row>
    <row r="172" spans="1:12" s="16" customFormat="1" ht="24" customHeight="1" x14ac:dyDescent="0.3">
      <c r="A172" s="41"/>
      <c r="B172" s="147"/>
      <c r="C172" s="154">
        <v>32</v>
      </c>
      <c r="D172" s="622"/>
      <c r="E172" s="444" t="str">
        <f>본부통신실!E78</f>
        <v/>
      </c>
      <c r="F172" s="201"/>
      <c r="G172" s="201" t="str">
        <f>본부통신실!G78</f>
        <v/>
      </c>
      <c r="H172" s="201"/>
      <c r="I172" s="629"/>
      <c r="J172" s="203"/>
      <c r="K172" s="102" t="s">
        <v>789</v>
      </c>
      <c r="L172" s="53" t="s">
        <v>791</v>
      </c>
    </row>
    <row r="173" spans="1:12" s="16" customFormat="1" ht="24" customHeight="1" x14ac:dyDescent="0.3">
      <c r="A173" s="41"/>
      <c r="B173" s="147"/>
      <c r="C173" s="154">
        <v>33</v>
      </c>
      <c r="D173" s="622"/>
      <c r="E173" s="444" t="str">
        <f>본부통신실!E79</f>
        <v/>
      </c>
      <c r="F173" s="160">
        <f>본부통신실!F79</f>
        <v>0</v>
      </c>
      <c r="G173" s="160" t="str">
        <f>본부통신실!G79</f>
        <v/>
      </c>
      <c r="H173" s="160">
        <f>본부통신실!H79</f>
        <v>0</v>
      </c>
      <c r="I173" s="629"/>
      <c r="J173" s="154">
        <f>본부통신실!J79</f>
        <v>0</v>
      </c>
      <c r="K173" s="102"/>
      <c r="L173" s="53"/>
    </row>
    <row r="174" spans="1:12" s="16" customFormat="1" ht="24" customHeight="1" x14ac:dyDescent="0.3">
      <c r="A174" s="41"/>
      <c r="B174" s="147"/>
      <c r="C174" s="154">
        <v>34</v>
      </c>
      <c r="D174" s="622"/>
      <c r="E174" s="444" t="str">
        <f>본부통신실!E80</f>
        <v/>
      </c>
      <c r="F174" s="160" t="str">
        <f>본부통신실!F80</f>
        <v/>
      </c>
      <c r="G174" s="160" t="str">
        <f>본부통신실!G80</f>
        <v/>
      </c>
      <c r="H174" s="160" t="str">
        <f>본부통신실!H80</f>
        <v/>
      </c>
      <c r="I174" s="629"/>
      <c r="J174" s="154" t="str">
        <f>본부통신실!J80</f>
        <v/>
      </c>
      <c r="K174" s="102"/>
      <c r="L174" s="51"/>
    </row>
    <row r="175" spans="1:12" s="16" customFormat="1" ht="24" customHeight="1" x14ac:dyDescent="0.3">
      <c r="A175" s="41"/>
      <c r="B175" s="147"/>
      <c r="C175" s="154">
        <v>35</v>
      </c>
      <c r="D175" s="622"/>
      <c r="E175" s="444" t="str">
        <f>본부통신실!E81</f>
        <v/>
      </c>
      <c r="F175" s="201"/>
      <c r="G175" s="201" t="str">
        <f>본부통신실!G81</f>
        <v/>
      </c>
      <c r="H175" s="201"/>
      <c r="I175" s="629"/>
      <c r="J175" s="203"/>
      <c r="K175" s="102" t="s">
        <v>792</v>
      </c>
      <c r="L175" s="18"/>
    </row>
    <row r="176" spans="1:12" s="16" customFormat="1" ht="24" customHeight="1" x14ac:dyDescent="0.3">
      <c r="A176" s="41"/>
      <c r="B176" s="147"/>
      <c r="C176" s="162">
        <v>36</v>
      </c>
      <c r="D176" s="622"/>
      <c r="E176" s="447" t="str">
        <f>본부통신실!E82</f>
        <v/>
      </c>
      <c r="F176" s="479"/>
      <c r="G176" s="479" t="str">
        <f>본부통신실!G82</f>
        <v/>
      </c>
      <c r="H176" s="479"/>
      <c r="I176" s="629"/>
      <c r="J176" s="485"/>
      <c r="K176" s="102" t="s">
        <v>792</v>
      </c>
      <c r="L176" s="18"/>
    </row>
    <row r="177" spans="1:12" s="16" customFormat="1" ht="24" customHeight="1" x14ac:dyDescent="0.3">
      <c r="A177" s="41"/>
      <c r="B177" s="147"/>
      <c r="C177" s="172">
        <v>37</v>
      </c>
      <c r="D177" s="673" t="s">
        <v>17</v>
      </c>
      <c r="E177" s="443" t="str">
        <f>본부통신실!E83</f>
        <v/>
      </c>
      <c r="F177" s="173" t="str">
        <f>본부통신실!F83</f>
        <v>급전</v>
      </c>
      <c r="G177" s="173" t="str">
        <f>본부통신실!G83</f>
        <v/>
      </c>
      <c r="H177" s="173" t="str">
        <f>본부통신실!H83</f>
        <v>거래소(나주)-급전소</v>
      </c>
      <c r="I177" s="678" t="s">
        <v>103</v>
      </c>
      <c r="J177" s="172" t="str">
        <f>본부통신실!J83</f>
        <v>나주KPX-CH5-강원본부-37(C-MUX)-춘천변전소</v>
      </c>
      <c r="K177" s="102"/>
      <c r="L177" s="51"/>
    </row>
    <row r="178" spans="1:12" s="16" customFormat="1" ht="24" customHeight="1" x14ac:dyDescent="0.3">
      <c r="A178" s="41"/>
      <c r="B178" s="147"/>
      <c r="C178" s="154">
        <v>38</v>
      </c>
      <c r="D178" s="622"/>
      <c r="E178" s="160" t="str">
        <f>본부통신실!E84</f>
        <v/>
      </c>
      <c r="F178" s="160" t="str">
        <f>본부통신실!F84</f>
        <v>급전</v>
      </c>
      <c r="G178" s="160" t="str">
        <f>본부통신실!G84</f>
        <v/>
      </c>
      <c r="H178" s="160" t="str">
        <f>본부통신실!H84</f>
        <v>거래소(나주)-춘천</v>
      </c>
      <c r="I178" s="629"/>
      <c r="J178" s="154" t="str">
        <f>본부통신실!J84</f>
        <v>나주KPX-CH6-강원본부-38(C-MUX)-춘천변전소</v>
      </c>
      <c r="K178" s="101"/>
      <c r="L178" s="51"/>
    </row>
    <row r="179" spans="1:12" s="16" customFormat="1" ht="24" customHeight="1" x14ac:dyDescent="0.3">
      <c r="A179" s="41"/>
      <c r="B179" s="147"/>
      <c r="C179" s="154">
        <v>39</v>
      </c>
      <c r="D179" s="622"/>
      <c r="E179" s="160" t="str">
        <f>본부통신실!E85</f>
        <v/>
      </c>
      <c r="F179" s="160" t="str">
        <f>본부통신실!F85</f>
        <v/>
      </c>
      <c r="G179" s="160" t="str">
        <f>본부통신실!G85</f>
        <v/>
      </c>
      <c r="H179" s="160" t="str">
        <f>본부통신실!H85</f>
        <v/>
      </c>
      <c r="I179" s="629"/>
      <c r="J179" s="154" t="str">
        <f>본부통신실!J85</f>
        <v/>
      </c>
      <c r="K179" s="101"/>
      <c r="L179" s="51"/>
    </row>
    <row r="180" spans="1:12" s="16" customFormat="1" ht="24" customHeight="1" x14ac:dyDescent="0.3">
      <c r="A180" s="41"/>
      <c r="B180" s="147"/>
      <c r="C180" s="154">
        <v>40</v>
      </c>
      <c r="D180" s="622"/>
      <c r="E180" s="160" t="str">
        <f>본부통신실!E86</f>
        <v/>
      </c>
      <c r="F180" s="160" t="str">
        <f>본부통신실!F86</f>
        <v/>
      </c>
      <c r="G180" s="160" t="str">
        <f>본부통신실!G86</f>
        <v/>
      </c>
      <c r="H180" s="160" t="str">
        <f>본부통신실!H86</f>
        <v/>
      </c>
      <c r="I180" s="629"/>
      <c r="J180" s="154" t="str">
        <f>본부통신실!J86</f>
        <v/>
      </c>
      <c r="K180" s="102"/>
      <c r="L180" s="51"/>
    </row>
    <row r="181" spans="1:12" s="16" customFormat="1" ht="24" customHeight="1" x14ac:dyDescent="0.3">
      <c r="A181" s="41"/>
      <c r="B181" s="147"/>
      <c r="C181" s="154">
        <v>41</v>
      </c>
      <c r="D181" s="622"/>
      <c r="E181" s="160" t="str">
        <f>본부통신실!E87</f>
        <v/>
      </c>
      <c r="F181" s="160" t="str">
        <f>본부통신실!F87</f>
        <v/>
      </c>
      <c r="G181" s="160" t="str">
        <f>본부통신실!G87</f>
        <v/>
      </c>
      <c r="H181" s="160" t="str">
        <f>본부통신실!H87</f>
        <v/>
      </c>
      <c r="I181" s="629"/>
      <c r="J181" s="154" t="str">
        <f>본부통신실!J87</f>
        <v/>
      </c>
      <c r="K181" s="102"/>
      <c r="L181" s="51"/>
    </row>
    <row r="182" spans="1:12" s="16" customFormat="1" ht="24" customHeight="1" x14ac:dyDescent="0.3">
      <c r="A182" s="41"/>
      <c r="B182" s="147"/>
      <c r="C182" s="158">
        <v>42</v>
      </c>
      <c r="D182" s="674"/>
      <c r="E182" s="444" t="str">
        <f>본부통신실!E88</f>
        <v/>
      </c>
      <c r="F182" s="160"/>
      <c r="G182" s="160" t="str">
        <f>본부통신실!G88</f>
        <v/>
      </c>
      <c r="H182" s="160"/>
      <c r="I182" s="679"/>
      <c r="J182" s="154"/>
      <c r="K182" s="102" t="s">
        <v>653</v>
      </c>
      <c r="L182" s="51"/>
    </row>
    <row r="183" spans="1:12" s="16" customFormat="1" ht="24" customHeight="1" x14ac:dyDescent="0.3">
      <c r="A183" s="41"/>
      <c r="B183" s="147"/>
      <c r="C183" s="152">
        <v>43</v>
      </c>
      <c r="D183" s="631" t="s">
        <v>575</v>
      </c>
      <c r="E183" s="167"/>
      <c r="F183" s="168"/>
      <c r="G183" s="167"/>
      <c r="H183" s="152"/>
      <c r="I183" s="631" t="s">
        <v>574</v>
      </c>
      <c r="J183" s="152"/>
      <c r="K183" s="102"/>
      <c r="L183" s="51"/>
    </row>
    <row r="184" spans="1:12" s="16" customFormat="1" ht="24" customHeight="1" x14ac:dyDescent="0.3">
      <c r="A184" s="41"/>
      <c r="B184" s="147"/>
      <c r="C184" s="154">
        <v>44</v>
      </c>
      <c r="D184" s="631"/>
      <c r="E184" s="160"/>
      <c r="F184" s="161"/>
      <c r="G184" s="160"/>
      <c r="H184" s="154"/>
      <c r="I184" s="631"/>
      <c r="J184" s="154"/>
      <c r="K184" s="102"/>
      <c r="L184" s="51"/>
    </row>
    <row r="185" spans="1:12" s="16" customFormat="1" ht="24" customHeight="1" x14ac:dyDescent="0.3">
      <c r="A185" s="41"/>
      <c r="B185" s="147"/>
      <c r="C185" s="154">
        <v>45</v>
      </c>
      <c r="D185" s="631"/>
      <c r="E185" s="160"/>
      <c r="F185" s="161"/>
      <c r="G185" s="160"/>
      <c r="H185" s="154"/>
      <c r="I185" s="631"/>
      <c r="J185" s="154"/>
      <c r="K185" s="102"/>
      <c r="L185" s="51"/>
    </row>
    <row r="186" spans="1:12" s="16" customFormat="1" ht="24" customHeight="1" x14ac:dyDescent="0.3">
      <c r="A186" s="41"/>
      <c r="B186" s="147"/>
      <c r="C186" s="154">
        <v>46</v>
      </c>
      <c r="D186" s="631"/>
      <c r="E186" s="160"/>
      <c r="F186" s="161"/>
      <c r="G186" s="160"/>
      <c r="H186" s="154"/>
      <c r="I186" s="631"/>
      <c r="J186" s="154"/>
      <c r="K186" s="102"/>
      <c r="L186" s="18"/>
    </row>
    <row r="187" spans="1:12" s="16" customFormat="1" ht="24" customHeight="1" x14ac:dyDescent="0.3">
      <c r="A187" s="41"/>
      <c r="B187" s="147"/>
      <c r="C187" s="154">
        <v>47</v>
      </c>
      <c r="D187" s="631"/>
      <c r="E187" s="160"/>
      <c r="F187" s="161"/>
      <c r="G187" s="160"/>
      <c r="H187" s="154"/>
      <c r="I187" s="631"/>
      <c r="J187" s="154"/>
      <c r="K187" s="102"/>
      <c r="L187" s="51"/>
    </row>
    <row r="188" spans="1:12" s="16" customFormat="1" ht="24" customHeight="1" x14ac:dyDescent="0.3">
      <c r="A188" s="41"/>
      <c r="B188" s="147"/>
      <c r="C188" s="162">
        <v>48</v>
      </c>
      <c r="D188" s="631"/>
      <c r="E188" s="163"/>
      <c r="F188" s="171"/>
      <c r="G188" s="163"/>
      <c r="H188" s="162"/>
      <c r="I188" s="631"/>
      <c r="J188" s="162"/>
      <c r="K188" s="102"/>
      <c r="L188" s="51"/>
    </row>
    <row r="189" spans="1:12" s="16" customFormat="1" ht="24" customHeight="1" x14ac:dyDescent="0.3">
      <c r="A189" s="41"/>
      <c r="B189" s="147"/>
      <c r="C189" s="172">
        <v>49</v>
      </c>
      <c r="D189" s="630" t="s">
        <v>574</v>
      </c>
      <c r="E189" s="173"/>
      <c r="F189" s="174"/>
      <c r="G189" s="173"/>
      <c r="H189" s="172"/>
      <c r="I189" s="630" t="s">
        <v>574</v>
      </c>
      <c r="J189" s="172"/>
      <c r="K189" s="102"/>
      <c r="L189" s="53"/>
    </row>
    <row r="190" spans="1:12" s="16" customFormat="1" ht="24" customHeight="1" x14ac:dyDescent="0.3">
      <c r="A190" s="41"/>
      <c r="B190" s="147"/>
      <c r="C190" s="154">
        <v>50</v>
      </c>
      <c r="D190" s="631"/>
      <c r="E190" s="160"/>
      <c r="F190" s="161"/>
      <c r="G190" s="160"/>
      <c r="H190" s="154"/>
      <c r="I190" s="631"/>
      <c r="J190" s="154"/>
      <c r="K190" s="102"/>
      <c r="L190" s="51"/>
    </row>
    <row r="191" spans="1:12" s="16" customFormat="1" ht="24" customHeight="1" x14ac:dyDescent="0.3">
      <c r="A191" s="41"/>
      <c r="B191" s="147"/>
      <c r="C191" s="154">
        <v>51</v>
      </c>
      <c r="D191" s="631"/>
      <c r="E191" s="160"/>
      <c r="F191" s="161"/>
      <c r="G191" s="160"/>
      <c r="H191" s="154"/>
      <c r="I191" s="631"/>
      <c r="J191" s="154"/>
      <c r="K191" s="102"/>
      <c r="L191" s="51"/>
    </row>
    <row r="192" spans="1:12" s="16" customFormat="1" ht="24" customHeight="1" x14ac:dyDescent="0.3">
      <c r="A192" s="41"/>
      <c r="B192" s="147"/>
      <c r="C192" s="154">
        <v>52</v>
      </c>
      <c r="D192" s="631"/>
      <c r="E192" s="160"/>
      <c r="F192" s="161"/>
      <c r="G192" s="160"/>
      <c r="H192" s="154"/>
      <c r="I192" s="631"/>
      <c r="J192" s="154"/>
      <c r="K192" s="102"/>
      <c r="L192" s="51"/>
    </row>
    <row r="193" spans="1:13" s="16" customFormat="1" ht="24" customHeight="1" x14ac:dyDescent="0.3">
      <c r="A193" s="41"/>
      <c r="B193" s="147"/>
      <c r="C193" s="154">
        <v>53</v>
      </c>
      <c r="D193" s="631"/>
      <c r="E193" s="160"/>
      <c r="F193" s="161"/>
      <c r="G193" s="160"/>
      <c r="H193" s="154"/>
      <c r="I193" s="631"/>
      <c r="J193" s="154"/>
      <c r="K193" s="102"/>
      <c r="L193" s="53"/>
      <c r="M193" s="6"/>
    </row>
    <row r="194" spans="1:13" s="16" customFormat="1" ht="24" customHeight="1" x14ac:dyDescent="0.3">
      <c r="A194" s="41"/>
      <c r="B194" s="147"/>
      <c r="C194" s="158">
        <v>54</v>
      </c>
      <c r="D194" s="680"/>
      <c r="E194" s="165"/>
      <c r="F194" s="166"/>
      <c r="G194" s="165"/>
      <c r="H194" s="158"/>
      <c r="I194" s="680"/>
      <c r="J194" s="158"/>
      <c r="K194" s="102"/>
      <c r="L194" s="51"/>
    </row>
    <row r="195" spans="1:13" s="16" customFormat="1" ht="24" customHeight="1" x14ac:dyDescent="0.3">
      <c r="A195" s="41"/>
      <c r="B195" s="147"/>
      <c r="C195" s="152">
        <v>55</v>
      </c>
      <c r="D195" s="631" t="s">
        <v>103</v>
      </c>
      <c r="E195" s="167"/>
      <c r="F195" s="168"/>
      <c r="G195" s="167"/>
      <c r="H195" s="152"/>
      <c r="I195" s="631" t="s">
        <v>574</v>
      </c>
      <c r="J195" s="152"/>
      <c r="K195" s="101"/>
      <c r="L195" s="51"/>
    </row>
    <row r="196" spans="1:13" s="16" customFormat="1" ht="24" customHeight="1" x14ac:dyDescent="0.3">
      <c r="A196" s="41"/>
      <c r="B196" s="147"/>
      <c r="C196" s="154">
        <v>56</v>
      </c>
      <c r="D196" s="631"/>
      <c r="E196" s="160"/>
      <c r="F196" s="161"/>
      <c r="G196" s="160"/>
      <c r="H196" s="154"/>
      <c r="I196" s="631"/>
      <c r="J196" s="154"/>
      <c r="K196" s="101"/>
      <c r="L196" s="51"/>
    </row>
    <row r="197" spans="1:13" s="16" customFormat="1" ht="24" customHeight="1" x14ac:dyDescent="0.3">
      <c r="A197" s="41"/>
      <c r="B197" s="147"/>
      <c r="C197" s="154">
        <v>57</v>
      </c>
      <c r="D197" s="631"/>
      <c r="E197" s="160"/>
      <c r="F197" s="161"/>
      <c r="G197" s="160"/>
      <c r="H197" s="154"/>
      <c r="I197" s="631"/>
      <c r="J197" s="154"/>
      <c r="K197" s="101"/>
      <c r="L197" s="51"/>
    </row>
    <row r="198" spans="1:13" s="16" customFormat="1" ht="24" customHeight="1" x14ac:dyDescent="0.3">
      <c r="A198" s="41"/>
      <c r="B198" s="147"/>
      <c r="C198" s="154">
        <v>58</v>
      </c>
      <c r="D198" s="631"/>
      <c r="E198" s="160"/>
      <c r="F198" s="161"/>
      <c r="G198" s="160"/>
      <c r="H198" s="154"/>
      <c r="I198" s="631"/>
      <c r="J198" s="154"/>
      <c r="K198" s="101"/>
      <c r="L198" s="51"/>
    </row>
    <row r="199" spans="1:13" s="16" customFormat="1" ht="24" customHeight="1" x14ac:dyDescent="0.3">
      <c r="A199" s="41"/>
      <c r="B199" s="147"/>
      <c r="C199" s="154">
        <v>59</v>
      </c>
      <c r="D199" s="631"/>
      <c r="E199" s="160"/>
      <c r="F199" s="161" t="s">
        <v>36</v>
      </c>
      <c r="G199" s="160"/>
      <c r="H199" s="154" t="s">
        <v>866</v>
      </c>
      <c r="I199" s="631"/>
      <c r="J199" s="154" t="s">
        <v>868</v>
      </c>
      <c r="K199" s="102" t="s">
        <v>867</v>
      </c>
      <c r="L199" s="51"/>
    </row>
    <row r="200" spans="1:13" s="16" customFormat="1" ht="24" customHeight="1" x14ac:dyDescent="0.3">
      <c r="A200" s="144"/>
      <c r="B200" s="151"/>
      <c r="C200" s="162">
        <v>60</v>
      </c>
      <c r="D200" s="631"/>
      <c r="E200" s="163"/>
      <c r="F200" s="171" t="s">
        <v>36</v>
      </c>
      <c r="G200" s="163"/>
      <c r="H200" s="162" t="s">
        <v>865</v>
      </c>
      <c r="I200" s="631"/>
      <c r="J200" s="154" t="s">
        <v>869</v>
      </c>
      <c r="K200" s="102" t="s">
        <v>867</v>
      </c>
      <c r="L200" s="51"/>
    </row>
    <row r="201" spans="1:13" s="16" customFormat="1" ht="24" customHeight="1" x14ac:dyDescent="0.3">
      <c r="A201" s="29" t="s">
        <v>212</v>
      </c>
      <c r="B201" s="146" t="s">
        <v>592</v>
      </c>
      <c r="C201" s="154">
        <v>1</v>
      </c>
      <c r="D201" s="622" t="s">
        <v>17</v>
      </c>
      <c r="E201" s="160"/>
      <c r="F201" s="157"/>
      <c r="G201" s="154"/>
      <c r="H201" s="154"/>
      <c r="I201" s="622" t="s">
        <v>17</v>
      </c>
      <c r="J201" s="154"/>
      <c r="K201" s="102" t="s">
        <v>83</v>
      </c>
      <c r="L201" s="51"/>
    </row>
    <row r="202" spans="1:13" s="16" customFormat="1" ht="24" customHeight="1" x14ac:dyDescent="0.3">
      <c r="A202" s="620" t="s">
        <v>84</v>
      </c>
      <c r="B202" s="621"/>
      <c r="C202" s="154">
        <v>2</v>
      </c>
      <c r="D202" s="622"/>
      <c r="E202" s="160"/>
      <c r="F202" s="157"/>
      <c r="G202" s="154"/>
      <c r="H202" s="154"/>
      <c r="I202" s="622"/>
      <c r="J202" s="154"/>
      <c r="K202" s="102"/>
      <c r="L202" s="51"/>
    </row>
    <row r="203" spans="1:13" s="16" customFormat="1" ht="24" customHeight="1" x14ac:dyDescent="0.3">
      <c r="A203" s="41"/>
      <c r="B203" s="147"/>
      <c r="C203" s="154">
        <v>3</v>
      </c>
      <c r="D203" s="622"/>
      <c r="E203" s="160"/>
      <c r="F203" s="161"/>
      <c r="G203" s="160"/>
      <c r="H203" s="154"/>
      <c r="I203" s="622"/>
      <c r="J203" s="154"/>
      <c r="K203" s="101"/>
      <c r="L203" s="51"/>
    </row>
    <row r="204" spans="1:13" s="16" customFormat="1" ht="24" customHeight="1" x14ac:dyDescent="0.3">
      <c r="A204" s="41"/>
      <c r="B204" s="147"/>
      <c r="C204" s="154">
        <v>4</v>
      </c>
      <c r="D204" s="622"/>
      <c r="E204" s="160"/>
      <c r="F204" s="161"/>
      <c r="G204" s="160"/>
      <c r="H204" s="154"/>
      <c r="I204" s="622"/>
      <c r="J204" s="154"/>
      <c r="K204" s="101"/>
      <c r="L204" s="51"/>
    </row>
    <row r="205" spans="1:13" s="16" customFormat="1" ht="24" customHeight="1" x14ac:dyDescent="0.3">
      <c r="A205" s="41"/>
      <c r="B205" s="147"/>
      <c r="C205" s="154">
        <v>5</v>
      </c>
      <c r="D205" s="622"/>
      <c r="E205" s="160"/>
      <c r="F205" s="161"/>
      <c r="G205" s="160"/>
      <c r="H205" s="154"/>
      <c r="I205" s="622"/>
      <c r="J205" s="154"/>
      <c r="K205" s="102"/>
      <c r="L205" s="51"/>
    </row>
    <row r="206" spans="1:13" s="16" customFormat="1" ht="24" customHeight="1" x14ac:dyDescent="0.3">
      <c r="A206" s="41"/>
      <c r="B206" s="147"/>
      <c r="C206" s="158">
        <v>6</v>
      </c>
      <c r="D206" s="674"/>
      <c r="E206" s="165"/>
      <c r="F206" s="166"/>
      <c r="G206" s="165"/>
      <c r="H206" s="158"/>
      <c r="I206" s="674"/>
      <c r="J206" s="158"/>
      <c r="K206" s="102"/>
      <c r="L206" s="51"/>
    </row>
    <row r="207" spans="1:13" s="16" customFormat="1" ht="24" customHeight="1" x14ac:dyDescent="0.3">
      <c r="A207" s="41"/>
      <c r="B207" s="147"/>
      <c r="C207" s="152">
        <v>7</v>
      </c>
      <c r="D207" s="622" t="s">
        <v>17</v>
      </c>
      <c r="E207" s="167"/>
      <c r="F207" s="168"/>
      <c r="G207" s="167"/>
      <c r="H207" s="152"/>
      <c r="I207" s="622" t="s">
        <v>17</v>
      </c>
      <c r="J207" s="152"/>
      <c r="K207" s="102"/>
      <c r="L207" s="51"/>
    </row>
    <row r="208" spans="1:13" s="16" customFormat="1" ht="24" customHeight="1" x14ac:dyDescent="0.3">
      <c r="A208" s="41"/>
      <c r="B208" s="147"/>
      <c r="C208" s="154">
        <v>8</v>
      </c>
      <c r="D208" s="622"/>
      <c r="E208" s="160"/>
      <c r="F208" s="161"/>
      <c r="G208" s="160"/>
      <c r="H208" s="154"/>
      <c r="I208" s="622"/>
      <c r="J208" s="154"/>
      <c r="K208" s="101"/>
      <c r="L208" s="51"/>
    </row>
    <row r="209" spans="1:12" s="16" customFormat="1" ht="24" customHeight="1" x14ac:dyDescent="0.3">
      <c r="A209" s="41"/>
      <c r="B209" s="147"/>
      <c r="C209" s="154">
        <v>9</v>
      </c>
      <c r="D209" s="622"/>
      <c r="E209" s="160"/>
      <c r="F209" s="161"/>
      <c r="G209" s="154"/>
      <c r="H209" s="154"/>
      <c r="I209" s="622"/>
      <c r="J209" s="154"/>
      <c r="K209" s="101"/>
      <c r="L209" s="51"/>
    </row>
    <row r="210" spans="1:12" s="16" customFormat="1" ht="24" customHeight="1" x14ac:dyDescent="0.3">
      <c r="A210" s="41"/>
      <c r="B210" s="147"/>
      <c r="C210" s="154">
        <v>10</v>
      </c>
      <c r="D210" s="622"/>
      <c r="E210" s="160"/>
      <c r="F210" s="161"/>
      <c r="G210" s="154"/>
      <c r="H210" s="154"/>
      <c r="I210" s="622"/>
      <c r="J210" s="154"/>
      <c r="K210" s="102"/>
      <c r="L210" s="51"/>
    </row>
    <row r="211" spans="1:12" s="16" customFormat="1" ht="24" customHeight="1" x14ac:dyDescent="0.3">
      <c r="A211" s="41"/>
      <c r="B211" s="147"/>
      <c r="C211" s="154">
        <v>11</v>
      </c>
      <c r="D211" s="622"/>
      <c r="E211" s="160"/>
      <c r="F211" s="161"/>
      <c r="G211" s="160"/>
      <c r="H211" s="154"/>
      <c r="I211" s="622"/>
      <c r="J211" s="154"/>
      <c r="K211" s="102"/>
      <c r="L211" s="51"/>
    </row>
    <row r="212" spans="1:12" s="16" customFormat="1" ht="24" customHeight="1" x14ac:dyDescent="0.3">
      <c r="A212" s="41"/>
      <c r="B212" s="147"/>
      <c r="C212" s="162">
        <v>12</v>
      </c>
      <c r="D212" s="622"/>
      <c r="E212" s="163"/>
      <c r="F212" s="171"/>
      <c r="G212" s="163"/>
      <c r="H212" s="162"/>
      <c r="I212" s="622"/>
      <c r="J212" s="162"/>
      <c r="K212" s="102"/>
      <c r="L212" s="51"/>
    </row>
    <row r="213" spans="1:12" s="16" customFormat="1" ht="24" customHeight="1" x14ac:dyDescent="0.3">
      <c r="A213" s="41"/>
      <c r="B213" s="147"/>
      <c r="C213" s="172">
        <v>13</v>
      </c>
      <c r="D213" s="673" t="s">
        <v>17</v>
      </c>
      <c r="E213" s="173"/>
      <c r="F213" s="174"/>
      <c r="G213" s="173"/>
      <c r="H213" s="172"/>
      <c r="I213" s="673" t="s">
        <v>17</v>
      </c>
      <c r="J213" s="172"/>
      <c r="K213" s="102"/>
      <c r="L213" s="51"/>
    </row>
    <row r="214" spans="1:12" s="16" customFormat="1" ht="24" customHeight="1" x14ac:dyDescent="0.3">
      <c r="A214" s="41"/>
      <c r="B214" s="147"/>
      <c r="C214" s="154">
        <v>14</v>
      </c>
      <c r="D214" s="622"/>
      <c r="E214" s="160"/>
      <c r="F214" s="161"/>
      <c r="G214" s="160"/>
      <c r="H214" s="154"/>
      <c r="I214" s="622"/>
      <c r="J214" s="154"/>
      <c r="K214" s="102"/>
      <c r="L214" s="51"/>
    </row>
    <row r="215" spans="1:12" s="16" customFormat="1" ht="24" customHeight="1" x14ac:dyDescent="0.3">
      <c r="A215" s="41"/>
      <c r="B215" s="147"/>
      <c r="C215" s="154">
        <v>15</v>
      </c>
      <c r="D215" s="622"/>
      <c r="E215" s="160"/>
      <c r="F215" s="161"/>
      <c r="G215" s="160"/>
      <c r="H215" s="154"/>
      <c r="I215" s="622"/>
      <c r="J215" s="154"/>
      <c r="K215" s="102"/>
      <c r="L215" s="51"/>
    </row>
    <row r="216" spans="1:12" s="16" customFormat="1" ht="24" customHeight="1" x14ac:dyDescent="0.3">
      <c r="A216" s="41"/>
      <c r="B216" s="147"/>
      <c r="C216" s="154">
        <v>16</v>
      </c>
      <c r="D216" s="622"/>
      <c r="E216" s="160"/>
      <c r="F216" s="161"/>
      <c r="G216" s="160"/>
      <c r="H216" s="154"/>
      <c r="I216" s="622"/>
      <c r="J216" s="154"/>
      <c r="K216" s="102"/>
      <c r="L216" s="51"/>
    </row>
    <row r="217" spans="1:12" s="16" customFormat="1" ht="24" customHeight="1" x14ac:dyDescent="0.3">
      <c r="A217" s="41"/>
      <c r="B217" s="147"/>
      <c r="C217" s="154">
        <v>17</v>
      </c>
      <c r="D217" s="622"/>
      <c r="E217" s="160"/>
      <c r="F217" s="161"/>
      <c r="G217" s="160"/>
      <c r="H217" s="154"/>
      <c r="I217" s="622"/>
      <c r="J217" s="154"/>
      <c r="K217" s="102"/>
      <c r="L217" s="51"/>
    </row>
    <row r="218" spans="1:12" s="16" customFormat="1" ht="24" customHeight="1" x14ac:dyDescent="0.3">
      <c r="A218" s="41"/>
      <c r="B218" s="147"/>
      <c r="C218" s="291">
        <v>18</v>
      </c>
      <c r="D218" s="674"/>
      <c r="E218" s="349"/>
      <c r="F218" s="350"/>
      <c r="G218" s="349"/>
      <c r="H218" s="291"/>
      <c r="I218" s="674"/>
      <c r="J218" s="291"/>
      <c r="K218" s="102"/>
      <c r="L218" s="51"/>
    </row>
    <row r="219" spans="1:12" s="16" customFormat="1" ht="24" customHeight="1" x14ac:dyDescent="0.3">
      <c r="A219" s="41"/>
      <c r="B219" s="147"/>
      <c r="C219" s="152">
        <v>19</v>
      </c>
      <c r="D219" s="622" t="s">
        <v>17</v>
      </c>
      <c r="E219" s="167"/>
      <c r="F219" s="168"/>
      <c r="G219" s="167"/>
      <c r="H219" s="153"/>
      <c r="I219" s="673" t="s">
        <v>17</v>
      </c>
      <c r="J219" s="152"/>
      <c r="K219" s="102"/>
      <c r="L219" s="51"/>
    </row>
    <row r="220" spans="1:12" s="16" customFormat="1" ht="24" customHeight="1" x14ac:dyDescent="0.3">
      <c r="A220" s="41"/>
      <c r="B220" s="147"/>
      <c r="C220" s="154">
        <v>20</v>
      </c>
      <c r="D220" s="622"/>
      <c r="E220" s="160"/>
      <c r="F220" s="161"/>
      <c r="G220" s="160"/>
      <c r="H220" s="157"/>
      <c r="I220" s="622"/>
      <c r="J220" s="154"/>
      <c r="K220" s="102" t="s">
        <v>85</v>
      </c>
    </row>
    <row r="221" spans="1:12" s="16" customFormat="1" ht="24" customHeight="1" x14ac:dyDescent="0.3">
      <c r="A221" s="41"/>
      <c r="B221" s="147"/>
      <c r="C221" s="154">
        <v>21</v>
      </c>
      <c r="D221" s="622"/>
      <c r="E221" s="160"/>
      <c r="F221" s="161"/>
      <c r="G221" s="160"/>
      <c r="H221" s="154"/>
      <c r="I221" s="622"/>
      <c r="J221" s="154"/>
      <c r="K221" s="18" t="s">
        <v>593</v>
      </c>
      <c r="L221" s="51"/>
    </row>
    <row r="222" spans="1:12" s="16" customFormat="1" ht="24" customHeight="1" x14ac:dyDescent="0.3">
      <c r="A222" s="41"/>
      <c r="B222" s="147"/>
      <c r="C222" s="154">
        <v>22</v>
      </c>
      <c r="D222" s="622"/>
      <c r="E222" s="160"/>
      <c r="F222" s="161"/>
      <c r="G222" s="160"/>
      <c r="H222" s="154"/>
      <c r="I222" s="622"/>
      <c r="J222" s="154"/>
      <c r="K222" s="102"/>
      <c r="L222" s="51"/>
    </row>
    <row r="223" spans="1:12" s="16" customFormat="1" ht="24" customHeight="1" x14ac:dyDescent="0.3">
      <c r="A223" s="41"/>
      <c r="B223" s="147"/>
      <c r="C223" s="154">
        <v>23</v>
      </c>
      <c r="D223" s="622"/>
      <c r="E223" s="160"/>
      <c r="F223" s="161"/>
      <c r="G223" s="160"/>
      <c r="H223" s="154"/>
      <c r="I223" s="622"/>
      <c r="J223" s="154"/>
      <c r="K223" s="102"/>
      <c r="L223" s="51"/>
    </row>
    <row r="224" spans="1:12" s="16" customFormat="1" ht="24" customHeight="1" x14ac:dyDescent="0.3">
      <c r="A224" s="41"/>
      <c r="B224" s="147"/>
      <c r="C224" s="162">
        <v>24</v>
      </c>
      <c r="D224" s="622"/>
      <c r="E224" s="163"/>
      <c r="F224" s="171"/>
      <c r="G224" s="163"/>
      <c r="H224" s="162"/>
      <c r="I224" s="674"/>
      <c r="J224" s="162"/>
      <c r="K224" s="102"/>
      <c r="L224" s="53"/>
    </row>
    <row r="225" spans="1:12" s="16" customFormat="1" ht="24" customHeight="1" x14ac:dyDescent="0.3">
      <c r="A225" s="41"/>
      <c r="B225" s="147"/>
      <c r="C225" s="172">
        <v>25</v>
      </c>
      <c r="D225" s="673" t="s">
        <v>17</v>
      </c>
      <c r="E225" s="173"/>
      <c r="F225" s="174"/>
      <c r="G225" s="173"/>
      <c r="H225" s="172"/>
      <c r="I225" s="673" t="s">
        <v>17</v>
      </c>
      <c r="J225" s="172"/>
      <c r="K225" s="102"/>
      <c r="L225" s="51"/>
    </row>
    <row r="226" spans="1:12" s="16" customFormat="1" ht="24" customHeight="1" x14ac:dyDescent="0.3">
      <c r="A226" s="41"/>
      <c r="B226" s="147"/>
      <c r="C226" s="154">
        <v>26</v>
      </c>
      <c r="D226" s="622"/>
      <c r="E226" s="160"/>
      <c r="F226" s="161"/>
      <c r="G226" s="160"/>
      <c r="H226" s="154"/>
      <c r="I226" s="622"/>
      <c r="J226" s="154"/>
      <c r="K226" s="102"/>
      <c r="L226" s="51"/>
    </row>
    <row r="227" spans="1:12" s="16" customFormat="1" ht="24" customHeight="1" x14ac:dyDescent="0.3">
      <c r="A227" s="41"/>
      <c r="B227" s="147"/>
      <c r="C227" s="154">
        <v>27</v>
      </c>
      <c r="D227" s="622"/>
      <c r="E227" s="160"/>
      <c r="F227" s="161"/>
      <c r="G227" s="160"/>
      <c r="H227" s="154"/>
      <c r="I227" s="622"/>
      <c r="J227" s="154"/>
      <c r="K227" s="102"/>
      <c r="L227" s="51"/>
    </row>
    <row r="228" spans="1:12" s="16" customFormat="1" ht="24" customHeight="1" x14ac:dyDescent="0.3">
      <c r="A228" s="41"/>
      <c r="B228" s="147"/>
      <c r="C228" s="154">
        <v>28</v>
      </c>
      <c r="D228" s="622"/>
      <c r="E228" s="160"/>
      <c r="F228" s="161"/>
      <c r="G228" s="160"/>
      <c r="H228" s="154"/>
      <c r="I228" s="622"/>
      <c r="J228" s="154"/>
      <c r="K228" s="102"/>
      <c r="L228" s="51"/>
    </row>
    <row r="229" spans="1:12" s="16" customFormat="1" ht="24" customHeight="1" x14ac:dyDescent="0.3">
      <c r="A229" s="41"/>
      <c r="B229" s="147"/>
      <c r="C229" s="154">
        <v>29</v>
      </c>
      <c r="D229" s="622"/>
      <c r="E229" s="160"/>
      <c r="F229" s="161"/>
      <c r="G229" s="160"/>
      <c r="H229" s="154"/>
      <c r="I229" s="622"/>
      <c r="J229" s="154"/>
      <c r="K229" s="102"/>
      <c r="L229" s="51"/>
    </row>
    <row r="230" spans="1:12" s="16" customFormat="1" ht="24" customHeight="1" x14ac:dyDescent="0.3">
      <c r="A230" s="41"/>
      <c r="B230" s="147"/>
      <c r="C230" s="158">
        <v>30</v>
      </c>
      <c r="D230" s="674"/>
      <c r="E230" s="165"/>
      <c r="F230" s="166"/>
      <c r="G230" s="165"/>
      <c r="H230" s="158"/>
      <c r="I230" s="674"/>
      <c r="J230" s="158"/>
      <c r="K230" s="102"/>
      <c r="L230" s="51"/>
    </row>
    <row r="231" spans="1:12" s="16" customFormat="1" ht="24" customHeight="1" x14ac:dyDescent="0.3">
      <c r="A231" s="29" t="s">
        <v>212</v>
      </c>
      <c r="B231" s="146" t="s">
        <v>44</v>
      </c>
      <c r="C231" s="152">
        <v>1</v>
      </c>
      <c r="D231" s="668" t="s">
        <v>17</v>
      </c>
      <c r="E231" s="152"/>
      <c r="F231" s="153"/>
      <c r="G231" s="152"/>
      <c r="H231" s="152"/>
      <c r="I231" s="657"/>
      <c r="J231" s="190"/>
      <c r="K231" s="101"/>
      <c r="L231" s="51"/>
    </row>
    <row r="232" spans="1:12" s="16" customFormat="1" ht="24" customHeight="1" x14ac:dyDescent="0.3">
      <c r="A232" s="607" t="s">
        <v>12</v>
      </c>
      <c r="B232" s="608"/>
      <c r="C232" s="154">
        <v>2</v>
      </c>
      <c r="D232" s="669"/>
      <c r="E232" s="154"/>
      <c r="F232" s="157"/>
      <c r="G232" s="154"/>
      <c r="H232" s="154"/>
      <c r="I232" s="658"/>
      <c r="J232" s="190"/>
      <c r="K232" s="101"/>
      <c r="L232" s="51"/>
    </row>
    <row r="233" spans="1:12" s="16" customFormat="1" ht="24" customHeight="1" x14ac:dyDescent="0.3">
      <c r="A233" s="41"/>
      <c r="B233" s="147"/>
      <c r="C233" s="158">
        <v>3</v>
      </c>
      <c r="D233" s="672"/>
      <c r="E233" s="158"/>
      <c r="F233" s="159"/>
      <c r="G233" s="158"/>
      <c r="H233" s="158"/>
      <c r="I233" s="661"/>
      <c r="J233" s="191"/>
      <c r="K233" s="101"/>
      <c r="L233" s="51"/>
    </row>
    <row r="234" spans="1:12" s="16" customFormat="1" ht="24" customHeight="1" x14ac:dyDescent="0.3">
      <c r="A234" s="41"/>
      <c r="B234" s="147"/>
      <c r="C234" s="152">
        <v>4</v>
      </c>
      <c r="D234" s="657"/>
      <c r="E234" s="152"/>
      <c r="F234" s="153"/>
      <c r="G234" s="152"/>
      <c r="H234" s="152"/>
      <c r="I234" s="657"/>
      <c r="J234" s="192"/>
      <c r="K234" s="101"/>
      <c r="L234" s="51"/>
    </row>
    <row r="235" spans="1:12" s="16" customFormat="1" ht="24" customHeight="1" x14ac:dyDescent="0.3">
      <c r="A235" s="41"/>
      <c r="B235" s="147"/>
      <c r="C235" s="154">
        <v>5</v>
      </c>
      <c r="D235" s="658"/>
      <c r="E235" s="154"/>
      <c r="F235" s="157"/>
      <c r="G235" s="154"/>
      <c r="H235" s="154"/>
      <c r="I235" s="658"/>
      <c r="J235" s="190"/>
      <c r="K235" s="101"/>
      <c r="L235" s="51"/>
    </row>
    <row r="236" spans="1:12" s="16" customFormat="1" ht="24" customHeight="1" x14ac:dyDescent="0.3">
      <c r="A236" s="41"/>
      <c r="B236" s="147"/>
      <c r="C236" s="162">
        <v>6</v>
      </c>
      <c r="D236" s="659"/>
      <c r="E236" s="162"/>
      <c r="F236" s="164"/>
      <c r="G236" s="162"/>
      <c r="H236" s="162"/>
      <c r="I236" s="659"/>
      <c r="J236" s="193"/>
      <c r="K236" s="101"/>
      <c r="L236" s="51"/>
    </row>
    <row r="237" spans="1:12" s="16" customFormat="1" ht="24" customHeight="1" x14ac:dyDescent="0.3">
      <c r="A237" s="41"/>
      <c r="B237" s="147"/>
      <c r="C237" s="172">
        <v>7</v>
      </c>
      <c r="D237" s="675" t="s">
        <v>19</v>
      </c>
      <c r="E237" s="172"/>
      <c r="F237" s="180"/>
      <c r="G237" s="172"/>
      <c r="H237" s="172"/>
      <c r="I237" s="675" t="s">
        <v>102</v>
      </c>
      <c r="J237" s="195"/>
      <c r="K237" s="101"/>
      <c r="L237" s="51"/>
    </row>
    <row r="238" spans="1:12" s="16" customFormat="1" ht="24" customHeight="1" x14ac:dyDescent="0.3">
      <c r="A238" s="41"/>
      <c r="B238" s="147"/>
      <c r="C238" s="154">
        <v>8</v>
      </c>
      <c r="D238" s="666"/>
      <c r="E238" s="154"/>
      <c r="F238" s="157"/>
      <c r="G238" s="154"/>
      <c r="H238" s="154"/>
      <c r="I238" s="666"/>
      <c r="J238" s="190"/>
      <c r="K238" s="101"/>
      <c r="L238" s="51"/>
    </row>
    <row r="239" spans="1:12" s="16" customFormat="1" ht="24" customHeight="1" x14ac:dyDescent="0.3">
      <c r="A239" s="41"/>
      <c r="B239" s="147"/>
      <c r="C239" s="158">
        <v>9</v>
      </c>
      <c r="D239" s="676"/>
      <c r="E239" s="158"/>
      <c r="F239" s="159"/>
      <c r="G239" s="158"/>
      <c r="H239" s="158"/>
      <c r="I239" s="676"/>
      <c r="J239" s="191"/>
      <c r="K239" s="101"/>
      <c r="L239" s="51"/>
    </row>
    <row r="240" spans="1:12" s="16" customFormat="1" ht="24" customHeight="1" x14ac:dyDescent="0.3">
      <c r="A240" s="41"/>
      <c r="B240" s="147"/>
      <c r="C240" s="152">
        <v>10</v>
      </c>
      <c r="D240" s="657"/>
      <c r="E240" s="152"/>
      <c r="F240" s="153"/>
      <c r="G240" s="152"/>
      <c r="H240" s="152"/>
      <c r="I240" s="657"/>
      <c r="J240" s="192"/>
      <c r="K240" s="102"/>
      <c r="L240" s="51"/>
    </row>
    <row r="241" spans="1:12" s="16" customFormat="1" ht="24" customHeight="1" x14ac:dyDescent="0.3">
      <c r="A241" s="41"/>
      <c r="B241" s="147"/>
      <c r="C241" s="154">
        <v>11</v>
      </c>
      <c r="D241" s="658"/>
      <c r="E241" s="154"/>
      <c r="F241" s="157"/>
      <c r="G241" s="154"/>
      <c r="H241" s="154"/>
      <c r="I241" s="658"/>
      <c r="J241" s="190"/>
      <c r="K241" s="102"/>
      <c r="L241" s="51"/>
    </row>
    <row r="242" spans="1:12" s="16" customFormat="1" ht="24" customHeight="1" x14ac:dyDescent="0.3">
      <c r="A242" s="41"/>
      <c r="B242" s="147"/>
      <c r="C242" s="162">
        <v>12</v>
      </c>
      <c r="D242" s="659"/>
      <c r="E242" s="162"/>
      <c r="F242" s="164"/>
      <c r="G242" s="162"/>
      <c r="H242" s="162"/>
      <c r="I242" s="659"/>
      <c r="J242" s="193"/>
      <c r="K242" s="102"/>
      <c r="L242" s="51"/>
    </row>
    <row r="243" spans="1:12" s="16" customFormat="1" ht="24" customHeight="1" x14ac:dyDescent="0.3">
      <c r="A243" s="41"/>
      <c r="B243" s="147"/>
      <c r="C243" s="172">
        <v>13</v>
      </c>
      <c r="D243" s="660"/>
      <c r="E243" s="172"/>
      <c r="F243" s="180"/>
      <c r="G243" s="172"/>
      <c r="H243" s="172"/>
      <c r="I243" s="660"/>
      <c r="J243" s="195"/>
      <c r="K243" s="102"/>
      <c r="L243" s="51"/>
    </row>
    <row r="244" spans="1:12" s="16" customFormat="1" ht="24" customHeight="1" x14ac:dyDescent="0.3">
      <c r="A244" s="41"/>
      <c r="B244" s="147"/>
      <c r="C244" s="154">
        <v>14</v>
      </c>
      <c r="D244" s="658"/>
      <c r="E244" s="154"/>
      <c r="F244" s="157"/>
      <c r="G244" s="154"/>
      <c r="H244" s="154"/>
      <c r="I244" s="658"/>
      <c r="J244" s="190"/>
      <c r="K244" s="102"/>
      <c r="L244" s="51"/>
    </row>
    <row r="245" spans="1:12" s="16" customFormat="1" ht="24" customHeight="1" x14ac:dyDescent="0.3">
      <c r="A245" s="41"/>
      <c r="B245" s="147"/>
      <c r="C245" s="158">
        <v>15</v>
      </c>
      <c r="D245" s="661"/>
      <c r="E245" s="158"/>
      <c r="F245" s="159"/>
      <c r="G245" s="158"/>
      <c r="H245" s="158"/>
      <c r="I245" s="661"/>
      <c r="J245" s="191"/>
      <c r="K245" s="102"/>
      <c r="L245" s="51"/>
    </row>
    <row r="246" spans="1:12" s="16" customFormat="1" ht="24" customHeight="1" x14ac:dyDescent="0.3">
      <c r="A246" s="41"/>
      <c r="B246" s="147"/>
      <c r="C246" s="152">
        <v>16</v>
      </c>
      <c r="D246" s="665" t="s">
        <v>19</v>
      </c>
      <c r="E246" s="152"/>
      <c r="F246" s="153"/>
      <c r="G246" s="152"/>
      <c r="H246" s="152"/>
      <c r="I246" s="668" t="s">
        <v>17</v>
      </c>
      <c r="J246" s="192"/>
      <c r="K246" s="102"/>
      <c r="L246" s="51"/>
    </row>
    <row r="247" spans="1:12" s="16" customFormat="1" ht="24" customHeight="1" x14ac:dyDescent="0.3">
      <c r="A247" s="41"/>
      <c r="B247" s="147"/>
      <c r="C247" s="154">
        <v>17</v>
      </c>
      <c r="D247" s="666"/>
      <c r="E247" s="154"/>
      <c r="F247" s="157"/>
      <c r="G247" s="154"/>
      <c r="H247" s="154"/>
      <c r="I247" s="669"/>
      <c r="J247" s="190"/>
      <c r="K247" s="102"/>
      <c r="L247" s="51"/>
    </row>
    <row r="248" spans="1:12" s="16" customFormat="1" ht="24" customHeight="1" x14ac:dyDescent="0.3">
      <c r="A248" s="41"/>
      <c r="B248" s="147"/>
      <c r="C248" s="162">
        <v>18</v>
      </c>
      <c r="D248" s="667"/>
      <c r="E248" s="162"/>
      <c r="F248" s="164"/>
      <c r="G248" s="162"/>
      <c r="H248" s="162"/>
      <c r="I248" s="670"/>
      <c r="J248" s="193"/>
      <c r="K248" s="102"/>
      <c r="L248" s="51"/>
    </row>
    <row r="249" spans="1:12" s="16" customFormat="1" ht="24" customHeight="1" x14ac:dyDescent="0.3">
      <c r="A249" s="41"/>
      <c r="B249" s="147"/>
      <c r="C249" s="172">
        <v>19</v>
      </c>
      <c r="D249" s="671" t="s">
        <v>17</v>
      </c>
      <c r="E249" s="172"/>
      <c r="F249" s="174"/>
      <c r="G249" s="173"/>
      <c r="H249" s="172"/>
      <c r="I249" s="662" t="s">
        <v>103</v>
      </c>
      <c r="J249" s="195"/>
      <c r="K249" s="102"/>
      <c r="L249" s="51"/>
    </row>
    <row r="250" spans="1:12" s="16" customFormat="1" ht="24" customHeight="1" x14ac:dyDescent="0.3">
      <c r="A250" s="41"/>
      <c r="B250" s="147"/>
      <c r="C250" s="154">
        <v>20</v>
      </c>
      <c r="D250" s="669"/>
      <c r="E250" s="154"/>
      <c r="F250" s="157"/>
      <c r="G250" s="154"/>
      <c r="H250" s="154"/>
      <c r="I250" s="663"/>
      <c r="J250" s="190"/>
      <c r="K250" s="102"/>
      <c r="L250" s="51"/>
    </row>
    <row r="251" spans="1:12" s="16" customFormat="1" ht="24" customHeight="1" x14ac:dyDescent="0.3">
      <c r="A251" s="41"/>
      <c r="B251" s="147"/>
      <c r="C251" s="158">
        <v>21</v>
      </c>
      <c r="D251" s="672"/>
      <c r="E251" s="158"/>
      <c r="F251" s="166" t="s">
        <v>93</v>
      </c>
      <c r="G251" s="158"/>
      <c r="H251" s="158" t="s">
        <v>245</v>
      </c>
      <c r="I251" s="664"/>
      <c r="J251" s="191" t="s">
        <v>232</v>
      </c>
      <c r="K251" s="102" t="s">
        <v>672</v>
      </c>
      <c r="L251" s="51"/>
    </row>
    <row r="252" spans="1:12" s="16" customFormat="1" ht="24" customHeight="1" x14ac:dyDescent="0.3">
      <c r="A252" s="41"/>
      <c r="B252" s="147"/>
      <c r="C252" s="152">
        <v>22</v>
      </c>
      <c r="D252" s="657"/>
      <c r="E252" s="152"/>
      <c r="F252" s="153"/>
      <c r="G252" s="152"/>
      <c r="H252" s="152"/>
      <c r="I252" s="657"/>
      <c r="J252" s="192"/>
      <c r="K252" s="102"/>
      <c r="L252" s="53"/>
    </row>
    <row r="253" spans="1:12" s="16" customFormat="1" ht="24" customHeight="1" x14ac:dyDescent="0.3">
      <c r="A253" s="41"/>
      <c r="B253" s="147"/>
      <c r="C253" s="154">
        <v>23</v>
      </c>
      <c r="D253" s="658"/>
      <c r="E253" s="154"/>
      <c r="F253" s="157"/>
      <c r="G253" s="154"/>
      <c r="H253" s="154"/>
      <c r="I253" s="658"/>
      <c r="J253" s="190"/>
      <c r="K253" s="102"/>
      <c r="L253" s="51"/>
    </row>
    <row r="254" spans="1:12" s="16" customFormat="1" ht="24" customHeight="1" x14ac:dyDescent="0.3">
      <c r="A254" s="41"/>
      <c r="B254" s="147"/>
      <c r="C254" s="162">
        <v>24</v>
      </c>
      <c r="D254" s="659"/>
      <c r="E254" s="162"/>
      <c r="F254" s="164"/>
      <c r="G254" s="162"/>
      <c r="H254" s="162"/>
      <c r="I254" s="659"/>
      <c r="J254" s="193"/>
      <c r="K254" s="102"/>
      <c r="L254" s="18"/>
    </row>
    <row r="255" spans="1:12" s="16" customFormat="1" ht="24" customHeight="1" x14ac:dyDescent="0.3">
      <c r="A255" s="41"/>
      <c r="B255" s="147"/>
      <c r="C255" s="172">
        <v>25</v>
      </c>
      <c r="D255" s="660"/>
      <c r="E255" s="172"/>
      <c r="F255" s="180"/>
      <c r="G255" s="172"/>
      <c r="H255" s="172"/>
      <c r="I255" s="660"/>
      <c r="J255" s="195"/>
      <c r="K255" s="102"/>
      <c r="L255" s="51"/>
    </row>
    <row r="256" spans="1:12" s="16" customFormat="1" ht="24" customHeight="1" x14ac:dyDescent="0.3">
      <c r="A256" s="41"/>
      <c r="B256" s="147"/>
      <c r="C256" s="154">
        <v>26</v>
      </c>
      <c r="D256" s="658"/>
      <c r="E256" s="154"/>
      <c r="F256" s="157"/>
      <c r="G256" s="154"/>
      <c r="H256" s="154"/>
      <c r="I256" s="658"/>
      <c r="J256" s="190"/>
      <c r="K256" s="101"/>
      <c r="L256" s="51"/>
    </row>
    <row r="257" spans="1:13" s="16" customFormat="1" ht="24" customHeight="1" x14ac:dyDescent="0.3">
      <c r="A257" s="41"/>
      <c r="B257" s="147"/>
      <c r="C257" s="158">
        <v>27</v>
      </c>
      <c r="D257" s="661"/>
      <c r="E257" s="158"/>
      <c r="F257" s="159"/>
      <c r="G257" s="158"/>
      <c r="H257" s="158"/>
      <c r="I257" s="661"/>
      <c r="J257" s="191"/>
      <c r="K257" s="101"/>
      <c r="L257" s="51"/>
    </row>
    <row r="258" spans="1:13" s="16" customFormat="1" ht="24" customHeight="1" x14ac:dyDescent="0.3">
      <c r="A258" s="41"/>
      <c r="B258" s="147"/>
      <c r="C258" s="152">
        <v>28</v>
      </c>
      <c r="D258" s="657"/>
      <c r="E258" s="152"/>
      <c r="F258" s="153"/>
      <c r="G258" s="152"/>
      <c r="H258" s="152"/>
      <c r="I258" s="657"/>
      <c r="J258" s="192"/>
      <c r="K258" s="101"/>
      <c r="L258" s="51"/>
    </row>
    <row r="259" spans="1:13" s="16" customFormat="1" ht="24" customHeight="1" x14ac:dyDescent="0.3">
      <c r="A259" s="41"/>
      <c r="B259" s="147"/>
      <c r="C259" s="154">
        <v>29</v>
      </c>
      <c r="D259" s="658"/>
      <c r="E259" s="154"/>
      <c r="F259" s="157"/>
      <c r="G259" s="154"/>
      <c r="H259" s="154"/>
      <c r="I259" s="658"/>
      <c r="J259" s="190"/>
      <c r="K259" s="102"/>
      <c r="L259" s="51"/>
    </row>
    <row r="260" spans="1:13" s="16" customFormat="1" ht="24" customHeight="1" x14ac:dyDescent="0.3">
      <c r="A260" s="144"/>
      <c r="B260" s="151"/>
      <c r="C260" s="162">
        <v>30</v>
      </c>
      <c r="D260" s="659"/>
      <c r="E260" s="162"/>
      <c r="F260" s="164"/>
      <c r="G260" s="162"/>
      <c r="H260" s="162"/>
      <c r="I260" s="659"/>
      <c r="J260" s="193"/>
      <c r="K260" s="102"/>
      <c r="L260" s="51"/>
    </row>
    <row r="261" spans="1:13" s="16" customFormat="1" ht="24" customHeight="1" x14ac:dyDescent="0.3">
      <c r="A261" s="29" t="s">
        <v>212</v>
      </c>
      <c r="B261" s="146" t="s">
        <v>32</v>
      </c>
      <c r="C261" s="152">
        <v>1</v>
      </c>
      <c r="D261" s="668" t="s">
        <v>314</v>
      </c>
      <c r="E261" s="152"/>
      <c r="F261" s="153"/>
      <c r="G261" s="152"/>
      <c r="H261" s="152"/>
      <c r="I261" s="657" t="s">
        <v>314</v>
      </c>
      <c r="J261" s="190"/>
      <c r="K261" s="101"/>
      <c r="L261" s="51"/>
    </row>
    <row r="262" spans="1:13" s="16" customFormat="1" ht="24" customHeight="1" x14ac:dyDescent="0.3">
      <c r="A262" s="607" t="s">
        <v>12</v>
      </c>
      <c r="B262" s="608"/>
      <c r="C262" s="154">
        <v>2</v>
      </c>
      <c r="D262" s="669"/>
      <c r="E262" s="154"/>
      <c r="F262" s="157"/>
      <c r="G262" s="154"/>
      <c r="H262" s="154"/>
      <c r="I262" s="658"/>
      <c r="J262" s="190"/>
      <c r="K262" s="102"/>
      <c r="L262" s="53"/>
    </row>
    <row r="263" spans="1:13" s="16" customFormat="1" ht="24" customHeight="1" x14ac:dyDescent="0.3">
      <c r="A263" s="41"/>
      <c r="B263" s="147"/>
      <c r="C263" s="158">
        <v>3</v>
      </c>
      <c r="D263" s="672"/>
      <c r="E263" s="158"/>
      <c r="F263" s="159" t="s">
        <v>315</v>
      </c>
      <c r="G263" s="158"/>
      <c r="H263" s="158" t="s">
        <v>316</v>
      </c>
      <c r="I263" s="661"/>
      <c r="J263" s="191" t="s">
        <v>317</v>
      </c>
      <c r="K263" s="101"/>
      <c r="L263" s="51"/>
    </row>
    <row r="264" spans="1:13" s="16" customFormat="1" ht="24" customHeight="1" x14ac:dyDescent="0.3">
      <c r="A264" s="41"/>
      <c r="B264" s="147"/>
      <c r="C264" s="152">
        <v>4</v>
      </c>
      <c r="D264" s="657" t="s">
        <v>314</v>
      </c>
      <c r="E264" s="152"/>
      <c r="F264" s="153" t="s">
        <v>315</v>
      </c>
      <c r="G264" s="152"/>
      <c r="H264" s="152" t="s">
        <v>318</v>
      </c>
      <c r="I264" s="657" t="s">
        <v>314</v>
      </c>
      <c r="J264" s="192" t="s">
        <v>319</v>
      </c>
      <c r="K264" s="101"/>
      <c r="L264" s="51"/>
    </row>
    <row r="265" spans="1:13" s="16" customFormat="1" ht="24" customHeight="1" x14ac:dyDescent="0.3">
      <c r="A265" s="41"/>
      <c r="B265" s="147"/>
      <c r="C265" s="154">
        <v>5</v>
      </c>
      <c r="D265" s="658"/>
      <c r="E265" s="154"/>
      <c r="F265" s="157"/>
      <c r="G265" s="154"/>
      <c r="H265" s="154"/>
      <c r="I265" s="658"/>
      <c r="J265" s="190"/>
      <c r="K265" s="102"/>
      <c r="L265" s="53"/>
      <c r="M265" s="6"/>
    </row>
    <row r="266" spans="1:13" s="16" customFormat="1" ht="24" customHeight="1" x14ac:dyDescent="0.3">
      <c r="A266" s="41"/>
      <c r="B266" s="147"/>
      <c r="C266" s="162">
        <v>6</v>
      </c>
      <c r="D266" s="659"/>
      <c r="E266" s="162"/>
      <c r="F266" s="164"/>
      <c r="G266" s="162"/>
      <c r="H266" s="162"/>
      <c r="I266" s="659"/>
      <c r="J266" s="193"/>
      <c r="K266" s="102"/>
      <c r="L266" s="51"/>
    </row>
    <row r="267" spans="1:13" s="16" customFormat="1" ht="24" customHeight="1" x14ac:dyDescent="0.3">
      <c r="A267" s="41"/>
      <c r="B267" s="147"/>
      <c r="C267" s="172">
        <v>7</v>
      </c>
      <c r="D267" s="675"/>
      <c r="E267" s="172"/>
      <c r="F267" s="180"/>
      <c r="G267" s="172"/>
      <c r="H267" s="172"/>
      <c r="I267" s="675"/>
      <c r="J267" s="195"/>
      <c r="K267" s="102"/>
      <c r="L267" s="51"/>
    </row>
    <row r="268" spans="1:13" s="16" customFormat="1" ht="24" customHeight="1" x14ac:dyDescent="0.3">
      <c r="A268" s="41"/>
      <c r="B268" s="147"/>
      <c r="C268" s="154">
        <v>8</v>
      </c>
      <c r="D268" s="666"/>
      <c r="E268" s="154"/>
      <c r="F268" s="157"/>
      <c r="G268" s="154"/>
      <c r="H268" s="154"/>
      <c r="I268" s="666"/>
      <c r="J268" s="190"/>
      <c r="K268" s="102"/>
      <c r="L268" s="51"/>
    </row>
    <row r="269" spans="1:13" s="16" customFormat="1" ht="24" customHeight="1" x14ac:dyDescent="0.3">
      <c r="A269" s="41"/>
      <c r="B269" s="147"/>
      <c r="C269" s="158">
        <v>9</v>
      </c>
      <c r="D269" s="676"/>
      <c r="E269" s="158"/>
      <c r="F269" s="159"/>
      <c r="G269" s="158"/>
      <c r="H269" s="158"/>
      <c r="I269" s="676"/>
      <c r="J269" s="191"/>
      <c r="K269" s="101"/>
      <c r="L269" s="51"/>
    </row>
    <row r="270" spans="1:13" s="16" customFormat="1" ht="24" customHeight="1" x14ac:dyDescent="0.3">
      <c r="A270" s="41"/>
      <c r="B270" s="147"/>
      <c r="C270" s="152">
        <v>10</v>
      </c>
      <c r="D270" s="657"/>
      <c r="E270" s="152"/>
      <c r="F270" s="153"/>
      <c r="G270" s="152"/>
      <c r="H270" s="152"/>
      <c r="I270" s="657"/>
      <c r="J270" s="192"/>
      <c r="K270" s="102"/>
      <c r="L270" s="51"/>
    </row>
    <row r="271" spans="1:13" s="16" customFormat="1" ht="24" customHeight="1" x14ac:dyDescent="0.3">
      <c r="A271" s="41"/>
      <c r="B271" s="147"/>
      <c r="C271" s="154">
        <v>11</v>
      </c>
      <c r="D271" s="658"/>
      <c r="E271" s="154"/>
      <c r="F271" s="157"/>
      <c r="G271" s="154"/>
      <c r="H271" s="154"/>
      <c r="I271" s="658"/>
      <c r="J271" s="190"/>
      <c r="K271" s="101"/>
      <c r="L271" s="51"/>
    </row>
    <row r="272" spans="1:13" s="16" customFormat="1" ht="24" customHeight="1" x14ac:dyDescent="0.3">
      <c r="A272" s="41"/>
      <c r="B272" s="147"/>
      <c r="C272" s="162">
        <v>12</v>
      </c>
      <c r="D272" s="659"/>
      <c r="E272" s="162"/>
      <c r="F272" s="164"/>
      <c r="G272" s="162"/>
      <c r="H272" s="162"/>
      <c r="I272" s="659"/>
      <c r="J272" s="193"/>
      <c r="K272" s="103"/>
      <c r="L272" s="51"/>
    </row>
    <row r="273" spans="1:13" s="16" customFormat="1" ht="24" customHeight="1" x14ac:dyDescent="0.3">
      <c r="A273" s="41"/>
      <c r="B273" s="147"/>
      <c r="C273" s="172">
        <v>13</v>
      </c>
      <c r="D273" s="660"/>
      <c r="E273" s="172"/>
      <c r="F273" s="180"/>
      <c r="G273" s="172"/>
      <c r="H273" s="172"/>
      <c r="I273" s="660"/>
      <c r="J273" s="195"/>
      <c r="K273" s="101"/>
      <c r="L273" s="51"/>
    </row>
    <row r="274" spans="1:13" s="16" customFormat="1" ht="24" customHeight="1" x14ac:dyDescent="0.3">
      <c r="A274" s="41"/>
      <c r="B274" s="147"/>
      <c r="C274" s="154">
        <v>14</v>
      </c>
      <c r="D274" s="658"/>
      <c r="E274" s="154"/>
      <c r="F274" s="157"/>
      <c r="G274" s="154"/>
      <c r="H274" s="154"/>
      <c r="I274" s="658"/>
      <c r="J274" s="190"/>
      <c r="K274" s="102"/>
      <c r="L274" s="18"/>
    </row>
    <row r="275" spans="1:13" s="16" customFormat="1" ht="24" customHeight="1" x14ac:dyDescent="0.3">
      <c r="A275" s="41"/>
      <c r="B275" s="147"/>
      <c r="C275" s="158">
        <v>15</v>
      </c>
      <c r="D275" s="661"/>
      <c r="E275" s="158"/>
      <c r="F275" s="159"/>
      <c r="G275" s="158"/>
      <c r="H275" s="158"/>
      <c r="I275" s="661"/>
      <c r="J275" s="191"/>
      <c r="K275" s="101"/>
      <c r="L275" s="51"/>
    </row>
    <row r="276" spans="1:13" s="16" customFormat="1" ht="24" customHeight="1" x14ac:dyDescent="0.3">
      <c r="A276" s="41"/>
      <c r="B276" s="147"/>
      <c r="C276" s="152">
        <v>16</v>
      </c>
      <c r="D276" s="665"/>
      <c r="E276" s="152"/>
      <c r="F276" s="153"/>
      <c r="G276" s="152"/>
      <c r="H276" s="152"/>
      <c r="I276" s="668"/>
      <c r="J276" s="192"/>
      <c r="K276" s="101"/>
      <c r="L276" s="51"/>
    </row>
    <row r="277" spans="1:13" s="16" customFormat="1" ht="24" customHeight="1" x14ac:dyDescent="0.3">
      <c r="A277" s="41"/>
      <c r="B277" s="147"/>
      <c r="C277" s="154">
        <v>17</v>
      </c>
      <c r="D277" s="666"/>
      <c r="E277" s="154"/>
      <c r="F277" s="157"/>
      <c r="G277" s="154"/>
      <c r="H277" s="154"/>
      <c r="I277" s="669"/>
      <c r="J277" s="190"/>
      <c r="K277" s="102"/>
      <c r="L277" s="51"/>
      <c r="M277" s="6"/>
    </row>
    <row r="278" spans="1:13" s="16" customFormat="1" ht="24" customHeight="1" x14ac:dyDescent="0.3">
      <c r="A278" s="41"/>
      <c r="B278" s="147"/>
      <c r="C278" s="162">
        <v>18</v>
      </c>
      <c r="D278" s="667"/>
      <c r="E278" s="162"/>
      <c r="F278" s="164"/>
      <c r="G278" s="162"/>
      <c r="H278" s="162"/>
      <c r="I278" s="670"/>
      <c r="J278" s="193"/>
      <c r="K278" s="102"/>
      <c r="L278" s="53"/>
      <c r="M278" s="6"/>
    </row>
    <row r="279" spans="1:13" s="16" customFormat="1" ht="24" customHeight="1" x14ac:dyDescent="0.3">
      <c r="A279" s="41"/>
      <c r="B279" s="147"/>
      <c r="C279" s="172"/>
      <c r="D279" s="671"/>
      <c r="E279" s="172"/>
      <c r="F279" s="174"/>
      <c r="G279" s="173"/>
      <c r="H279" s="172"/>
      <c r="I279" s="662"/>
      <c r="J279" s="195"/>
      <c r="K279" s="102"/>
      <c r="L279" s="51"/>
      <c r="M279" s="6"/>
    </row>
    <row r="280" spans="1:13" s="16" customFormat="1" ht="24" customHeight="1" x14ac:dyDescent="0.3">
      <c r="A280" s="41"/>
      <c r="B280" s="147"/>
      <c r="C280" s="154">
        <v>20</v>
      </c>
      <c r="D280" s="669"/>
      <c r="E280" s="154"/>
      <c r="F280" s="157"/>
      <c r="G280" s="154"/>
      <c r="H280" s="154"/>
      <c r="I280" s="663"/>
      <c r="J280" s="190"/>
      <c r="K280" s="102"/>
      <c r="L280" s="51"/>
      <c r="M280" s="6"/>
    </row>
    <row r="281" spans="1:13" s="16" customFormat="1" ht="24" customHeight="1" x14ac:dyDescent="0.3">
      <c r="A281" s="41"/>
      <c r="B281" s="147"/>
      <c r="C281" s="158">
        <v>21</v>
      </c>
      <c r="D281" s="672"/>
      <c r="E281" s="158"/>
      <c r="F281" s="166"/>
      <c r="G281" s="158"/>
      <c r="H281" s="158"/>
      <c r="I281" s="664"/>
      <c r="J281" s="191"/>
      <c r="K281" s="102"/>
      <c r="L281" s="51"/>
    </row>
    <row r="282" spans="1:13" s="16" customFormat="1" ht="24" customHeight="1" x14ac:dyDescent="0.3">
      <c r="A282" s="41"/>
      <c r="B282" s="147"/>
      <c r="C282" s="152">
        <v>22</v>
      </c>
      <c r="D282" s="657"/>
      <c r="E282" s="152"/>
      <c r="F282" s="153"/>
      <c r="G282" s="152"/>
      <c r="H282" s="152"/>
      <c r="I282" s="657"/>
      <c r="J282" s="192"/>
      <c r="K282" s="102"/>
      <c r="L282" s="53"/>
      <c r="M282" s="6"/>
    </row>
    <row r="283" spans="1:13" s="16" customFormat="1" ht="24" customHeight="1" x14ac:dyDescent="0.3">
      <c r="A283" s="41"/>
      <c r="B283" s="147"/>
      <c r="C283" s="154">
        <v>23</v>
      </c>
      <c r="D283" s="658"/>
      <c r="E283" s="154"/>
      <c r="F283" s="157"/>
      <c r="G283" s="154"/>
      <c r="H283" s="154"/>
      <c r="I283" s="658"/>
      <c r="J283" s="190"/>
      <c r="K283" s="101"/>
      <c r="L283" s="51"/>
    </row>
    <row r="284" spans="1:13" s="16" customFormat="1" ht="24" customHeight="1" x14ac:dyDescent="0.3">
      <c r="A284" s="41"/>
      <c r="B284" s="147"/>
      <c r="C284" s="162">
        <v>24</v>
      </c>
      <c r="D284" s="659"/>
      <c r="E284" s="162"/>
      <c r="F284" s="164"/>
      <c r="G284" s="162"/>
      <c r="H284" s="162"/>
      <c r="I284" s="659"/>
      <c r="J284" s="193"/>
      <c r="K284" s="101"/>
      <c r="L284" s="51"/>
    </row>
    <row r="285" spans="1:13" s="16" customFormat="1" ht="24" customHeight="1" x14ac:dyDescent="0.3">
      <c r="A285" s="41"/>
      <c r="B285" s="147"/>
      <c r="C285" s="172">
        <v>25</v>
      </c>
      <c r="D285" s="660"/>
      <c r="E285" s="172"/>
      <c r="F285" s="180"/>
      <c r="G285" s="172"/>
      <c r="H285" s="172"/>
      <c r="I285" s="660"/>
      <c r="J285" s="195"/>
      <c r="K285" s="101"/>
      <c r="L285" s="51"/>
    </row>
    <row r="286" spans="1:13" s="16" customFormat="1" ht="24" customHeight="1" x14ac:dyDescent="0.3">
      <c r="A286" s="41"/>
      <c r="B286" s="147"/>
      <c r="C286" s="154">
        <v>26</v>
      </c>
      <c r="D286" s="658"/>
      <c r="E286" s="154"/>
      <c r="F286" s="157"/>
      <c r="G286" s="154"/>
      <c r="H286" s="154"/>
      <c r="I286" s="658"/>
      <c r="J286" s="190"/>
      <c r="K286" s="101"/>
      <c r="L286" s="51"/>
    </row>
    <row r="287" spans="1:13" s="16" customFormat="1" ht="24" customHeight="1" x14ac:dyDescent="0.3">
      <c r="A287" s="41"/>
      <c r="B287" s="147"/>
      <c r="C287" s="158">
        <v>27</v>
      </c>
      <c r="D287" s="661"/>
      <c r="E287" s="158"/>
      <c r="F287" s="159"/>
      <c r="G287" s="158"/>
      <c r="H287" s="158"/>
      <c r="I287" s="661"/>
      <c r="J287" s="191"/>
      <c r="K287" s="101"/>
      <c r="L287" s="51"/>
    </row>
    <row r="288" spans="1:13" s="16" customFormat="1" ht="24" customHeight="1" x14ac:dyDescent="0.3">
      <c r="A288" s="41"/>
      <c r="B288" s="147"/>
      <c r="C288" s="152">
        <v>28</v>
      </c>
      <c r="D288" s="657"/>
      <c r="E288" s="152"/>
      <c r="F288" s="153"/>
      <c r="G288" s="152"/>
      <c r="H288" s="152"/>
      <c r="I288" s="657"/>
      <c r="J288" s="192"/>
      <c r="K288" s="101"/>
      <c r="L288" s="51"/>
    </row>
    <row r="289" spans="1:12" s="16" customFormat="1" ht="24" customHeight="1" x14ac:dyDescent="0.3">
      <c r="A289" s="41"/>
      <c r="B289" s="147"/>
      <c r="C289" s="154">
        <v>29</v>
      </c>
      <c r="D289" s="658"/>
      <c r="E289" s="154"/>
      <c r="F289" s="157"/>
      <c r="G289" s="154"/>
      <c r="H289" s="154"/>
      <c r="I289" s="658"/>
      <c r="J289" s="190"/>
      <c r="K289" s="101"/>
      <c r="L289" s="51"/>
    </row>
    <row r="290" spans="1:12" s="16" customFormat="1" ht="24" customHeight="1" x14ac:dyDescent="0.3">
      <c r="A290" s="144"/>
      <c r="B290" s="151"/>
      <c r="C290" s="162">
        <v>30</v>
      </c>
      <c r="D290" s="659"/>
      <c r="E290" s="162"/>
      <c r="F290" s="164"/>
      <c r="G290" s="162"/>
      <c r="H290" s="162"/>
      <c r="I290" s="659"/>
      <c r="J290" s="193"/>
      <c r="K290" s="101"/>
      <c r="L290" s="51"/>
    </row>
    <row r="291" spans="1:12" s="16" customFormat="1" ht="24" customHeight="1" x14ac:dyDescent="0.3">
      <c r="A291" s="29" t="s">
        <v>212</v>
      </c>
      <c r="B291" s="146" t="s">
        <v>50</v>
      </c>
      <c r="C291" s="152">
        <v>1</v>
      </c>
      <c r="D291" s="668" t="s">
        <v>73</v>
      </c>
      <c r="E291" s="152"/>
      <c r="F291" s="153"/>
      <c r="G291" s="152"/>
      <c r="H291" s="152"/>
      <c r="I291" s="657" t="s">
        <v>73</v>
      </c>
      <c r="J291" s="190"/>
      <c r="K291" s="101"/>
      <c r="L291" s="51"/>
    </row>
    <row r="292" spans="1:12" s="16" customFormat="1" ht="24" customHeight="1" x14ac:dyDescent="0.3">
      <c r="A292" s="607" t="s">
        <v>12</v>
      </c>
      <c r="B292" s="608"/>
      <c r="C292" s="154">
        <v>2</v>
      </c>
      <c r="D292" s="669"/>
      <c r="E292" s="154"/>
      <c r="F292" s="157"/>
      <c r="G292" s="154"/>
      <c r="H292" s="154"/>
      <c r="I292" s="658"/>
      <c r="J292" s="190"/>
      <c r="K292" s="101"/>
      <c r="L292" s="51"/>
    </row>
    <row r="293" spans="1:12" s="16" customFormat="1" ht="24" customHeight="1" x14ac:dyDescent="0.3">
      <c r="A293" s="41"/>
      <c r="B293" s="147"/>
      <c r="C293" s="158">
        <v>3</v>
      </c>
      <c r="D293" s="672"/>
      <c r="E293" s="158"/>
      <c r="F293" s="159"/>
      <c r="G293" s="158"/>
      <c r="H293" s="158"/>
      <c r="I293" s="661"/>
      <c r="J293" s="191"/>
      <c r="K293" s="101"/>
      <c r="L293" s="51"/>
    </row>
    <row r="294" spans="1:12" s="16" customFormat="1" ht="24" customHeight="1" x14ac:dyDescent="0.3">
      <c r="A294" s="41"/>
      <c r="B294" s="147"/>
      <c r="C294" s="152">
        <v>4</v>
      </c>
      <c r="D294" s="657" t="s">
        <v>73</v>
      </c>
      <c r="E294" s="152"/>
      <c r="F294" s="153"/>
      <c r="G294" s="152"/>
      <c r="H294" s="152"/>
      <c r="I294" s="657" t="s">
        <v>73</v>
      </c>
      <c r="J294" s="192"/>
      <c r="K294" s="101"/>
      <c r="L294" s="51"/>
    </row>
    <row r="295" spans="1:12" s="16" customFormat="1" ht="24" customHeight="1" x14ac:dyDescent="0.3">
      <c r="A295" s="41"/>
      <c r="B295" s="147"/>
      <c r="C295" s="154">
        <v>5</v>
      </c>
      <c r="D295" s="658"/>
      <c r="E295" s="154"/>
      <c r="F295" s="157"/>
      <c r="G295" s="154"/>
      <c r="H295" s="154"/>
      <c r="I295" s="658"/>
      <c r="J295" s="190"/>
      <c r="K295" s="101"/>
      <c r="L295" s="51"/>
    </row>
    <row r="296" spans="1:12" s="16" customFormat="1" ht="24" customHeight="1" x14ac:dyDescent="0.3">
      <c r="A296" s="41"/>
      <c r="B296" s="147"/>
      <c r="C296" s="162">
        <v>6</v>
      </c>
      <c r="D296" s="659"/>
      <c r="E296" s="162"/>
      <c r="F296" s="164"/>
      <c r="G296" s="162"/>
      <c r="H296" s="162"/>
      <c r="I296" s="659"/>
      <c r="J296" s="193"/>
      <c r="K296" s="101"/>
      <c r="L296" s="51"/>
    </row>
    <row r="297" spans="1:12" s="16" customFormat="1" ht="24" customHeight="1" x14ac:dyDescent="0.3">
      <c r="A297" s="41"/>
      <c r="B297" s="147"/>
      <c r="C297" s="172">
        <v>7</v>
      </c>
      <c r="D297" s="675" t="s">
        <v>17</v>
      </c>
      <c r="E297" s="172"/>
      <c r="F297" s="180"/>
      <c r="G297" s="172"/>
      <c r="H297" s="172"/>
      <c r="I297" s="675" t="s">
        <v>17</v>
      </c>
      <c r="J297" s="195" t="s">
        <v>321</v>
      </c>
      <c r="K297" s="101"/>
      <c r="L297" s="51"/>
    </row>
    <row r="298" spans="1:12" s="16" customFormat="1" ht="24" customHeight="1" x14ac:dyDescent="0.3">
      <c r="A298" s="41"/>
      <c r="B298" s="147"/>
      <c r="C298" s="154">
        <v>8</v>
      </c>
      <c r="D298" s="666"/>
      <c r="E298" s="154"/>
      <c r="F298" s="157"/>
      <c r="G298" s="154"/>
      <c r="H298" s="154"/>
      <c r="I298" s="666"/>
      <c r="J298" s="190" t="s">
        <v>104</v>
      </c>
      <c r="K298" s="101"/>
      <c r="L298" s="51"/>
    </row>
    <row r="299" spans="1:12" s="16" customFormat="1" ht="24" customHeight="1" x14ac:dyDescent="0.3">
      <c r="A299" s="41"/>
      <c r="B299" s="147"/>
      <c r="C299" s="291">
        <v>9</v>
      </c>
      <c r="D299" s="676"/>
      <c r="E299" s="291"/>
      <c r="F299" s="292"/>
      <c r="G299" s="291"/>
      <c r="H299" s="291"/>
      <c r="I299" s="676"/>
      <c r="J299" s="351"/>
      <c r="K299" s="101"/>
      <c r="L299" s="51"/>
    </row>
    <row r="300" spans="1:12" s="16" customFormat="1" ht="24" customHeight="1" x14ac:dyDescent="0.3">
      <c r="A300" s="41"/>
      <c r="B300" s="147"/>
      <c r="C300" s="152">
        <v>10</v>
      </c>
      <c r="D300" s="657" t="s">
        <v>17</v>
      </c>
      <c r="E300" s="152"/>
      <c r="F300" s="153"/>
      <c r="G300" s="152"/>
      <c r="H300" s="152"/>
      <c r="I300" s="657" t="s">
        <v>17</v>
      </c>
      <c r="J300" s="192"/>
      <c r="K300" s="101"/>
      <c r="L300" s="51"/>
    </row>
    <row r="301" spans="1:12" s="16" customFormat="1" ht="24" customHeight="1" x14ac:dyDescent="0.3">
      <c r="A301" s="41"/>
      <c r="B301" s="147"/>
      <c r="C301" s="154">
        <v>11</v>
      </c>
      <c r="D301" s="658"/>
      <c r="E301" s="154"/>
      <c r="F301" s="157"/>
      <c r="G301" s="154"/>
      <c r="H301" s="154"/>
      <c r="I301" s="658"/>
      <c r="J301" s="190"/>
      <c r="K301" s="101"/>
      <c r="L301" s="51"/>
    </row>
    <row r="302" spans="1:12" s="16" customFormat="1" ht="24" customHeight="1" x14ac:dyDescent="0.3">
      <c r="A302" s="41"/>
      <c r="B302" s="147"/>
      <c r="C302" s="162">
        <v>12</v>
      </c>
      <c r="D302" s="659"/>
      <c r="E302" s="162"/>
      <c r="F302" s="164"/>
      <c r="G302" s="162"/>
      <c r="H302" s="162"/>
      <c r="I302" s="659"/>
      <c r="J302" s="193"/>
      <c r="K302" s="101"/>
      <c r="L302" s="51"/>
    </row>
    <row r="303" spans="1:12" s="16" customFormat="1" ht="24" customHeight="1" x14ac:dyDescent="0.3">
      <c r="A303" s="41"/>
      <c r="B303" s="147"/>
      <c r="C303" s="172">
        <v>13</v>
      </c>
      <c r="D303" s="660" t="s">
        <v>73</v>
      </c>
      <c r="E303" s="172"/>
      <c r="F303" s="180"/>
      <c r="G303" s="172"/>
      <c r="H303" s="172"/>
      <c r="I303" s="660" t="s">
        <v>21</v>
      </c>
      <c r="J303" s="195"/>
      <c r="K303" s="101"/>
      <c r="L303" s="51"/>
    </row>
    <row r="304" spans="1:12" s="16" customFormat="1" ht="24" customHeight="1" x14ac:dyDescent="0.3">
      <c r="A304" s="41"/>
      <c r="B304" s="147"/>
      <c r="C304" s="154">
        <v>14</v>
      </c>
      <c r="D304" s="658"/>
      <c r="E304" s="154"/>
      <c r="F304" s="157" t="s">
        <v>36</v>
      </c>
      <c r="G304" s="154"/>
      <c r="H304" s="154" t="s">
        <v>184</v>
      </c>
      <c r="I304" s="658"/>
      <c r="J304" s="190" t="s">
        <v>186</v>
      </c>
      <c r="K304" s="101"/>
      <c r="L304" s="51"/>
    </row>
    <row r="305" spans="1:12" s="16" customFormat="1" ht="24" customHeight="1" x14ac:dyDescent="0.3">
      <c r="A305" s="41"/>
      <c r="B305" s="147"/>
      <c r="C305" s="158">
        <v>15</v>
      </c>
      <c r="D305" s="661"/>
      <c r="E305" s="158"/>
      <c r="F305" s="469" t="s">
        <v>36</v>
      </c>
      <c r="G305" s="470"/>
      <c r="H305" s="470" t="s">
        <v>185</v>
      </c>
      <c r="I305" s="661"/>
      <c r="J305" s="471" t="s">
        <v>767</v>
      </c>
      <c r="K305" s="101"/>
      <c r="L305" s="51"/>
    </row>
    <row r="306" spans="1:12" s="16" customFormat="1" ht="24" customHeight="1" x14ac:dyDescent="0.3">
      <c r="A306" s="41"/>
      <c r="B306" s="147"/>
      <c r="C306" s="152">
        <v>16</v>
      </c>
      <c r="D306" s="665" t="s">
        <v>19</v>
      </c>
      <c r="E306" s="152"/>
      <c r="F306" s="153"/>
      <c r="G306" s="152"/>
      <c r="H306" s="152"/>
      <c r="I306" s="668" t="s">
        <v>19</v>
      </c>
      <c r="J306" s="192"/>
      <c r="K306" s="101"/>
      <c r="L306" s="51"/>
    </row>
    <row r="307" spans="1:12" s="16" customFormat="1" ht="24" customHeight="1" x14ac:dyDescent="0.3">
      <c r="A307" s="41"/>
      <c r="B307" s="147"/>
      <c r="C307" s="154">
        <v>17</v>
      </c>
      <c r="D307" s="666"/>
      <c r="E307" s="154"/>
      <c r="F307" s="157"/>
      <c r="G307" s="154"/>
      <c r="H307" s="154"/>
      <c r="I307" s="669"/>
      <c r="J307" s="190"/>
      <c r="K307" s="101"/>
      <c r="L307" s="51"/>
    </row>
    <row r="308" spans="1:12" s="16" customFormat="1" ht="24" customHeight="1" x14ac:dyDescent="0.3">
      <c r="A308" s="41"/>
      <c r="B308" s="147"/>
      <c r="C308" s="162">
        <v>18</v>
      </c>
      <c r="D308" s="667"/>
      <c r="E308" s="162"/>
      <c r="F308" s="164"/>
      <c r="G308" s="162"/>
      <c r="H308" s="162"/>
      <c r="I308" s="670"/>
      <c r="J308" s="193"/>
      <c r="K308" s="101"/>
      <c r="L308" s="51"/>
    </row>
    <row r="309" spans="1:12" s="16" customFormat="1" ht="24" customHeight="1" x14ac:dyDescent="0.3">
      <c r="A309" s="41"/>
      <c r="B309" s="147"/>
      <c r="C309" s="172">
        <v>19</v>
      </c>
      <c r="D309" s="671" t="s">
        <v>17</v>
      </c>
      <c r="E309" s="172"/>
      <c r="F309" s="174"/>
      <c r="G309" s="173"/>
      <c r="H309" s="172"/>
      <c r="I309" s="662" t="s">
        <v>198</v>
      </c>
      <c r="J309" s="195"/>
      <c r="K309" s="101"/>
      <c r="L309" s="51"/>
    </row>
    <row r="310" spans="1:12" s="16" customFormat="1" ht="24" customHeight="1" x14ac:dyDescent="0.3">
      <c r="A310" s="41"/>
      <c r="B310" s="147"/>
      <c r="C310" s="154">
        <v>20</v>
      </c>
      <c r="D310" s="669"/>
      <c r="E310" s="154"/>
      <c r="F310" s="157"/>
      <c r="G310" s="154"/>
      <c r="H310" s="154"/>
      <c r="I310" s="663"/>
      <c r="J310" s="190"/>
      <c r="K310" s="101"/>
      <c r="L310" s="51"/>
    </row>
    <row r="311" spans="1:12" s="16" customFormat="1" ht="24" customHeight="1" x14ac:dyDescent="0.3">
      <c r="A311" s="41"/>
      <c r="B311" s="147"/>
      <c r="C311" s="158">
        <v>21</v>
      </c>
      <c r="D311" s="672"/>
      <c r="E311" s="158"/>
      <c r="F311" s="166"/>
      <c r="G311" s="158"/>
      <c r="H311" s="158"/>
      <c r="I311" s="664"/>
      <c r="J311" s="191"/>
      <c r="K311" s="101"/>
      <c r="L311" s="51"/>
    </row>
    <row r="312" spans="1:12" s="16" customFormat="1" ht="24" customHeight="1" x14ac:dyDescent="0.3">
      <c r="A312" s="41"/>
      <c r="B312" s="147"/>
      <c r="C312" s="152">
        <v>22</v>
      </c>
      <c r="D312" s="657" t="s">
        <v>17</v>
      </c>
      <c r="E312" s="152"/>
      <c r="F312" s="153"/>
      <c r="G312" s="152"/>
      <c r="H312" s="152"/>
      <c r="I312" s="657" t="s">
        <v>21</v>
      </c>
      <c r="J312" s="192"/>
      <c r="K312" s="101"/>
      <c r="L312" s="51"/>
    </row>
    <row r="313" spans="1:12" s="16" customFormat="1" ht="24" customHeight="1" x14ac:dyDescent="0.3">
      <c r="A313" s="41"/>
      <c r="B313" s="147"/>
      <c r="C313" s="154">
        <v>23</v>
      </c>
      <c r="D313" s="658"/>
      <c r="E313" s="154"/>
      <c r="F313" s="157" t="s">
        <v>36</v>
      </c>
      <c r="G313" s="154"/>
      <c r="H313" s="154" t="s">
        <v>181</v>
      </c>
      <c r="I313" s="658"/>
      <c r="J313" s="190" t="s">
        <v>320</v>
      </c>
      <c r="K313" s="101"/>
      <c r="L313" s="51"/>
    </row>
    <row r="314" spans="1:12" s="16" customFormat="1" ht="24" customHeight="1" x14ac:dyDescent="0.3">
      <c r="A314" s="41"/>
      <c r="B314" s="147"/>
      <c r="C314" s="162">
        <v>24</v>
      </c>
      <c r="D314" s="659"/>
      <c r="E314" s="162"/>
      <c r="F314" s="164"/>
      <c r="G314" s="162"/>
      <c r="H314" s="162"/>
      <c r="I314" s="659"/>
      <c r="J314" s="193"/>
      <c r="K314" s="101"/>
      <c r="L314" s="51"/>
    </row>
    <row r="315" spans="1:12" s="16" customFormat="1" ht="24" customHeight="1" x14ac:dyDescent="0.3">
      <c r="A315" s="41"/>
      <c r="B315" s="147"/>
      <c r="C315" s="172">
        <v>25</v>
      </c>
      <c r="D315" s="660" t="s">
        <v>21</v>
      </c>
      <c r="E315" s="172"/>
      <c r="F315" s="180"/>
      <c r="G315" s="172"/>
      <c r="H315" s="172"/>
      <c r="I315" s="660" t="s">
        <v>17</v>
      </c>
      <c r="J315" s="195"/>
      <c r="K315" s="101"/>
      <c r="L315" s="51"/>
    </row>
    <row r="316" spans="1:12" s="16" customFormat="1" ht="24" customHeight="1" x14ac:dyDescent="0.3">
      <c r="A316" s="41"/>
      <c r="B316" s="147"/>
      <c r="C316" s="154">
        <v>26</v>
      </c>
      <c r="D316" s="658"/>
      <c r="E316" s="154"/>
      <c r="F316" s="157"/>
      <c r="G316" s="154"/>
      <c r="H316" s="154"/>
      <c r="I316" s="658"/>
      <c r="J316" s="190"/>
      <c r="K316" s="101"/>
      <c r="L316" s="51"/>
    </row>
    <row r="317" spans="1:12" s="16" customFormat="1" ht="24" customHeight="1" x14ac:dyDescent="0.3">
      <c r="A317" s="41"/>
      <c r="B317" s="147"/>
      <c r="C317" s="158">
        <v>27</v>
      </c>
      <c r="D317" s="661"/>
      <c r="E317" s="158"/>
      <c r="F317" s="159"/>
      <c r="G317" s="158"/>
      <c r="H317" s="158"/>
      <c r="I317" s="661"/>
      <c r="J317" s="191"/>
      <c r="K317" s="101"/>
      <c r="L317" s="51"/>
    </row>
    <row r="318" spans="1:12" s="16" customFormat="1" ht="24" customHeight="1" x14ac:dyDescent="0.3">
      <c r="A318" s="41"/>
      <c r="B318" s="147"/>
      <c r="C318" s="152">
        <v>28</v>
      </c>
      <c r="D318" s="657" t="s">
        <v>73</v>
      </c>
      <c r="E318" s="152"/>
      <c r="F318" s="153"/>
      <c r="G318" s="152"/>
      <c r="H318" s="152"/>
      <c r="I318" s="657" t="s">
        <v>103</v>
      </c>
      <c r="J318" s="192"/>
      <c r="K318" s="101"/>
      <c r="L318" s="51"/>
    </row>
    <row r="319" spans="1:12" s="16" customFormat="1" ht="24" customHeight="1" x14ac:dyDescent="0.3">
      <c r="A319" s="41"/>
      <c r="B319" s="147"/>
      <c r="C319" s="154">
        <v>29</v>
      </c>
      <c r="D319" s="658"/>
      <c r="E319" s="154"/>
      <c r="F319" s="157"/>
      <c r="G319" s="154"/>
      <c r="H319" s="154"/>
      <c r="I319" s="658"/>
      <c r="J319" s="190"/>
      <c r="K319" s="101"/>
      <c r="L319" s="51"/>
    </row>
    <row r="320" spans="1:12" s="16" customFormat="1" ht="24" customHeight="1" x14ac:dyDescent="0.3">
      <c r="A320" s="144"/>
      <c r="B320" s="151"/>
      <c r="C320" s="162">
        <v>30</v>
      </c>
      <c r="D320" s="659"/>
      <c r="E320" s="162"/>
      <c r="F320" s="492"/>
      <c r="G320" s="493"/>
      <c r="H320" s="493"/>
      <c r="I320" s="659"/>
      <c r="J320" s="494"/>
      <c r="K320" s="101"/>
      <c r="L320" s="51"/>
    </row>
    <row r="321" spans="1:12" s="16" customFormat="1" ht="24" customHeight="1" x14ac:dyDescent="0.3">
      <c r="A321" s="29" t="s">
        <v>212</v>
      </c>
      <c r="B321" s="146" t="s">
        <v>23</v>
      </c>
      <c r="C321" s="152">
        <v>1</v>
      </c>
      <c r="D321" s="668" t="s">
        <v>322</v>
      </c>
      <c r="E321" s="396" t="s">
        <v>680</v>
      </c>
      <c r="F321" s="403" t="s">
        <v>680</v>
      </c>
      <c r="G321" s="396" t="s">
        <v>680</v>
      </c>
      <c r="H321" s="396" t="s">
        <v>680</v>
      </c>
      <c r="I321" s="657" t="s">
        <v>103</v>
      </c>
      <c r="J321" s="410" t="s">
        <v>680</v>
      </c>
      <c r="K321" s="101"/>
      <c r="L321" s="51"/>
    </row>
    <row r="322" spans="1:12" s="16" customFormat="1" ht="24" customHeight="1" x14ac:dyDescent="0.3">
      <c r="A322" s="607" t="s">
        <v>12</v>
      </c>
      <c r="B322" s="608"/>
      <c r="C322" s="154">
        <v>2</v>
      </c>
      <c r="D322" s="669"/>
      <c r="E322" s="394" t="s">
        <v>680</v>
      </c>
      <c r="F322" s="397" t="s">
        <v>680</v>
      </c>
      <c r="G322" s="394" t="s">
        <v>680</v>
      </c>
      <c r="H322" s="394" t="s">
        <v>680</v>
      </c>
      <c r="I322" s="658"/>
      <c r="J322" s="410" t="s">
        <v>680</v>
      </c>
      <c r="K322" s="101"/>
      <c r="L322" s="51"/>
    </row>
    <row r="323" spans="1:12" s="16" customFormat="1" ht="24" customHeight="1" x14ac:dyDescent="0.3">
      <c r="A323" s="41"/>
      <c r="B323" s="147"/>
      <c r="C323" s="158">
        <v>3</v>
      </c>
      <c r="D323" s="672"/>
      <c r="E323" s="398" t="s">
        <v>680</v>
      </c>
      <c r="F323" s="399" t="s">
        <v>680</v>
      </c>
      <c r="G323" s="398" t="s">
        <v>680</v>
      </c>
      <c r="H323" s="398" t="s">
        <v>680</v>
      </c>
      <c r="I323" s="661"/>
      <c r="J323" s="191"/>
      <c r="K323" s="101"/>
      <c r="L323" s="51"/>
    </row>
    <row r="324" spans="1:12" s="16" customFormat="1" ht="24" customHeight="1" x14ac:dyDescent="0.3">
      <c r="A324" s="41"/>
      <c r="B324" s="147"/>
      <c r="C324" s="152">
        <v>4</v>
      </c>
      <c r="D324" s="657" t="s">
        <v>322</v>
      </c>
      <c r="E324" s="396" t="s">
        <v>680</v>
      </c>
      <c r="F324" s="403" t="s">
        <v>680</v>
      </c>
      <c r="G324" s="396" t="s">
        <v>680</v>
      </c>
      <c r="H324" s="396" t="s">
        <v>680</v>
      </c>
      <c r="I324" s="657" t="s">
        <v>103</v>
      </c>
      <c r="J324" s="192"/>
      <c r="K324" s="101"/>
      <c r="L324" s="51"/>
    </row>
    <row r="325" spans="1:12" s="16" customFormat="1" ht="24" customHeight="1" x14ac:dyDescent="0.3">
      <c r="A325" s="41"/>
      <c r="B325" s="147"/>
      <c r="C325" s="154">
        <v>5</v>
      </c>
      <c r="D325" s="658"/>
      <c r="E325" s="394" t="s">
        <v>680</v>
      </c>
      <c r="F325" s="157" t="s">
        <v>38</v>
      </c>
      <c r="G325" s="394" t="s">
        <v>680</v>
      </c>
      <c r="H325" s="154" t="s">
        <v>114</v>
      </c>
      <c r="I325" s="658"/>
      <c r="J325" s="190" t="s">
        <v>115</v>
      </c>
      <c r="K325" s="101"/>
      <c r="L325" s="51"/>
    </row>
    <row r="326" spans="1:12" s="16" customFormat="1" ht="24" customHeight="1" x14ac:dyDescent="0.3">
      <c r="A326" s="41"/>
      <c r="B326" s="147"/>
      <c r="C326" s="162">
        <v>6</v>
      </c>
      <c r="D326" s="659"/>
      <c r="E326" s="395" t="s">
        <v>680</v>
      </c>
      <c r="F326" s="405" t="s">
        <v>680</v>
      </c>
      <c r="G326" s="395" t="s">
        <v>680</v>
      </c>
      <c r="H326" s="395" t="s">
        <v>680</v>
      </c>
      <c r="I326" s="659"/>
      <c r="J326" s="193"/>
      <c r="K326" s="101"/>
      <c r="L326" s="51"/>
    </row>
    <row r="327" spans="1:12" s="16" customFormat="1" ht="24" customHeight="1" x14ac:dyDescent="0.3">
      <c r="A327" s="41"/>
      <c r="B327" s="147"/>
      <c r="C327" s="172">
        <v>7</v>
      </c>
      <c r="D327" s="675" t="s">
        <v>18</v>
      </c>
      <c r="E327" s="409" t="s">
        <v>680</v>
      </c>
      <c r="F327" s="180"/>
      <c r="G327" s="409" t="s">
        <v>680</v>
      </c>
      <c r="H327" s="172"/>
      <c r="I327" s="675" t="s">
        <v>17</v>
      </c>
      <c r="J327" s="195"/>
      <c r="K327" s="101"/>
      <c r="L327" s="51"/>
    </row>
    <row r="328" spans="1:12" s="16" customFormat="1" ht="24" customHeight="1" x14ac:dyDescent="0.3">
      <c r="A328" s="41"/>
      <c r="B328" s="147"/>
      <c r="C328" s="154">
        <v>8</v>
      </c>
      <c r="D328" s="666"/>
      <c r="E328" s="394" t="s">
        <v>680</v>
      </c>
      <c r="F328" s="157" t="s">
        <v>210</v>
      </c>
      <c r="G328" s="394" t="s">
        <v>680</v>
      </c>
      <c r="H328" s="154" t="s">
        <v>211</v>
      </c>
      <c r="I328" s="666"/>
      <c r="J328" s="190" t="s">
        <v>214</v>
      </c>
      <c r="K328" s="101"/>
      <c r="L328" s="51"/>
    </row>
    <row r="329" spans="1:12" s="16" customFormat="1" ht="24" customHeight="1" x14ac:dyDescent="0.3">
      <c r="A329" s="41"/>
      <c r="B329" s="147"/>
      <c r="C329" s="158">
        <v>9</v>
      </c>
      <c r="D329" s="676"/>
      <c r="E329" s="398" t="s">
        <v>680</v>
      </c>
      <c r="F329" s="159" t="s">
        <v>116</v>
      </c>
      <c r="G329" s="398" t="s">
        <v>680</v>
      </c>
      <c r="H329" s="158" t="s">
        <v>117</v>
      </c>
      <c r="I329" s="676"/>
      <c r="J329" s="191" t="s">
        <v>90</v>
      </c>
      <c r="K329" s="101"/>
      <c r="L329" s="51"/>
    </row>
    <row r="330" spans="1:12" s="16" customFormat="1" ht="24" customHeight="1" x14ac:dyDescent="0.3">
      <c r="A330" s="41"/>
      <c r="B330" s="147"/>
      <c r="C330" s="152">
        <v>10</v>
      </c>
      <c r="D330" s="657" t="s">
        <v>18</v>
      </c>
      <c r="E330" s="396" t="s">
        <v>680</v>
      </c>
      <c r="F330" s="153"/>
      <c r="G330" s="396" t="s">
        <v>680</v>
      </c>
      <c r="H330" s="152"/>
      <c r="I330" s="657" t="s">
        <v>17</v>
      </c>
      <c r="J330" s="192"/>
      <c r="K330" s="101"/>
      <c r="L330" s="51"/>
    </row>
    <row r="331" spans="1:12" s="16" customFormat="1" ht="24" customHeight="1" x14ac:dyDescent="0.3">
      <c r="A331" s="41"/>
      <c r="B331" s="147"/>
      <c r="C331" s="154">
        <v>11</v>
      </c>
      <c r="D331" s="658"/>
      <c r="E331" s="394" t="s">
        <v>680</v>
      </c>
      <c r="F331" s="157" t="s">
        <v>38</v>
      </c>
      <c r="G331" s="394" t="s">
        <v>680</v>
      </c>
      <c r="H331" s="154" t="s">
        <v>118</v>
      </c>
      <c r="I331" s="658"/>
      <c r="J331" s="190" t="s">
        <v>91</v>
      </c>
      <c r="K331" s="102"/>
      <c r="L331" s="51"/>
    </row>
    <row r="332" spans="1:12" s="16" customFormat="1" ht="24" customHeight="1" x14ac:dyDescent="0.3">
      <c r="A332" s="41"/>
      <c r="B332" s="147"/>
      <c r="C332" s="162">
        <v>12</v>
      </c>
      <c r="D332" s="659"/>
      <c r="E332" s="395" t="s">
        <v>680</v>
      </c>
      <c r="F332" s="405" t="s">
        <v>680</v>
      </c>
      <c r="G332" s="395" t="s">
        <v>680</v>
      </c>
      <c r="H332" s="395" t="s">
        <v>680</v>
      </c>
      <c r="I332" s="659"/>
      <c r="J332" s="415" t="s">
        <v>680</v>
      </c>
      <c r="K332" s="102"/>
      <c r="L332" s="51"/>
    </row>
    <row r="333" spans="1:12" s="16" customFormat="1" ht="24" customHeight="1" x14ac:dyDescent="0.3">
      <c r="A333" s="41"/>
      <c r="B333" s="147"/>
      <c r="C333" s="172">
        <v>13</v>
      </c>
      <c r="D333" s="660" t="s">
        <v>73</v>
      </c>
      <c r="E333" s="172" t="s">
        <v>87</v>
      </c>
      <c r="F333" s="180"/>
      <c r="G333" s="409"/>
      <c r="H333" s="172"/>
      <c r="I333" s="660" t="s">
        <v>17</v>
      </c>
      <c r="J333" s="195"/>
      <c r="K333" s="102"/>
      <c r="L333" s="51"/>
    </row>
    <row r="334" spans="1:12" s="16" customFormat="1" ht="24" customHeight="1" x14ac:dyDescent="0.3">
      <c r="A334" s="41"/>
      <c r="B334" s="147"/>
      <c r="C334" s="154">
        <v>14</v>
      </c>
      <c r="D334" s="658"/>
      <c r="E334" s="154" t="s">
        <v>713</v>
      </c>
      <c r="F334" s="157"/>
      <c r="G334" s="394"/>
      <c r="H334" s="154"/>
      <c r="I334" s="658"/>
      <c r="J334" s="190"/>
      <c r="K334" s="101"/>
      <c r="L334" s="51"/>
    </row>
    <row r="335" spans="1:12" s="16" customFormat="1" ht="24" customHeight="1" x14ac:dyDescent="0.3">
      <c r="A335" s="41"/>
      <c r="B335" s="147"/>
      <c r="C335" s="158">
        <v>15</v>
      </c>
      <c r="D335" s="661"/>
      <c r="E335" s="158" t="s">
        <v>87</v>
      </c>
      <c r="F335" s="159"/>
      <c r="G335" s="158"/>
      <c r="H335" s="158"/>
      <c r="I335" s="661"/>
      <c r="J335" s="191"/>
      <c r="K335" s="101"/>
      <c r="L335" s="51"/>
    </row>
    <row r="336" spans="1:12" s="16" customFormat="1" ht="24" customHeight="1" x14ac:dyDescent="0.3">
      <c r="A336" s="41"/>
      <c r="B336" s="147"/>
      <c r="C336" s="152">
        <v>16</v>
      </c>
      <c r="D336" s="665" t="s">
        <v>17</v>
      </c>
      <c r="E336" s="152" t="s">
        <v>87</v>
      </c>
      <c r="F336" s="153"/>
      <c r="G336" s="396"/>
      <c r="H336" s="152"/>
      <c r="I336" s="668" t="s">
        <v>17</v>
      </c>
      <c r="J336" s="192"/>
      <c r="K336" s="101"/>
      <c r="L336" s="51"/>
    </row>
    <row r="337" spans="1:12" s="16" customFormat="1" ht="24" customHeight="1" x14ac:dyDescent="0.3">
      <c r="A337" s="41"/>
      <c r="B337" s="147"/>
      <c r="C337" s="154">
        <v>17</v>
      </c>
      <c r="D337" s="666"/>
      <c r="E337" s="154" t="s">
        <v>87</v>
      </c>
      <c r="F337" s="157"/>
      <c r="G337" s="394"/>
      <c r="H337" s="154"/>
      <c r="I337" s="669"/>
      <c r="J337" s="190"/>
      <c r="K337" s="101"/>
      <c r="L337" s="51"/>
    </row>
    <row r="338" spans="1:12" s="16" customFormat="1" ht="24" customHeight="1" x14ac:dyDescent="0.3">
      <c r="A338" s="41"/>
      <c r="B338" s="147"/>
      <c r="C338" s="162">
        <v>18</v>
      </c>
      <c r="D338" s="667"/>
      <c r="E338" s="162" t="s">
        <v>87</v>
      </c>
      <c r="F338" s="164"/>
      <c r="G338" s="395"/>
      <c r="H338" s="162"/>
      <c r="I338" s="670"/>
      <c r="J338" s="193"/>
      <c r="K338" s="101"/>
      <c r="L338" s="51"/>
    </row>
    <row r="339" spans="1:12" s="16" customFormat="1" ht="24" customHeight="1" x14ac:dyDescent="0.3">
      <c r="A339" s="41"/>
      <c r="B339" s="147"/>
      <c r="C339" s="172">
        <v>19</v>
      </c>
      <c r="D339" s="671"/>
      <c r="E339" s="409" t="s">
        <v>680</v>
      </c>
      <c r="F339" s="413" t="s">
        <v>680</v>
      </c>
      <c r="G339" s="406" t="s">
        <v>680</v>
      </c>
      <c r="H339" s="409" t="s">
        <v>680</v>
      </c>
      <c r="I339" s="662"/>
      <c r="J339" s="416" t="s">
        <v>680</v>
      </c>
      <c r="K339" s="101"/>
      <c r="L339" s="51"/>
    </row>
    <row r="340" spans="1:12" s="16" customFormat="1" ht="24" customHeight="1" x14ac:dyDescent="0.3">
      <c r="A340" s="41"/>
      <c r="B340" s="147"/>
      <c r="C340" s="154">
        <v>20</v>
      </c>
      <c r="D340" s="669"/>
      <c r="E340" s="394" t="s">
        <v>680</v>
      </c>
      <c r="F340" s="397" t="s">
        <v>680</v>
      </c>
      <c r="G340" s="394" t="s">
        <v>680</v>
      </c>
      <c r="H340" s="394" t="s">
        <v>680</v>
      </c>
      <c r="I340" s="663"/>
      <c r="J340" s="410" t="s">
        <v>680</v>
      </c>
      <c r="K340" s="101"/>
      <c r="L340" s="51"/>
    </row>
    <row r="341" spans="1:12" s="16" customFormat="1" ht="24" customHeight="1" x14ac:dyDescent="0.3">
      <c r="A341" s="41"/>
      <c r="B341" s="147"/>
      <c r="C341" s="158">
        <v>21</v>
      </c>
      <c r="D341" s="672"/>
      <c r="E341" s="398" t="s">
        <v>680</v>
      </c>
      <c r="F341" s="412" t="s">
        <v>680</v>
      </c>
      <c r="G341" s="398" t="s">
        <v>680</v>
      </c>
      <c r="H341" s="398" t="s">
        <v>680</v>
      </c>
      <c r="I341" s="664"/>
      <c r="J341" s="411" t="s">
        <v>680</v>
      </c>
      <c r="K341" s="101"/>
      <c r="L341" s="51"/>
    </row>
    <row r="342" spans="1:12" s="16" customFormat="1" ht="24" customHeight="1" x14ac:dyDescent="0.3">
      <c r="A342" s="41"/>
      <c r="B342" s="147"/>
      <c r="C342" s="152">
        <v>22</v>
      </c>
      <c r="D342" s="657"/>
      <c r="E342" s="152" t="s">
        <v>680</v>
      </c>
      <c r="F342" s="153" t="s">
        <v>680</v>
      </c>
      <c r="G342" s="152" t="s">
        <v>680</v>
      </c>
      <c r="H342" s="152" t="s">
        <v>680</v>
      </c>
      <c r="I342" s="657"/>
      <c r="J342" s="192" t="s">
        <v>680</v>
      </c>
      <c r="K342" s="101"/>
      <c r="L342" s="51"/>
    </row>
    <row r="343" spans="1:12" s="16" customFormat="1" ht="24" customHeight="1" x14ac:dyDescent="0.3">
      <c r="A343" s="41"/>
      <c r="B343" s="147"/>
      <c r="C343" s="154">
        <v>23</v>
      </c>
      <c r="D343" s="658"/>
      <c r="E343" s="154" t="s">
        <v>680</v>
      </c>
      <c r="F343" s="157" t="s">
        <v>680</v>
      </c>
      <c r="G343" s="154" t="s">
        <v>680</v>
      </c>
      <c r="H343" s="154" t="s">
        <v>680</v>
      </c>
      <c r="I343" s="658"/>
      <c r="J343" s="190" t="s">
        <v>680</v>
      </c>
      <c r="K343" s="101"/>
      <c r="L343" s="51"/>
    </row>
    <row r="344" spans="1:12" s="16" customFormat="1" ht="24" customHeight="1" x14ac:dyDescent="0.3">
      <c r="A344" s="41"/>
      <c r="B344" s="147"/>
      <c r="C344" s="162">
        <v>24</v>
      </c>
      <c r="D344" s="659"/>
      <c r="E344" s="162" t="s">
        <v>680</v>
      </c>
      <c r="F344" s="164" t="s">
        <v>680</v>
      </c>
      <c r="G344" s="162" t="s">
        <v>680</v>
      </c>
      <c r="H344" s="162" t="s">
        <v>680</v>
      </c>
      <c r="I344" s="659"/>
      <c r="J344" s="193" t="s">
        <v>680</v>
      </c>
      <c r="K344" s="101"/>
      <c r="L344" s="51"/>
    </row>
    <row r="345" spans="1:12" s="16" customFormat="1" ht="24" customHeight="1" x14ac:dyDescent="0.3">
      <c r="A345" s="41"/>
      <c r="B345" s="147"/>
      <c r="C345" s="172">
        <v>25</v>
      </c>
      <c r="D345" s="660"/>
      <c r="E345" s="172" t="s">
        <v>680</v>
      </c>
      <c r="F345" s="180" t="s">
        <v>680</v>
      </c>
      <c r="G345" s="172" t="s">
        <v>680</v>
      </c>
      <c r="H345" s="172" t="s">
        <v>680</v>
      </c>
      <c r="I345" s="660"/>
      <c r="J345" s="195" t="s">
        <v>680</v>
      </c>
      <c r="K345" s="101"/>
      <c r="L345" s="51"/>
    </row>
    <row r="346" spans="1:12" s="16" customFormat="1" ht="24" customHeight="1" x14ac:dyDescent="0.3">
      <c r="A346" s="41"/>
      <c r="B346" s="147"/>
      <c r="C346" s="154">
        <v>26</v>
      </c>
      <c r="D346" s="658"/>
      <c r="E346" s="154" t="s">
        <v>680</v>
      </c>
      <c r="F346" s="157" t="s">
        <v>680</v>
      </c>
      <c r="G346" s="154" t="s">
        <v>680</v>
      </c>
      <c r="H346" s="154" t="s">
        <v>680</v>
      </c>
      <c r="I346" s="658"/>
      <c r="J346" s="190" t="s">
        <v>680</v>
      </c>
      <c r="K346" s="101"/>
      <c r="L346" s="51"/>
    </row>
    <row r="347" spans="1:12" s="16" customFormat="1" ht="24" customHeight="1" x14ac:dyDescent="0.3">
      <c r="A347" s="41"/>
      <c r="B347" s="147"/>
      <c r="C347" s="158">
        <v>27</v>
      </c>
      <c r="D347" s="661"/>
      <c r="E347" s="158" t="s">
        <v>680</v>
      </c>
      <c r="F347" s="159" t="s">
        <v>680</v>
      </c>
      <c r="G347" s="158" t="s">
        <v>680</v>
      </c>
      <c r="H347" s="158" t="s">
        <v>680</v>
      </c>
      <c r="I347" s="661"/>
      <c r="J347" s="191" t="s">
        <v>680</v>
      </c>
      <c r="K347" s="101"/>
      <c r="L347" s="51"/>
    </row>
    <row r="348" spans="1:12" s="16" customFormat="1" ht="24" customHeight="1" x14ac:dyDescent="0.3">
      <c r="A348" s="41"/>
      <c r="B348" s="147"/>
      <c r="C348" s="152">
        <v>28</v>
      </c>
      <c r="D348" s="657"/>
      <c r="E348" s="152" t="s">
        <v>680</v>
      </c>
      <c r="F348" s="153" t="s">
        <v>680</v>
      </c>
      <c r="G348" s="152" t="s">
        <v>680</v>
      </c>
      <c r="H348" s="152" t="s">
        <v>680</v>
      </c>
      <c r="I348" s="657"/>
      <c r="J348" s="192" t="s">
        <v>680</v>
      </c>
      <c r="K348" s="101"/>
      <c r="L348" s="51"/>
    </row>
    <row r="349" spans="1:12" s="16" customFormat="1" ht="24" customHeight="1" x14ac:dyDescent="0.3">
      <c r="A349" s="41"/>
      <c r="B349" s="147"/>
      <c r="C349" s="154">
        <v>29</v>
      </c>
      <c r="D349" s="658"/>
      <c r="E349" s="154" t="s">
        <v>680</v>
      </c>
      <c r="F349" s="157" t="s">
        <v>680</v>
      </c>
      <c r="G349" s="154" t="s">
        <v>680</v>
      </c>
      <c r="H349" s="154" t="s">
        <v>680</v>
      </c>
      <c r="I349" s="658"/>
      <c r="J349" s="190" t="s">
        <v>680</v>
      </c>
      <c r="K349" s="101"/>
      <c r="L349" s="51"/>
    </row>
    <row r="350" spans="1:12" s="16" customFormat="1" ht="24" customHeight="1" x14ac:dyDescent="0.3">
      <c r="A350" s="144"/>
      <c r="B350" s="151"/>
      <c r="C350" s="162">
        <v>30</v>
      </c>
      <c r="D350" s="659"/>
      <c r="E350" s="162" t="s">
        <v>680</v>
      </c>
      <c r="F350" s="164" t="s">
        <v>680</v>
      </c>
      <c r="G350" s="162" t="s">
        <v>680</v>
      </c>
      <c r="H350" s="162" t="s">
        <v>680</v>
      </c>
      <c r="I350" s="659"/>
      <c r="J350" s="193" t="s">
        <v>680</v>
      </c>
      <c r="K350" s="104"/>
      <c r="L350" s="51"/>
    </row>
    <row r="351" spans="1:12" s="16" customFormat="1" ht="24" customHeight="1" x14ac:dyDescent="0.3">
      <c r="A351" s="29" t="s">
        <v>212</v>
      </c>
      <c r="B351" s="146" t="s">
        <v>43</v>
      </c>
      <c r="C351" s="152">
        <v>1</v>
      </c>
      <c r="D351" s="668" t="s">
        <v>73</v>
      </c>
      <c r="E351" s="396" t="s">
        <v>680</v>
      </c>
      <c r="F351" s="153"/>
      <c r="G351" s="152"/>
      <c r="H351" s="152"/>
      <c r="I351" s="657" t="s">
        <v>73</v>
      </c>
      <c r="J351" s="190"/>
      <c r="K351" s="102"/>
      <c r="L351" s="51"/>
    </row>
    <row r="352" spans="1:12" s="16" customFormat="1" ht="24" customHeight="1" x14ac:dyDescent="0.3">
      <c r="A352" s="607" t="s">
        <v>12</v>
      </c>
      <c r="B352" s="608"/>
      <c r="C352" s="154">
        <v>2</v>
      </c>
      <c r="D352" s="669"/>
      <c r="E352" s="394" t="s">
        <v>680</v>
      </c>
      <c r="F352" s="397" t="s">
        <v>680</v>
      </c>
      <c r="G352" s="394" t="s">
        <v>680</v>
      </c>
      <c r="H352" s="394" t="s">
        <v>680</v>
      </c>
      <c r="I352" s="658"/>
      <c r="J352" s="410" t="s">
        <v>680</v>
      </c>
      <c r="K352" s="102"/>
      <c r="L352" s="51"/>
    </row>
    <row r="353" spans="1:12" s="16" customFormat="1" ht="24" customHeight="1" x14ac:dyDescent="0.3">
      <c r="A353" s="41"/>
      <c r="B353" s="147"/>
      <c r="C353" s="158">
        <v>3</v>
      </c>
      <c r="D353" s="672"/>
      <c r="E353" s="398" t="s">
        <v>680</v>
      </c>
      <c r="F353" s="399" t="s">
        <v>680</v>
      </c>
      <c r="G353" s="398" t="s">
        <v>680</v>
      </c>
      <c r="H353" s="398" t="s">
        <v>680</v>
      </c>
      <c r="I353" s="661"/>
      <c r="J353" s="411" t="s">
        <v>680</v>
      </c>
      <c r="K353" s="101"/>
      <c r="L353" s="51"/>
    </row>
    <row r="354" spans="1:12" s="16" customFormat="1" ht="24" customHeight="1" x14ac:dyDescent="0.3">
      <c r="A354" s="41"/>
      <c r="B354" s="147"/>
      <c r="C354" s="152">
        <v>4</v>
      </c>
      <c r="D354" s="657" t="s">
        <v>73</v>
      </c>
      <c r="E354" s="396" t="s">
        <v>680</v>
      </c>
      <c r="F354" s="153"/>
      <c r="G354" s="396"/>
      <c r="H354" s="152"/>
      <c r="I354" s="657" t="s">
        <v>73</v>
      </c>
      <c r="J354" s="192"/>
      <c r="K354" s="101"/>
      <c r="L354" s="51"/>
    </row>
    <row r="355" spans="1:12" s="16" customFormat="1" ht="24" customHeight="1" x14ac:dyDescent="0.3">
      <c r="A355" s="41"/>
      <c r="B355" s="147"/>
      <c r="C355" s="154">
        <v>5</v>
      </c>
      <c r="D355" s="658"/>
      <c r="E355" s="394" t="s">
        <v>680</v>
      </c>
      <c r="F355" s="157"/>
      <c r="G355" s="394"/>
      <c r="H355" s="154"/>
      <c r="I355" s="658"/>
      <c r="J355" s="190"/>
      <c r="K355" s="102"/>
      <c r="L355" s="51"/>
    </row>
    <row r="356" spans="1:12" s="16" customFormat="1" ht="24" customHeight="1" x14ac:dyDescent="0.3">
      <c r="A356" s="41"/>
      <c r="B356" s="147"/>
      <c r="C356" s="162">
        <v>6</v>
      </c>
      <c r="D356" s="659"/>
      <c r="E356" s="395" t="s">
        <v>680</v>
      </c>
      <c r="F356" s="405" t="s">
        <v>680</v>
      </c>
      <c r="G356" s="395" t="s">
        <v>680</v>
      </c>
      <c r="H356" s="395" t="s">
        <v>680</v>
      </c>
      <c r="I356" s="659"/>
      <c r="J356" s="415" t="s">
        <v>680</v>
      </c>
      <c r="K356" s="102"/>
      <c r="L356" s="51"/>
    </row>
    <row r="357" spans="1:12" s="16" customFormat="1" ht="24" customHeight="1" x14ac:dyDescent="0.3">
      <c r="A357" s="41"/>
      <c r="B357" s="147"/>
      <c r="C357" s="172">
        <v>7</v>
      </c>
      <c r="D357" s="675" t="s">
        <v>18</v>
      </c>
      <c r="E357" s="409" t="s">
        <v>680</v>
      </c>
      <c r="F357" s="180" t="s">
        <v>38</v>
      </c>
      <c r="G357" s="409" t="s">
        <v>680</v>
      </c>
      <c r="H357" s="172" t="s">
        <v>323</v>
      </c>
      <c r="I357" s="675" t="s">
        <v>106</v>
      </c>
      <c r="J357" s="195" t="s">
        <v>76</v>
      </c>
      <c r="K357" s="101"/>
      <c r="L357" s="51"/>
    </row>
    <row r="358" spans="1:12" s="16" customFormat="1" ht="24" customHeight="1" x14ac:dyDescent="0.3">
      <c r="A358" s="41"/>
      <c r="B358" s="147"/>
      <c r="C358" s="154">
        <v>8</v>
      </c>
      <c r="D358" s="666"/>
      <c r="E358" s="394" t="s">
        <v>680</v>
      </c>
      <c r="F358" s="157" t="s">
        <v>38</v>
      </c>
      <c r="G358" s="394" t="s">
        <v>680</v>
      </c>
      <c r="H358" s="154" t="s">
        <v>324</v>
      </c>
      <c r="I358" s="666"/>
      <c r="J358" s="190" t="s">
        <v>330</v>
      </c>
      <c r="K358" s="102"/>
      <c r="L358" s="51"/>
    </row>
    <row r="359" spans="1:12" s="16" customFormat="1" ht="24" customHeight="1" x14ac:dyDescent="0.3">
      <c r="A359" s="41"/>
      <c r="B359" s="147"/>
      <c r="C359" s="158">
        <v>9</v>
      </c>
      <c r="D359" s="676"/>
      <c r="E359" s="398" t="s">
        <v>680</v>
      </c>
      <c r="F359" s="159" t="s">
        <v>38</v>
      </c>
      <c r="G359" s="398" t="s">
        <v>680</v>
      </c>
      <c r="H359" s="158" t="s">
        <v>325</v>
      </c>
      <c r="I359" s="676"/>
      <c r="J359" s="191" t="s">
        <v>331</v>
      </c>
      <c r="K359" s="102"/>
      <c r="L359" s="51"/>
    </row>
    <row r="360" spans="1:12" s="16" customFormat="1" ht="24" customHeight="1" x14ac:dyDescent="0.3">
      <c r="A360" s="41"/>
      <c r="B360" s="147"/>
      <c r="C360" s="152">
        <v>10</v>
      </c>
      <c r="D360" s="657" t="s">
        <v>18</v>
      </c>
      <c r="E360" s="396" t="s">
        <v>680</v>
      </c>
      <c r="F360" s="153" t="s">
        <v>38</v>
      </c>
      <c r="G360" s="396" t="s">
        <v>680</v>
      </c>
      <c r="H360" s="152" t="s">
        <v>326</v>
      </c>
      <c r="I360" s="657" t="s">
        <v>103</v>
      </c>
      <c r="J360" s="192" t="s">
        <v>171</v>
      </c>
      <c r="K360" s="101"/>
      <c r="L360" s="51"/>
    </row>
    <row r="361" spans="1:12" s="16" customFormat="1" ht="24" customHeight="1" x14ac:dyDescent="0.3">
      <c r="A361" s="41"/>
      <c r="B361" s="147"/>
      <c r="C361" s="154">
        <v>11</v>
      </c>
      <c r="D361" s="658"/>
      <c r="E361" s="394" t="s">
        <v>680</v>
      </c>
      <c r="F361" s="157" t="s">
        <v>38</v>
      </c>
      <c r="G361" s="394" t="s">
        <v>680</v>
      </c>
      <c r="H361" s="154" t="s">
        <v>327</v>
      </c>
      <c r="I361" s="658"/>
      <c r="J361" s="190" t="s">
        <v>332</v>
      </c>
      <c r="K361" s="101"/>
      <c r="L361" s="51"/>
    </row>
    <row r="362" spans="1:12" s="16" customFormat="1" ht="24" customHeight="1" x14ac:dyDescent="0.3">
      <c r="A362" s="41"/>
      <c r="B362" s="147"/>
      <c r="C362" s="162">
        <v>12</v>
      </c>
      <c r="D362" s="659"/>
      <c r="E362" s="395" t="s">
        <v>680</v>
      </c>
      <c r="F362" s="164" t="s">
        <v>38</v>
      </c>
      <c r="G362" s="395" t="s">
        <v>680</v>
      </c>
      <c r="H362" s="162" t="s">
        <v>328</v>
      </c>
      <c r="I362" s="659"/>
      <c r="J362" s="193" t="s">
        <v>14</v>
      </c>
      <c r="K362" s="101"/>
      <c r="L362" s="51"/>
    </row>
    <row r="363" spans="1:12" s="16" customFormat="1" ht="24" customHeight="1" x14ac:dyDescent="0.3">
      <c r="A363" s="41"/>
      <c r="B363" s="147"/>
      <c r="C363" s="172">
        <v>13</v>
      </c>
      <c r="D363" s="660" t="s">
        <v>322</v>
      </c>
      <c r="E363" s="409" t="s">
        <v>680</v>
      </c>
      <c r="F363" s="414" t="s">
        <v>680</v>
      </c>
      <c r="G363" s="409" t="s">
        <v>680</v>
      </c>
      <c r="H363" s="409" t="s">
        <v>680</v>
      </c>
      <c r="I363" s="660" t="s">
        <v>103</v>
      </c>
      <c r="J363" s="416" t="s">
        <v>680</v>
      </c>
      <c r="K363" s="101"/>
      <c r="L363" s="51"/>
    </row>
    <row r="364" spans="1:12" s="16" customFormat="1" ht="24" customHeight="1" x14ac:dyDescent="0.3">
      <c r="A364" s="41"/>
      <c r="B364" s="147"/>
      <c r="C364" s="154">
        <v>14</v>
      </c>
      <c r="D364" s="658"/>
      <c r="E364" s="394" t="s">
        <v>680</v>
      </c>
      <c r="F364" s="157" t="s">
        <v>38</v>
      </c>
      <c r="G364" s="394" t="s">
        <v>680</v>
      </c>
      <c r="H364" s="154" t="s">
        <v>329</v>
      </c>
      <c r="I364" s="658"/>
      <c r="J364" s="190" t="s">
        <v>333</v>
      </c>
      <c r="K364" s="101"/>
      <c r="L364" s="53"/>
    </row>
    <row r="365" spans="1:12" s="16" customFormat="1" ht="24" customHeight="1" x14ac:dyDescent="0.3">
      <c r="A365" s="41"/>
      <c r="B365" s="147"/>
      <c r="C365" s="158">
        <v>15</v>
      </c>
      <c r="D365" s="661"/>
      <c r="E365" s="398" t="s">
        <v>680</v>
      </c>
      <c r="F365" s="159" t="s">
        <v>38</v>
      </c>
      <c r="G365" s="398" t="s">
        <v>680</v>
      </c>
      <c r="H365" s="158" t="s">
        <v>123</v>
      </c>
      <c r="I365" s="661"/>
      <c r="J365" s="191" t="s">
        <v>124</v>
      </c>
      <c r="K365" s="101"/>
      <c r="L365" s="51"/>
    </row>
    <row r="366" spans="1:12" s="16" customFormat="1" ht="24" customHeight="1" x14ac:dyDescent="0.3">
      <c r="A366" s="41"/>
      <c r="B366" s="147"/>
      <c r="C366" s="152">
        <v>16</v>
      </c>
      <c r="D366" s="665" t="s">
        <v>103</v>
      </c>
      <c r="E366" s="396" t="s">
        <v>680</v>
      </c>
      <c r="F366" s="403" t="s">
        <v>680</v>
      </c>
      <c r="G366" s="396" t="s">
        <v>680</v>
      </c>
      <c r="H366" s="396" t="s">
        <v>680</v>
      </c>
      <c r="I366" s="668"/>
      <c r="J366" s="417" t="s">
        <v>680</v>
      </c>
      <c r="K366" s="101"/>
      <c r="L366" s="51"/>
    </row>
    <row r="367" spans="1:12" s="16" customFormat="1" ht="24" customHeight="1" x14ac:dyDescent="0.3">
      <c r="A367" s="41"/>
      <c r="B367" s="147"/>
      <c r="C367" s="154">
        <v>17</v>
      </c>
      <c r="D367" s="666"/>
      <c r="E367" s="394" t="s">
        <v>680</v>
      </c>
      <c r="F367" s="397" t="s">
        <v>680</v>
      </c>
      <c r="G367" s="394" t="s">
        <v>680</v>
      </c>
      <c r="H367" s="394" t="s">
        <v>680</v>
      </c>
      <c r="I367" s="669"/>
      <c r="J367" s="410" t="s">
        <v>680</v>
      </c>
      <c r="K367" s="101"/>
      <c r="L367" s="51"/>
    </row>
    <row r="368" spans="1:12" s="16" customFormat="1" ht="24" customHeight="1" x14ac:dyDescent="0.3">
      <c r="A368" s="41"/>
      <c r="B368" s="147"/>
      <c r="C368" s="162">
        <v>18</v>
      </c>
      <c r="D368" s="667"/>
      <c r="E368" s="395" t="s">
        <v>680</v>
      </c>
      <c r="F368" s="405" t="s">
        <v>680</v>
      </c>
      <c r="G368" s="395" t="s">
        <v>680</v>
      </c>
      <c r="H368" s="395" t="s">
        <v>680</v>
      </c>
      <c r="I368" s="670"/>
      <c r="J368" s="415" t="s">
        <v>680</v>
      </c>
      <c r="K368" s="101"/>
      <c r="L368" s="51"/>
    </row>
    <row r="369" spans="1:12" s="16" customFormat="1" ht="24" customHeight="1" x14ac:dyDescent="0.3">
      <c r="A369" s="41"/>
      <c r="B369" s="147"/>
      <c r="C369" s="172">
        <v>19</v>
      </c>
      <c r="D369" s="671" t="s">
        <v>17</v>
      </c>
      <c r="E369" s="409" t="s">
        <v>680</v>
      </c>
      <c r="F369" s="413" t="s">
        <v>680</v>
      </c>
      <c r="G369" s="406" t="s">
        <v>680</v>
      </c>
      <c r="H369" s="409" t="s">
        <v>680</v>
      </c>
      <c r="I369" s="662" t="s">
        <v>102</v>
      </c>
      <c r="J369" s="416" t="s">
        <v>680</v>
      </c>
      <c r="K369" s="101"/>
      <c r="L369" s="51"/>
    </row>
    <row r="370" spans="1:12" s="16" customFormat="1" ht="24" customHeight="1" x14ac:dyDescent="0.3">
      <c r="A370" s="41"/>
      <c r="B370" s="147"/>
      <c r="C370" s="154">
        <v>20</v>
      </c>
      <c r="D370" s="669"/>
      <c r="E370" s="394" t="s">
        <v>680</v>
      </c>
      <c r="F370" s="397" t="s">
        <v>680</v>
      </c>
      <c r="G370" s="394" t="s">
        <v>680</v>
      </c>
      <c r="H370" s="394" t="s">
        <v>680</v>
      </c>
      <c r="I370" s="663"/>
      <c r="J370" s="410" t="s">
        <v>680</v>
      </c>
      <c r="K370" s="101"/>
      <c r="L370" s="51"/>
    </row>
    <row r="371" spans="1:12" s="16" customFormat="1" ht="24" customHeight="1" x14ac:dyDescent="0.3">
      <c r="A371" s="41"/>
      <c r="B371" s="147"/>
      <c r="C371" s="158">
        <v>21</v>
      </c>
      <c r="D371" s="672"/>
      <c r="E371" s="398" t="s">
        <v>680</v>
      </c>
      <c r="F371" s="412" t="s">
        <v>680</v>
      </c>
      <c r="G371" s="398" t="s">
        <v>680</v>
      </c>
      <c r="H371" s="398" t="s">
        <v>680</v>
      </c>
      <c r="I371" s="664"/>
      <c r="J371" s="411" t="s">
        <v>680</v>
      </c>
      <c r="K371" s="101"/>
      <c r="L371" s="51"/>
    </row>
    <row r="372" spans="1:12" s="16" customFormat="1" ht="24" customHeight="1" x14ac:dyDescent="0.3">
      <c r="A372" s="41"/>
      <c r="B372" s="147"/>
      <c r="C372" s="152">
        <v>22</v>
      </c>
      <c r="D372" s="657"/>
      <c r="E372" s="152"/>
      <c r="F372" s="153"/>
      <c r="G372" s="152"/>
      <c r="H372" s="152"/>
      <c r="I372" s="657"/>
      <c r="J372" s="192"/>
      <c r="K372" s="101"/>
      <c r="L372" s="51"/>
    </row>
    <row r="373" spans="1:12" s="16" customFormat="1" ht="24" customHeight="1" x14ac:dyDescent="0.3">
      <c r="A373" s="41"/>
      <c r="B373" s="147"/>
      <c r="C373" s="154">
        <v>23</v>
      </c>
      <c r="D373" s="658"/>
      <c r="E373" s="154"/>
      <c r="F373" s="157"/>
      <c r="G373" s="154"/>
      <c r="H373" s="154"/>
      <c r="I373" s="658"/>
      <c r="J373" s="190"/>
      <c r="K373" s="101"/>
      <c r="L373" s="18"/>
    </row>
    <row r="374" spans="1:12" s="16" customFormat="1" ht="24" customHeight="1" x14ac:dyDescent="0.3">
      <c r="A374" s="41"/>
      <c r="B374" s="147"/>
      <c r="C374" s="162">
        <v>24</v>
      </c>
      <c r="D374" s="659"/>
      <c r="E374" s="162"/>
      <c r="F374" s="164"/>
      <c r="G374" s="162"/>
      <c r="H374" s="162"/>
      <c r="I374" s="659"/>
      <c r="J374" s="193"/>
      <c r="K374" s="101"/>
      <c r="L374" s="51"/>
    </row>
    <row r="375" spans="1:12" s="16" customFormat="1" ht="24" customHeight="1" x14ac:dyDescent="0.3">
      <c r="A375" s="41"/>
      <c r="B375" s="147"/>
      <c r="C375" s="172">
        <v>25</v>
      </c>
      <c r="D375" s="660"/>
      <c r="E375" s="172"/>
      <c r="F375" s="180"/>
      <c r="G375" s="172"/>
      <c r="H375" s="172"/>
      <c r="I375" s="660"/>
      <c r="J375" s="195"/>
      <c r="K375" s="101"/>
      <c r="L375" s="51"/>
    </row>
    <row r="376" spans="1:12" s="16" customFormat="1" ht="24" customHeight="1" x14ac:dyDescent="0.3">
      <c r="A376" s="41"/>
      <c r="B376" s="147"/>
      <c r="C376" s="154">
        <v>26</v>
      </c>
      <c r="D376" s="658"/>
      <c r="E376" s="154"/>
      <c r="F376" s="157"/>
      <c r="G376" s="154"/>
      <c r="H376" s="154"/>
      <c r="I376" s="658"/>
      <c r="J376" s="190"/>
      <c r="K376" s="101"/>
      <c r="L376" s="51"/>
    </row>
    <row r="377" spans="1:12" s="16" customFormat="1" ht="24" customHeight="1" x14ac:dyDescent="0.3">
      <c r="A377" s="41"/>
      <c r="B377" s="147"/>
      <c r="C377" s="158">
        <v>27</v>
      </c>
      <c r="D377" s="661"/>
      <c r="E377" s="158"/>
      <c r="F377" s="159"/>
      <c r="G377" s="158"/>
      <c r="H377" s="158"/>
      <c r="I377" s="661"/>
      <c r="J377" s="191"/>
      <c r="K377" s="101"/>
      <c r="L377" s="51"/>
    </row>
    <row r="378" spans="1:12" s="16" customFormat="1" ht="24" customHeight="1" x14ac:dyDescent="0.3">
      <c r="A378" s="41"/>
      <c r="B378" s="147"/>
      <c r="C378" s="152">
        <v>28</v>
      </c>
      <c r="D378" s="657"/>
      <c r="E378" s="152"/>
      <c r="F378" s="153"/>
      <c r="G378" s="152"/>
      <c r="H378" s="152"/>
      <c r="I378" s="657"/>
      <c r="J378" s="192"/>
      <c r="K378" s="101"/>
      <c r="L378" s="51"/>
    </row>
    <row r="379" spans="1:12" s="16" customFormat="1" ht="24" customHeight="1" x14ac:dyDescent="0.3">
      <c r="A379" s="41"/>
      <c r="B379" s="147"/>
      <c r="C379" s="154">
        <v>29</v>
      </c>
      <c r="D379" s="658"/>
      <c r="E379" s="154"/>
      <c r="F379" s="157"/>
      <c r="G379" s="154"/>
      <c r="H379" s="154"/>
      <c r="I379" s="658"/>
      <c r="J379" s="190"/>
      <c r="K379" s="101"/>
      <c r="L379" s="51"/>
    </row>
    <row r="380" spans="1:12" s="16" customFormat="1" ht="24" customHeight="1" x14ac:dyDescent="0.3">
      <c r="A380" s="144"/>
      <c r="B380" s="151"/>
      <c r="C380" s="162">
        <v>30</v>
      </c>
      <c r="D380" s="659"/>
      <c r="E380" s="162"/>
      <c r="F380" s="164"/>
      <c r="G380" s="162"/>
      <c r="H380" s="162"/>
      <c r="I380" s="659"/>
      <c r="J380" s="193"/>
      <c r="K380" s="101"/>
      <c r="L380" s="51"/>
    </row>
    <row r="381" spans="1:12" s="16" customFormat="1" ht="24" customHeight="1" x14ac:dyDescent="0.3">
      <c r="A381" s="29" t="s">
        <v>212</v>
      </c>
      <c r="B381" s="146" t="s">
        <v>33</v>
      </c>
      <c r="C381" s="152">
        <v>1</v>
      </c>
      <c r="D381" s="668" t="s">
        <v>73</v>
      </c>
      <c r="E381" s="396" t="s">
        <v>680</v>
      </c>
      <c r="F381" s="153" t="s">
        <v>36</v>
      </c>
      <c r="G381" s="152" t="s">
        <v>680</v>
      </c>
      <c r="H381" s="490" t="s">
        <v>183</v>
      </c>
      <c r="I381" s="657" t="s">
        <v>73</v>
      </c>
      <c r="J381" s="491" t="s">
        <v>187</v>
      </c>
      <c r="K381" s="101"/>
      <c r="L381" s="51"/>
    </row>
    <row r="382" spans="1:12" s="16" customFormat="1" ht="24" customHeight="1" x14ac:dyDescent="0.3">
      <c r="A382" s="607" t="s">
        <v>12</v>
      </c>
      <c r="B382" s="608"/>
      <c r="C382" s="154">
        <v>2</v>
      </c>
      <c r="D382" s="669"/>
      <c r="E382" s="394" t="s">
        <v>680</v>
      </c>
      <c r="F382" s="157" t="s">
        <v>36</v>
      </c>
      <c r="G382" s="154" t="s">
        <v>680</v>
      </c>
      <c r="H382" s="154" t="s">
        <v>184</v>
      </c>
      <c r="I382" s="658"/>
      <c r="J382" s="190" t="s">
        <v>186</v>
      </c>
      <c r="K382" s="101"/>
      <c r="L382" s="51"/>
    </row>
    <row r="383" spans="1:12" s="16" customFormat="1" ht="24" customHeight="1" x14ac:dyDescent="0.3">
      <c r="A383" s="41"/>
      <c r="B383" s="147"/>
      <c r="C383" s="158">
        <v>3</v>
      </c>
      <c r="D383" s="672"/>
      <c r="E383" s="398" t="s">
        <v>680</v>
      </c>
      <c r="F383" s="399" t="s">
        <v>680</v>
      </c>
      <c r="G383" s="158" t="s">
        <v>680</v>
      </c>
      <c r="H383" s="398" t="s">
        <v>680</v>
      </c>
      <c r="I383" s="661"/>
      <c r="J383" s="411" t="s">
        <v>680</v>
      </c>
      <c r="K383" s="101"/>
      <c r="L383" s="51"/>
    </row>
    <row r="384" spans="1:12" s="16" customFormat="1" ht="24" customHeight="1" x14ac:dyDescent="0.3">
      <c r="A384" s="41"/>
      <c r="B384" s="147"/>
      <c r="C384" s="152">
        <v>4</v>
      </c>
      <c r="D384" s="657" t="s">
        <v>103</v>
      </c>
      <c r="E384" s="152" t="s">
        <v>680</v>
      </c>
      <c r="F384" s="153" t="s">
        <v>36</v>
      </c>
      <c r="G384" s="152" t="s">
        <v>680</v>
      </c>
      <c r="H384" s="152" t="s">
        <v>182</v>
      </c>
      <c r="I384" s="657" t="s">
        <v>73</v>
      </c>
      <c r="J384" s="192" t="s">
        <v>188</v>
      </c>
      <c r="K384" s="101"/>
      <c r="L384" s="51"/>
    </row>
    <row r="385" spans="1:12" s="16" customFormat="1" ht="24" customHeight="1" x14ac:dyDescent="0.3">
      <c r="A385" s="41"/>
      <c r="B385" s="147"/>
      <c r="C385" s="154">
        <v>5</v>
      </c>
      <c r="D385" s="658"/>
      <c r="E385" s="154" t="s">
        <v>680</v>
      </c>
      <c r="F385" s="397" t="s">
        <v>680</v>
      </c>
      <c r="G385" s="154" t="s">
        <v>680</v>
      </c>
      <c r="H385" s="394" t="s">
        <v>680</v>
      </c>
      <c r="I385" s="658"/>
      <c r="J385" s="410" t="s">
        <v>680</v>
      </c>
      <c r="K385" s="102"/>
      <c r="L385" s="51"/>
    </row>
    <row r="386" spans="1:12" s="16" customFormat="1" ht="24" customHeight="1" x14ac:dyDescent="0.3">
      <c r="A386" s="41"/>
      <c r="B386" s="147"/>
      <c r="C386" s="162">
        <v>6</v>
      </c>
      <c r="D386" s="659"/>
      <c r="E386" s="162" t="s">
        <v>680</v>
      </c>
      <c r="F386" s="405" t="s">
        <v>680</v>
      </c>
      <c r="G386" s="162" t="s">
        <v>680</v>
      </c>
      <c r="H386" s="395" t="s">
        <v>680</v>
      </c>
      <c r="I386" s="659"/>
      <c r="J386" s="415" t="s">
        <v>680</v>
      </c>
      <c r="K386" s="103"/>
      <c r="L386" s="51"/>
    </row>
    <row r="387" spans="1:12" s="16" customFormat="1" ht="24" customHeight="1" x14ac:dyDescent="0.3">
      <c r="A387" s="41"/>
      <c r="B387" s="147"/>
      <c r="C387" s="172">
        <v>7</v>
      </c>
      <c r="D387" s="675" t="s">
        <v>17</v>
      </c>
      <c r="E387" s="172" t="s">
        <v>680</v>
      </c>
      <c r="F387" s="180" t="s">
        <v>680</v>
      </c>
      <c r="G387" s="172" t="s">
        <v>680</v>
      </c>
      <c r="H387" s="172" t="s">
        <v>680</v>
      </c>
      <c r="I387" s="675" t="s">
        <v>73</v>
      </c>
      <c r="J387" s="195" t="s">
        <v>680</v>
      </c>
      <c r="K387" s="101"/>
      <c r="L387" s="51"/>
    </row>
    <row r="388" spans="1:12" s="16" customFormat="1" ht="24" customHeight="1" x14ac:dyDescent="0.3">
      <c r="A388" s="41"/>
      <c r="B388" s="147"/>
      <c r="C388" s="154">
        <v>8</v>
      </c>
      <c r="D388" s="666"/>
      <c r="E388" s="154" t="s">
        <v>680</v>
      </c>
      <c r="F388" s="157" t="s">
        <v>680</v>
      </c>
      <c r="G388" s="154" t="s">
        <v>680</v>
      </c>
      <c r="H388" s="154" t="s">
        <v>680</v>
      </c>
      <c r="I388" s="666"/>
      <c r="J388" s="190" t="s">
        <v>680</v>
      </c>
      <c r="K388" s="102"/>
      <c r="L388" s="51"/>
    </row>
    <row r="389" spans="1:12" s="16" customFormat="1" ht="24" customHeight="1" x14ac:dyDescent="0.3">
      <c r="A389" s="41"/>
      <c r="B389" s="147"/>
      <c r="C389" s="158">
        <v>9</v>
      </c>
      <c r="D389" s="676"/>
      <c r="E389" s="158" t="s">
        <v>680</v>
      </c>
      <c r="F389" s="159" t="s">
        <v>680</v>
      </c>
      <c r="G389" s="158" t="s">
        <v>680</v>
      </c>
      <c r="H389" s="158" t="s">
        <v>680</v>
      </c>
      <c r="I389" s="676"/>
      <c r="J389" s="191" t="s">
        <v>680</v>
      </c>
      <c r="K389" s="102"/>
      <c r="L389" s="53"/>
    </row>
    <row r="390" spans="1:12" s="16" customFormat="1" ht="24" customHeight="1" x14ac:dyDescent="0.3">
      <c r="A390" s="41"/>
      <c r="B390" s="147"/>
      <c r="C390" s="152">
        <v>10</v>
      </c>
      <c r="D390" s="657"/>
      <c r="E390" s="152"/>
      <c r="F390" s="153"/>
      <c r="G390" s="152"/>
      <c r="H390" s="152"/>
      <c r="I390" s="657"/>
      <c r="J390" s="192"/>
      <c r="K390" s="101"/>
      <c r="L390" s="51"/>
    </row>
    <row r="391" spans="1:12" s="16" customFormat="1" ht="24" customHeight="1" x14ac:dyDescent="0.3">
      <c r="A391" s="41"/>
      <c r="B391" s="147"/>
      <c r="C391" s="154">
        <v>11</v>
      </c>
      <c r="D391" s="658"/>
      <c r="E391" s="154"/>
      <c r="F391" s="157"/>
      <c r="G391" s="154"/>
      <c r="H391" s="154"/>
      <c r="I391" s="658"/>
      <c r="J391" s="190"/>
      <c r="K391" s="102"/>
      <c r="L391" s="51"/>
    </row>
    <row r="392" spans="1:12" s="16" customFormat="1" ht="24" customHeight="1" x14ac:dyDescent="0.3">
      <c r="A392" s="41"/>
      <c r="B392" s="147"/>
      <c r="C392" s="162">
        <v>12</v>
      </c>
      <c r="D392" s="659"/>
      <c r="E392" s="162"/>
      <c r="F392" s="164"/>
      <c r="G392" s="162"/>
      <c r="H392" s="162"/>
      <c r="I392" s="659"/>
      <c r="J392" s="193"/>
      <c r="K392" s="102"/>
      <c r="L392" s="51"/>
    </row>
    <row r="393" spans="1:12" s="16" customFormat="1" ht="24" customHeight="1" x14ac:dyDescent="0.3">
      <c r="A393" s="41"/>
      <c r="B393" s="147"/>
      <c r="C393" s="172">
        <v>13</v>
      </c>
      <c r="D393" s="660"/>
      <c r="E393" s="172"/>
      <c r="F393" s="180"/>
      <c r="G393" s="172"/>
      <c r="H393" s="172"/>
      <c r="I393" s="660"/>
      <c r="J393" s="195"/>
      <c r="K393" s="102"/>
      <c r="L393" s="51"/>
    </row>
    <row r="394" spans="1:12" s="16" customFormat="1" ht="24" customHeight="1" x14ac:dyDescent="0.3">
      <c r="A394" s="41"/>
      <c r="B394" s="147"/>
      <c r="C394" s="154">
        <v>14</v>
      </c>
      <c r="D394" s="658"/>
      <c r="E394" s="154"/>
      <c r="F394" s="157"/>
      <c r="G394" s="154"/>
      <c r="H394" s="154"/>
      <c r="I394" s="658"/>
      <c r="J394" s="190"/>
      <c r="K394" s="102"/>
      <c r="L394" s="51"/>
    </row>
    <row r="395" spans="1:12" ht="24" customHeight="1" x14ac:dyDescent="0.3">
      <c r="A395" s="41"/>
      <c r="B395" s="147"/>
      <c r="C395" s="158">
        <v>15</v>
      </c>
      <c r="D395" s="661"/>
      <c r="E395" s="158"/>
      <c r="F395" s="159"/>
      <c r="G395" s="158"/>
      <c r="H395" s="158"/>
      <c r="I395" s="661"/>
      <c r="J395" s="191"/>
    </row>
    <row r="396" spans="1:12" ht="24" customHeight="1" x14ac:dyDescent="0.3">
      <c r="A396" s="41"/>
      <c r="B396" s="147"/>
      <c r="C396" s="152">
        <v>16</v>
      </c>
      <c r="D396" s="665"/>
      <c r="E396" s="152"/>
      <c r="F396" s="153"/>
      <c r="G396" s="152"/>
      <c r="H396" s="152"/>
      <c r="I396" s="668"/>
      <c r="J396" s="192"/>
    </row>
    <row r="397" spans="1:12" ht="24" customHeight="1" x14ac:dyDescent="0.3">
      <c r="A397" s="41"/>
      <c r="B397" s="147"/>
      <c r="C397" s="154">
        <v>17</v>
      </c>
      <c r="D397" s="666"/>
      <c r="E397" s="154"/>
      <c r="F397" s="157"/>
      <c r="G397" s="154"/>
      <c r="H397" s="154"/>
      <c r="I397" s="669"/>
      <c r="J397" s="190"/>
    </row>
    <row r="398" spans="1:12" ht="24" customHeight="1" x14ac:dyDescent="0.3">
      <c r="A398" s="41"/>
      <c r="B398" s="147"/>
      <c r="C398" s="162">
        <v>18</v>
      </c>
      <c r="D398" s="667"/>
      <c r="E398" s="162"/>
      <c r="F398" s="164"/>
      <c r="G398" s="162"/>
      <c r="H398" s="162"/>
      <c r="I398" s="670"/>
      <c r="J398" s="193"/>
    </row>
    <row r="399" spans="1:12" ht="24" customHeight="1" x14ac:dyDescent="0.3">
      <c r="A399" s="41"/>
      <c r="B399" s="147"/>
      <c r="C399" s="172">
        <v>19</v>
      </c>
      <c r="D399" s="671"/>
      <c r="E399" s="172"/>
      <c r="F399" s="174"/>
      <c r="G399" s="173"/>
      <c r="H399" s="172"/>
      <c r="I399" s="662"/>
      <c r="J399" s="195"/>
    </row>
    <row r="400" spans="1:12" ht="24" customHeight="1" x14ac:dyDescent="0.3">
      <c r="A400" s="41"/>
      <c r="B400" s="147"/>
      <c r="C400" s="154">
        <v>20</v>
      </c>
      <c r="D400" s="669"/>
      <c r="E400" s="154"/>
      <c r="F400" s="157"/>
      <c r="G400" s="154"/>
      <c r="H400" s="154"/>
      <c r="I400" s="663"/>
      <c r="J400" s="190"/>
    </row>
    <row r="401" spans="1:11" ht="24" customHeight="1" x14ac:dyDescent="0.3">
      <c r="A401" s="41"/>
      <c r="B401" s="147"/>
      <c r="C401" s="158">
        <v>21</v>
      </c>
      <c r="D401" s="672"/>
      <c r="E401" s="158"/>
      <c r="F401" s="166"/>
      <c r="G401" s="158"/>
      <c r="H401" s="158"/>
      <c r="I401" s="664"/>
      <c r="J401" s="191"/>
    </row>
    <row r="402" spans="1:11" ht="24" customHeight="1" x14ac:dyDescent="0.3">
      <c r="A402" s="41"/>
      <c r="B402" s="147"/>
      <c r="C402" s="152">
        <v>22</v>
      </c>
      <c r="D402" s="657"/>
      <c r="E402" s="152"/>
      <c r="F402" s="153"/>
      <c r="G402" s="152"/>
      <c r="H402" s="152"/>
      <c r="I402" s="657"/>
      <c r="J402" s="192"/>
    </row>
    <row r="403" spans="1:11" ht="24" customHeight="1" x14ac:dyDescent="0.3">
      <c r="A403" s="41"/>
      <c r="B403" s="147"/>
      <c r="C403" s="154">
        <v>23</v>
      </c>
      <c r="D403" s="658"/>
      <c r="E403" s="154"/>
      <c r="F403" s="157"/>
      <c r="G403" s="154"/>
      <c r="H403" s="154"/>
      <c r="I403" s="658"/>
      <c r="J403" s="190"/>
    </row>
    <row r="404" spans="1:11" ht="24" customHeight="1" x14ac:dyDescent="0.3">
      <c r="A404" s="41"/>
      <c r="B404" s="147"/>
      <c r="C404" s="162">
        <v>24</v>
      </c>
      <c r="D404" s="659"/>
      <c r="E404" s="162"/>
      <c r="F404" s="164"/>
      <c r="G404" s="162"/>
      <c r="H404" s="162"/>
      <c r="I404" s="659"/>
      <c r="J404" s="193"/>
      <c r="K404" s="6" t="s">
        <v>377</v>
      </c>
    </row>
    <row r="405" spans="1:11" ht="24" customHeight="1" x14ac:dyDescent="0.3">
      <c r="A405" s="41"/>
      <c r="B405" s="147"/>
      <c r="C405" s="172">
        <v>25</v>
      </c>
      <c r="D405" s="660"/>
      <c r="E405" s="172"/>
      <c r="F405" s="180"/>
      <c r="G405" s="172"/>
      <c r="H405" s="172"/>
      <c r="I405" s="660"/>
      <c r="J405" s="195"/>
    </row>
    <row r="406" spans="1:11" ht="24" customHeight="1" x14ac:dyDescent="0.3">
      <c r="A406" s="41"/>
      <c r="B406" s="147"/>
      <c r="C406" s="154">
        <v>26</v>
      </c>
      <c r="D406" s="658"/>
      <c r="E406" s="154"/>
      <c r="F406" s="157"/>
      <c r="G406" s="154"/>
      <c r="H406" s="154"/>
      <c r="I406" s="658"/>
      <c r="J406" s="190"/>
    </row>
    <row r="407" spans="1:11" ht="24" customHeight="1" x14ac:dyDescent="0.3">
      <c r="A407" s="41"/>
      <c r="B407" s="147"/>
      <c r="C407" s="158">
        <v>27</v>
      </c>
      <c r="D407" s="661"/>
      <c r="E407" s="158"/>
      <c r="F407" s="159"/>
      <c r="G407" s="158"/>
      <c r="H407" s="158"/>
      <c r="I407" s="661"/>
      <c r="J407" s="191"/>
    </row>
    <row r="408" spans="1:11" ht="24" customHeight="1" x14ac:dyDescent="0.3">
      <c r="A408" s="41"/>
      <c r="B408" s="147"/>
      <c r="C408" s="152">
        <v>28</v>
      </c>
      <c r="D408" s="657"/>
      <c r="E408" s="152"/>
      <c r="F408" s="153"/>
      <c r="G408" s="152"/>
      <c r="H408" s="152"/>
      <c r="I408" s="657"/>
      <c r="J408" s="192"/>
    </row>
    <row r="409" spans="1:11" ht="24" customHeight="1" x14ac:dyDescent="0.3">
      <c r="A409" s="41"/>
      <c r="B409" s="147"/>
      <c r="C409" s="154">
        <v>29</v>
      </c>
      <c r="D409" s="658"/>
      <c r="E409" s="154"/>
      <c r="F409" s="157"/>
      <c r="G409" s="154"/>
      <c r="H409" s="154"/>
      <c r="I409" s="658"/>
      <c r="J409" s="190"/>
    </row>
    <row r="410" spans="1:11" ht="24" customHeight="1" x14ac:dyDescent="0.3">
      <c r="A410" s="144"/>
      <c r="B410" s="151"/>
      <c r="C410" s="162">
        <v>30</v>
      </c>
      <c r="D410" s="659"/>
      <c r="E410" s="162"/>
      <c r="F410" s="164"/>
      <c r="G410" s="162"/>
      <c r="H410" s="162"/>
      <c r="I410" s="659"/>
      <c r="J410" s="193"/>
    </row>
    <row r="411" spans="1:11" ht="24" customHeight="1" x14ac:dyDescent="0.3">
      <c r="A411" s="29" t="s">
        <v>212</v>
      </c>
      <c r="B411" s="146" t="s">
        <v>83</v>
      </c>
      <c r="C411" s="154">
        <v>1</v>
      </c>
      <c r="D411" s="622" t="s">
        <v>17</v>
      </c>
      <c r="E411" s="160"/>
      <c r="F411" s="157"/>
      <c r="G411" s="154"/>
      <c r="H411" s="154"/>
      <c r="I411" s="622" t="s">
        <v>17</v>
      </c>
      <c r="J411" s="154"/>
    </row>
    <row r="412" spans="1:11" ht="24" customHeight="1" x14ac:dyDescent="0.3">
      <c r="A412" s="620" t="s">
        <v>295</v>
      </c>
      <c r="B412" s="621"/>
      <c r="C412" s="154">
        <v>2</v>
      </c>
      <c r="D412" s="622"/>
      <c r="E412" s="160"/>
      <c r="F412" s="157"/>
      <c r="G412" s="154"/>
      <c r="H412" s="154"/>
      <c r="I412" s="622"/>
      <c r="J412" s="154"/>
    </row>
    <row r="413" spans="1:11" ht="24" customHeight="1" x14ac:dyDescent="0.3">
      <c r="A413" s="41"/>
      <c r="B413" s="147"/>
      <c r="C413" s="154">
        <v>3</v>
      </c>
      <c r="D413" s="622"/>
      <c r="E413" s="160"/>
      <c r="F413" s="157"/>
      <c r="G413" s="160"/>
      <c r="H413" s="154"/>
      <c r="I413" s="622"/>
      <c r="J413" s="154"/>
    </row>
    <row r="414" spans="1:11" ht="24" customHeight="1" x14ac:dyDescent="0.3">
      <c r="A414" s="41"/>
      <c r="B414" s="147"/>
      <c r="C414" s="154">
        <v>4</v>
      </c>
      <c r="D414" s="622"/>
      <c r="E414" s="160"/>
      <c r="F414" s="157"/>
      <c r="G414" s="160"/>
      <c r="H414" s="154"/>
      <c r="I414" s="622"/>
      <c r="J414" s="154"/>
    </row>
    <row r="415" spans="1:11" ht="24" customHeight="1" x14ac:dyDescent="0.3">
      <c r="A415" s="41"/>
      <c r="B415" s="147"/>
      <c r="C415" s="154">
        <v>5</v>
      </c>
      <c r="D415" s="622"/>
      <c r="E415" s="160"/>
      <c r="F415" s="157"/>
      <c r="G415" s="160"/>
      <c r="H415" s="154"/>
      <c r="I415" s="622"/>
      <c r="J415" s="154"/>
    </row>
    <row r="416" spans="1:11" ht="24" customHeight="1" x14ac:dyDescent="0.3">
      <c r="A416" s="41"/>
      <c r="B416" s="147"/>
      <c r="C416" s="158">
        <v>6</v>
      </c>
      <c r="D416" s="674"/>
      <c r="E416" s="165"/>
      <c r="F416" s="157"/>
      <c r="G416" s="165"/>
      <c r="H416" s="158"/>
      <c r="I416" s="674"/>
      <c r="J416" s="158"/>
    </row>
    <row r="417" spans="1:10" ht="24" customHeight="1" x14ac:dyDescent="0.3">
      <c r="A417" s="41"/>
      <c r="B417" s="147"/>
      <c r="C417" s="152">
        <v>7</v>
      </c>
      <c r="D417" s="622" t="s">
        <v>17</v>
      </c>
      <c r="E417" s="167"/>
      <c r="F417" s="168"/>
      <c r="G417" s="167"/>
      <c r="H417" s="152"/>
      <c r="I417" s="622" t="s">
        <v>17</v>
      </c>
      <c r="J417" s="152"/>
    </row>
    <row r="418" spans="1:10" ht="24" customHeight="1" x14ac:dyDescent="0.3">
      <c r="A418" s="41"/>
      <c r="B418" s="147"/>
      <c r="C418" s="154">
        <v>8</v>
      </c>
      <c r="D418" s="622"/>
      <c r="E418" s="160"/>
      <c r="F418" s="157"/>
      <c r="G418" s="160"/>
      <c r="H418" s="154"/>
      <c r="I418" s="622"/>
      <c r="J418" s="154"/>
    </row>
    <row r="419" spans="1:10" ht="24" customHeight="1" x14ac:dyDescent="0.3">
      <c r="A419" s="41"/>
      <c r="B419" s="147"/>
      <c r="C419" s="154">
        <v>9</v>
      </c>
      <c r="D419" s="622"/>
      <c r="E419" s="160"/>
      <c r="F419" s="157"/>
      <c r="G419" s="154"/>
      <c r="H419" s="154"/>
      <c r="I419" s="622"/>
      <c r="J419" s="154"/>
    </row>
    <row r="420" spans="1:10" ht="24" customHeight="1" x14ac:dyDescent="0.3">
      <c r="A420" s="41"/>
      <c r="B420" s="147"/>
      <c r="C420" s="154">
        <v>10</v>
      </c>
      <c r="D420" s="622"/>
      <c r="E420" s="160"/>
      <c r="F420" s="157"/>
      <c r="G420" s="154"/>
      <c r="H420" s="154"/>
      <c r="I420" s="622"/>
      <c r="J420" s="154"/>
    </row>
    <row r="421" spans="1:10" ht="24" customHeight="1" x14ac:dyDescent="0.3">
      <c r="A421" s="41"/>
      <c r="B421" s="147"/>
      <c r="C421" s="154">
        <v>11</v>
      </c>
      <c r="D421" s="622"/>
      <c r="E421" s="160"/>
      <c r="F421" s="157"/>
      <c r="G421" s="160"/>
      <c r="H421" s="154"/>
      <c r="I421" s="622"/>
      <c r="J421" s="154"/>
    </row>
    <row r="422" spans="1:10" ht="24" customHeight="1" x14ac:dyDescent="0.3">
      <c r="A422" s="41"/>
      <c r="B422" s="147"/>
      <c r="C422" s="162">
        <v>12</v>
      </c>
      <c r="D422" s="622"/>
      <c r="E422" s="163"/>
      <c r="F422" s="171"/>
      <c r="G422" s="163"/>
      <c r="H422" s="162"/>
      <c r="I422" s="674"/>
      <c r="J422" s="162"/>
    </row>
    <row r="423" spans="1:10" ht="24" customHeight="1" x14ac:dyDescent="0.3">
      <c r="A423" s="41"/>
      <c r="B423" s="147"/>
      <c r="C423" s="172">
        <v>13</v>
      </c>
      <c r="D423" s="673" t="s">
        <v>17</v>
      </c>
      <c r="E423" s="173"/>
      <c r="F423" s="232" t="s">
        <v>36</v>
      </c>
      <c r="G423" s="481"/>
      <c r="H423" s="232" t="s">
        <v>786</v>
      </c>
      <c r="I423" s="622" t="s">
        <v>17</v>
      </c>
      <c r="J423" s="203" t="s">
        <v>771</v>
      </c>
    </row>
    <row r="424" spans="1:10" ht="24" customHeight="1" x14ac:dyDescent="0.3">
      <c r="A424" s="41"/>
      <c r="B424" s="147"/>
      <c r="C424" s="154">
        <v>14</v>
      </c>
      <c r="D424" s="622"/>
      <c r="E424" s="160"/>
      <c r="F424" s="477" t="s">
        <v>36</v>
      </c>
      <c r="G424" s="477" t="s">
        <v>680</v>
      </c>
      <c r="H424" s="477" t="s">
        <v>779</v>
      </c>
      <c r="I424" s="622"/>
      <c r="J424" s="478" t="s">
        <v>778</v>
      </c>
    </row>
    <row r="425" spans="1:10" ht="24" customHeight="1" x14ac:dyDescent="0.3">
      <c r="A425" s="41"/>
      <c r="B425" s="147"/>
      <c r="C425" s="154">
        <v>15</v>
      </c>
      <c r="D425" s="622"/>
      <c r="E425" s="160"/>
      <c r="F425" s="201" t="s">
        <v>36</v>
      </c>
      <c r="G425" s="477" t="s">
        <v>680</v>
      </c>
      <c r="H425" s="201" t="s">
        <v>787</v>
      </c>
      <c r="I425" s="622"/>
      <c r="J425" s="291" t="s">
        <v>776</v>
      </c>
    </row>
    <row r="426" spans="1:10" ht="24" customHeight="1" x14ac:dyDescent="0.3">
      <c r="A426" s="41"/>
      <c r="B426" s="147"/>
      <c r="C426" s="154">
        <v>16</v>
      </c>
      <c r="D426" s="622"/>
      <c r="E426" s="160"/>
      <c r="F426" s="477" t="s">
        <v>36</v>
      </c>
      <c r="G426" s="477" t="s">
        <v>680</v>
      </c>
      <c r="H426" s="477" t="s">
        <v>781</v>
      </c>
      <c r="I426" s="622"/>
      <c r="J426" s="478" t="s">
        <v>780</v>
      </c>
    </row>
    <row r="427" spans="1:10" ht="24" customHeight="1" x14ac:dyDescent="0.3">
      <c r="A427" s="41"/>
      <c r="B427" s="147"/>
      <c r="C427" s="154">
        <v>17</v>
      </c>
      <c r="D427" s="622"/>
      <c r="E427" s="160"/>
      <c r="F427" s="161"/>
      <c r="G427" s="160"/>
      <c r="H427" s="154"/>
      <c r="I427" s="622"/>
      <c r="J427" s="154"/>
    </row>
    <row r="428" spans="1:10" ht="24" customHeight="1" x14ac:dyDescent="0.3">
      <c r="A428" s="41"/>
      <c r="B428" s="147"/>
      <c r="C428" s="158">
        <v>18</v>
      </c>
      <c r="D428" s="674"/>
      <c r="E428" s="165"/>
      <c r="F428" s="166"/>
      <c r="G428" s="165"/>
      <c r="H428" s="158"/>
      <c r="I428" s="674"/>
      <c r="J428" s="158"/>
    </row>
    <row r="429" spans="1:10" ht="24" customHeight="1" x14ac:dyDescent="0.3">
      <c r="A429" s="41"/>
      <c r="B429" s="147"/>
      <c r="C429" s="152">
        <v>19</v>
      </c>
      <c r="D429" s="673" t="s">
        <v>17</v>
      </c>
      <c r="E429" s="167"/>
      <c r="F429" s="168"/>
      <c r="G429" s="167"/>
      <c r="H429" s="153"/>
      <c r="I429" s="629" t="s">
        <v>103</v>
      </c>
      <c r="J429" s="152"/>
    </row>
    <row r="430" spans="1:10" ht="24" customHeight="1" x14ac:dyDescent="0.3">
      <c r="A430" s="41"/>
      <c r="B430" s="147"/>
      <c r="C430" s="154">
        <v>20</v>
      </c>
      <c r="D430" s="622"/>
      <c r="E430" s="160"/>
      <c r="F430" s="161"/>
      <c r="G430" s="160"/>
      <c r="H430" s="157"/>
      <c r="I430" s="629"/>
      <c r="J430" s="154"/>
    </row>
    <row r="431" spans="1:10" ht="24" customHeight="1" x14ac:dyDescent="0.3">
      <c r="A431" s="41"/>
      <c r="B431" s="147"/>
      <c r="C431" s="154">
        <v>21</v>
      </c>
      <c r="D431" s="622"/>
      <c r="E431" s="160"/>
      <c r="F431" s="161"/>
      <c r="G431" s="160"/>
      <c r="H431" s="154"/>
      <c r="I431" s="629"/>
      <c r="J431" s="154"/>
    </row>
    <row r="432" spans="1:10" ht="24" customHeight="1" x14ac:dyDescent="0.3">
      <c r="A432" s="41"/>
      <c r="B432" s="147"/>
      <c r="C432" s="154">
        <v>22</v>
      </c>
      <c r="D432" s="622"/>
      <c r="E432" s="160"/>
      <c r="F432" s="161"/>
      <c r="G432" s="160"/>
      <c r="H432" s="154"/>
      <c r="I432" s="629"/>
      <c r="J432" s="154"/>
    </row>
    <row r="433" spans="1:10" ht="24" customHeight="1" x14ac:dyDescent="0.3">
      <c r="A433" s="41"/>
      <c r="B433" s="147"/>
      <c r="C433" s="154">
        <v>23</v>
      </c>
      <c r="D433" s="622"/>
      <c r="E433" s="160"/>
      <c r="F433" s="161"/>
      <c r="G433" s="160"/>
      <c r="H433" s="154"/>
      <c r="I433" s="629"/>
      <c r="J433" s="154"/>
    </row>
    <row r="434" spans="1:10" ht="24" customHeight="1" x14ac:dyDescent="0.3">
      <c r="A434" s="41"/>
      <c r="B434" s="147"/>
      <c r="C434" s="162">
        <v>24</v>
      </c>
      <c r="D434" s="674"/>
      <c r="E434" s="163"/>
      <c r="F434" s="171"/>
      <c r="G434" s="163"/>
      <c r="H434" s="162"/>
      <c r="I434" s="629"/>
      <c r="J434" s="162"/>
    </row>
    <row r="435" spans="1:10" ht="24" customHeight="1" x14ac:dyDescent="0.3">
      <c r="A435" s="41"/>
      <c r="B435" s="147"/>
      <c r="C435" s="172">
        <v>25</v>
      </c>
      <c r="D435" s="673" t="s">
        <v>17</v>
      </c>
      <c r="E435" s="173"/>
      <c r="F435" s="174"/>
      <c r="G435" s="173"/>
      <c r="H435" s="172"/>
      <c r="I435" s="622" t="s">
        <v>17</v>
      </c>
      <c r="J435" s="172"/>
    </row>
    <row r="436" spans="1:10" ht="24" customHeight="1" x14ac:dyDescent="0.3">
      <c r="A436" s="41"/>
      <c r="B436" s="147"/>
      <c r="C436" s="154">
        <v>26</v>
      </c>
      <c r="D436" s="622"/>
      <c r="E436" s="160"/>
      <c r="F436" s="161"/>
      <c r="G436" s="160"/>
      <c r="H436" s="154"/>
      <c r="I436" s="622"/>
      <c r="J436" s="154"/>
    </row>
    <row r="437" spans="1:10" ht="24" customHeight="1" x14ac:dyDescent="0.3">
      <c r="A437" s="41"/>
      <c r="B437" s="147"/>
      <c r="C437" s="154">
        <v>27</v>
      </c>
      <c r="D437" s="622"/>
      <c r="E437" s="160"/>
      <c r="F437" s="161"/>
      <c r="G437" s="160"/>
      <c r="H437" s="154"/>
      <c r="I437" s="622"/>
      <c r="J437" s="154"/>
    </row>
    <row r="438" spans="1:10" ht="24" customHeight="1" x14ac:dyDescent="0.3">
      <c r="A438" s="41"/>
      <c r="B438" s="147"/>
      <c r="C438" s="154">
        <v>28</v>
      </c>
      <c r="D438" s="622"/>
      <c r="E438" s="160"/>
      <c r="F438" s="161"/>
      <c r="G438" s="160"/>
      <c r="H438" s="154"/>
      <c r="I438" s="622"/>
      <c r="J438" s="154"/>
    </row>
    <row r="439" spans="1:10" ht="24" customHeight="1" x14ac:dyDescent="0.3">
      <c r="A439" s="41"/>
      <c r="B439" s="147"/>
      <c r="C439" s="154">
        <v>29</v>
      </c>
      <c r="D439" s="622"/>
      <c r="E439" s="160"/>
      <c r="F439" s="161"/>
      <c r="G439" s="160"/>
      <c r="H439" s="154"/>
      <c r="I439" s="622"/>
      <c r="J439" s="154"/>
    </row>
    <row r="440" spans="1:10" ht="24" customHeight="1" x14ac:dyDescent="0.3">
      <c r="A440" s="144"/>
      <c r="B440" s="151"/>
      <c r="C440" s="162">
        <v>30</v>
      </c>
      <c r="D440" s="674"/>
      <c r="E440" s="163"/>
      <c r="F440" s="171"/>
      <c r="G440" s="163"/>
      <c r="H440" s="162"/>
      <c r="I440" s="674"/>
      <c r="J440" s="162"/>
    </row>
  </sheetData>
  <mergeCells count="224">
    <mergeCell ref="D219:D224"/>
    <mergeCell ref="I219:I224"/>
    <mergeCell ref="D225:D230"/>
    <mergeCell ref="I225:I230"/>
    <mergeCell ref="D201:D206"/>
    <mergeCell ref="I201:I206"/>
    <mergeCell ref="D360:D362"/>
    <mergeCell ref="I360:I362"/>
    <mergeCell ref="D363:D365"/>
    <mergeCell ref="I363:I365"/>
    <mergeCell ref="I303:I305"/>
    <mergeCell ref="D306:D308"/>
    <mergeCell ref="I306:I308"/>
    <mergeCell ref="D324:D326"/>
    <mergeCell ref="I324:I326"/>
    <mergeCell ref="D318:D320"/>
    <mergeCell ref="I318:I320"/>
    <mergeCell ref="D240:D242"/>
    <mergeCell ref="I240:I242"/>
    <mergeCell ref="D234:D236"/>
    <mergeCell ref="I234:I236"/>
    <mergeCell ref="D237:D239"/>
    <mergeCell ref="I237:I239"/>
    <mergeCell ref="A202:B202"/>
    <mergeCell ref="D207:D212"/>
    <mergeCell ref="I207:I212"/>
    <mergeCell ref="D213:D218"/>
    <mergeCell ref="I213:I218"/>
    <mergeCell ref="A30:B30"/>
    <mergeCell ref="A31:B31"/>
    <mergeCell ref="D41:D44"/>
    <mergeCell ref="I41:I44"/>
    <mergeCell ref="A63:B63"/>
    <mergeCell ref="D195:D200"/>
    <mergeCell ref="I195:I200"/>
    <mergeCell ref="I177:I182"/>
    <mergeCell ref="D183:D188"/>
    <mergeCell ref="I183:I188"/>
    <mergeCell ref="D189:D194"/>
    <mergeCell ref="I189:I194"/>
    <mergeCell ref="D153:D158"/>
    <mergeCell ref="I153:I158"/>
    <mergeCell ref="D165:D170"/>
    <mergeCell ref="I165:I170"/>
    <mergeCell ref="D171:D176"/>
    <mergeCell ref="I171:I176"/>
    <mergeCell ref="D177:D182"/>
    <mergeCell ref="D366:D368"/>
    <mergeCell ref="I366:I368"/>
    <mergeCell ref="D405:D407"/>
    <mergeCell ref="I405:I407"/>
    <mergeCell ref="A382:B382"/>
    <mergeCell ref="D384:D386"/>
    <mergeCell ref="I384:I386"/>
    <mergeCell ref="D387:D389"/>
    <mergeCell ref="I387:I389"/>
    <mergeCell ref="D390:D392"/>
    <mergeCell ref="D399:D401"/>
    <mergeCell ref="I399:I401"/>
    <mergeCell ref="I390:I392"/>
    <mergeCell ref="D369:D371"/>
    <mergeCell ref="I369:I371"/>
    <mergeCell ref="D402:D404"/>
    <mergeCell ref="I402:I404"/>
    <mergeCell ref="D372:D374"/>
    <mergeCell ref="I372:I374"/>
    <mergeCell ref="D375:D377"/>
    <mergeCell ref="D393:D395"/>
    <mergeCell ref="I375:I377"/>
    <mergeCell ref="I378:I380"/>
    <mergeCell ref="D381:D383"/>
    <mergeCell ref="A352:B352"/>
    <mergeCell ref="D354:D356"/>
    <mergeCell ref="I354:I356"/>
    <mergeCell ref="D327:D329"/>
    <mergeCell ref="I327:I329"/>
    <mergeCell ref="D330:D332"/>
    <mergeCell ref="I330:I332"/>
    <mergeCell ref="D333:D335"/>
    <mergeCell ref="I333:I335"/>
    <mergeCell ref="I342:I344"/>
    <mergeCell ref="D345:D347"/>
    <mergeCell ref="I345:I347"/>
    <mergeCell ref="D348:D350"/>
    <mergeCell ref="I348:I350"/>
    <mergeCell ref="D351:D353"/>
    <mergeCell ref="I351:I353"/>
    <mergeCell ref="D339:D341"/>
    <mergeCell ref="I339:I341"/>
    <mergeCell ref="D342:D344"/>
    <mergeCell ref="D336:D338"/>
    <mergeCell ref="I336:I338"/>
    <mergeCell ref="A322:B322"/>
    <mergeCell ref="A292:B292"/>
    <mergeCell ref="D291:D293"/>
    <mergeCell ref="D294:D296"/>
    <mergeCell ref="I294:I296"/>
    <mergeCell ref="D285:D287"/>
    <mergeCell ref="I285:I287"/>
    <mergeCell ref="D288:D290"/>
    <mergeCell ref="I288:I290"/>
    <mergeCell ref="D297:D299"/>
    <mergeCell ref="I297:I299"/>
    <mergeCell ref="D321:D323"/>
    <mergeCell ref="D303:D305"/>
    <mergeCell ref="A412:B412"/>
    <mergeCell ref="D411:D416"/>
    <mergeCell ref="I411:I416"/>
    <mergeCell ref="I393:I395"/>
    <mergeCell ref="D396:D398"/>
    <mergeCell ref="I396:I398"/>
    <mergeCell ref="D378:D380"/>
    <mergeCell ref="D231:D233"/>
    <mergeCell ref="I231:I233"/>
    <mergeCell ref="D243:D245"/>
    <mergeCell ref="I243:I245"/>
    <mergeCell ref="D246:D248"/>
    <mergeCell ref="I246:I248"/>
    <mergeCell ref="D249:D251"/>
    <mergeCell ref="I249:I251"/>
    <mergeCell ref="A262:B262"/>
    <mergeCell ref="D264:D266"/>
    <mergeCell ref="I264:I266"/>
    <mergeCell ref="D267:D269"/>
    <mergeCell ref="I267:I269"/>
    <mergeCell ref="D270:D272"/>
    <mergeCell ref="I270:I272"/>
    <mergeCell ref="D261:D263"/>
    <mergeCell ref="I261:I263"/>
    <mergeCell ref="I381:I383"/>
    <mergeCell ref="I147:I152"/>
    <mergeCell ref="I45:I48"/>
    <mergeCell ref="A46:B46"/>
    <mergeCell ref="A47:B47"/>
    <mergeCell ref="D49:D52"/>
    <mergeCell ref="I49:I52"/>
    <mergeCell ref="D137:D140"/>
    <mergeCell ref="I137:I140"/>
    <mergeCell ref="D159:D164"/>
    <mergeCell ref="I159:I164"/>
    <mergeCell ref="A95:B95"/>
    <mergeCell ref="A111:B111"/>
    <mergeCell ref="D53:D56"/>
    <mergeCell ref="I53:I56"/>
    <mergeCell ref="D57:D60"/>
    <mergeCell ref="I57:I60"/>
    <mergeCell ref="A142:B142"/>
    <mergeCell ref="D147:D152"/>
    <mergeCell ref="I321:I323"/>
    <mergeCell ref="D141:D146"/>
    <mergeCell ref="I141:I146"/>
    <mergeCell ref="D357:D359"/>
    <mergeCell ref="I357:I359"/>
    <mergeCell ref="D423:D428"/>
    <mergeCell ref="I423:I428"/>
    <mergeCell ref="D429:D434"/>
    <mergeCell ref="I429:I434"/>
    <mergeCell ref="D435:D440"/>
    <mergeCell ref="I435:I440"/>
    <mergeCell ref="D417:D422"/>
    <mergeCell ref="I417:I422"/>
    <mergeCell ref="D408:D410"/>
    <mergeCell ref="I408:I410"/>
    <mergeCell ref="A232:B232"/>
    <mergeCell ref="D312:D314"/>
    <mergeCell ref="I312:I314"/>
    <mergeCell ref="D315:D317"/>
    <mergeCell ref="I315:I317"/>
    <mergeCell ref="D252:D254"/>
    <mergeCell ref="I252:I254"/>
    <mergeCell ref="D255:D257"/>
    <mergeCell ref="I255:I257"/>
    <mergeCell ref="D258:D260"/>
    <mergeCell ref="I258:I260"/>
    <mergeCell ref="I279:I281"/>
    <mergeCell ref="D282:D284"/>
    <mergeCell ref="I282:I284"/>
    <mergeCell ref="D273:D275"/>
    <mergeCell ref="I273:I275"/>
    <mergeCell ref="D276:D278"/>
    <mergeCell ref="I276:I278"/>
    <mergeCell ref="D279:D281"/>
    <mergeCell ref="I291:I293"/>
    <mergeCell ref="D309:D311"/>
    <mergeCell ref="I309:I311"/>
    <mergeCell ref="D300:D302"/>
    <mergeCell ref="I300:I302"/>
    <mergeCell ref="A1:J1"/>
    <mergeCell ref="E4:H4"/>
    <mergeCell ref="A6:B6"/>
    <mergeCell ref="A7:B7"/>
    <mergeCell ref="D45:D48"/>
    <mergeCell ref="A110:B110"/>
    <mergeCell ref="A126:B126"/>
    <mergeCell ref="D93:D104"/>
    <mergeCell ref="I93:I104"/>
    <mergeCell ref="A94:B94"/>
    <mergeCell ref="D105:D108"/>
    <mergeCell ref="I105:I108"/>
    <mergeCell ref="I121:I124"/>
    <mergeCell ref="D125:D136"/>
    <mergeCell ref="I125:I136"/>
    <mergeCell ref="D29:D40"/>
    <mergeCell ref="I29:I40"/>
    <mergeCell ref="D109:D120"/>
    <mergeCell ref="I109:I120"/>
    <mergeCell ref="D121:D124"/>
    <mergeCell ref="D5:D16"/>
    <mergeCell ref="D17:D28"/>
    <mergeCell ref="I5:I16"/>
    <mergeCell ref="I17:I28"/>
    <mergeCell ref="A18:B18"/>
    <mergeCell ref="A19:B19"/>
    <mergeCell ref="D77:D88"/>
    <mergeCell ref="I77:I88"/>
    <mergeCell ref="A78:B78"/>
    <mergeCell ref="A79:B79"/>
    <mergeCell ref="D89:D92"/>
    <mergeCell ref="I89:I92"/>
    <mergeCell ref="D61:D72"/>
    <mergeCell ref="I61:I72"/>
    <mergeCell ref="A62:B62"/>
    <mergeCell ref="D73:D76"/>
    <mergeCell ref="I73:I76"/>
  </mergeCells>
  <phoneticPr fontId="2" type="noConversion"/>
  <pageMargins left="0.7" right="0.7" top="0.75" bottom="0.75" header="0.3" footer="0.3"/>
  <pageSetup paperSize="9" scale="44" fitToHeight="0" orientation="portrait" r:id="rId1"/>
  <rowBreaks count="7" manualBreakCount="7">
    <brk id="44" max="9" man="1"/>
    <brk id="92" max="9" man="1"/>
    <brk id="140" max="9" man="1"/>
    <brk id="200" max="9" man="1"/>
    <brk id="260" max="9" man="1"/>
    <brk id="320" max="9" man="1"/>
    <brk id="380" max="9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opLeftCell="A25" zoomScale="85" zoomScaleNormal="85" workbookViewId="0">
      <selection activeCell="E9" sqref="E9:H9"/>
    </sheetView>
  </sheetViews>
  <sheetFormatPr defaultRowHeight="16.5" x14ac:dyDescent="0.3"/>
  <cols>
    <col min="1" max="2" width="12.625" style="6" customWidth="1"/>
    <col min="3" max="4" width="7.625" style="6" customWidth="1"/>
    <col min="5" max="5" width="5.625" style="18" customWidth="1"/>
    <col min="6" max="6" width="12.625" style="19" customWidth="1"/>
    <col min="7" max="7" width="5.625" style="18" customWidth="1"/>
    <col min="8" max="8" width="29" style="18" bestFit="1" customWidth="1"/>
    <col min="9" max="9" width="7.625" style="6" customWidth="1"/>
    <col min="10" max="10" width="70.625" style="6" customWidth="1"/>
    <col min="11" max="11" width="17.25" style="6" customWidth="1"/>
    <col min="12" max="12" width="14.5" style="18" customWidth="1"/>
    <col min="13" max="13" width="4.125" style="6" customWidth="1"/>
    <col min="14" max="16384" width="9" style="6"/>
  </cols>
  <sheetData>
    <row r="1" spans="1:12" ht="38.25" x14ac:dyDescent="0.3">
      <c r="A1" s="626" t="s">
        <v>806</v>
      </c>
      <c r="B1" s="626"/>
      <c r="C1" s="626"/>
      <c r="D1" s="626"/>
      <c r="E1" s="626"/>
      <c r="F1" s="626"/>
      <c r="G1" s="626"/>
      <c r="H1" s="626"/>
      <c r="I1" s="626"/>
      <c r="J1" s="626"/>
      <c r="K1" s="94"/>
    </row>
    <row r="3" spans="1:12" x14ac:dyDescent="0.3">
      <c r="J3" s="59"/>
      <c r="K3" s="59"/>
    </row>
    <row r="4" spans="1:12" ht="30" customHeight="1" x14ac:dyDescent="0.15">
      <c r="A4" s="181" t="s">
        <v>0</v>
      </c>
      <c r="B4" s="182" t="s">
        <v>1</v>
      </c>
      <c r="C4" s="182" t="s">
        <v>289</v>
      </c>
      <c r="D4" s="182" t="s">
        <v>290</v>
      </c>
      <c r="E4" s="627" t="s">
        <v>291</v>
      </c>
      <c r="F4" s="627"/>
      <c r="G4" s="627"/>
      <c r="H4" s="627"/>
      <c r="I4" s="182" t="s">
        <v>290</v>
      </c>
      <c r="J4" s="183" t="s">
        <v>292</v>
      </c>
      <c r="K4" s="100"/>
    </row>
    <row r="5" spans="1:12" s="16" customFormat="1" ht="24" customHeight="1" x14ac:dyDescent="0.3">
      <c r="A5" s="29" t="s">
        <v>213</v>
      </c>
      <c r="B5" s="146" t="s">
        <v>212</v>
      </c>
      <c r="C5" s="152">
        <v>1</v>
      </c>
      <c r="D5" s="642" t="s">
        <v>302</v>
      </c>
      <c r="E5" s="154" t="str">
        <f>'춘천SS(구)'!E93</f>
        <v>T1</v>
      </c>
      <c r="F5" s="154" t="str">
        <f>'춘천SS(구)'!F93</f>
        <v>PITR</v>
      </c>
      <c r="G5" s="154" t="str">
        <f>'춘천SS(구)'!G93</f>
        <v>주</v>
      </c>
      <c r="H5" s="154" t="str">
        <f>'춘천SS(구)'!H93</f>
        <v>춘천-소양HP PITR㈜</v>
      </c>
      <c r="I5" s="606" t="s">
        <v>302</v>
      </c>
      <c r="J5" s="190" t="str">
        <f>'춘천SS(구)'!J93</f>
        <v>(구)춘천-(PTP#1:1)-(신)춘천-1-소양HP</v>
      </c>
      <c r="K5" s="102"/>
      <c r="L5" s="51"/>
    </row>
    <row r="6" spans="1:12" s="16" customFormat="1" ht="24" customHeight="1" x14ac:dyDescent="0.3">
      <c r="A6" s="607" t="s">
        <v>359</v>
      </c>
      <c r="B6" s="608"/>
      <c r="C6" s="154">
        <v>2</v>
      </c>
      <c r="D6" s="643"/>
      <c r="E6" s="154"/>
      <c r="F6" s="154"/>
      <c r="G6" s="154"/>
      <c r="H6" s="154"/>
      <c r="I6" s="644"/>
      <c r="J6" s="190"/>
      <c r="K6" s="102"/>
      <c r="L6" s="51"/>
    </row>
    <row r="7" spans="1:12" s="16" customFormat="1" ht="24" customHeight="1" x14ac:dyDescent="0.3">
      <c r="A7" s="613" t="s">
        <v>288</v>
      </c>
      <c r="B7" s="614"/>
      <c r="C7" s="154">
        <v>3</v>
      </c>
      <c r="D7" s="643"/>
      <c r="E7" s="154"/>
      <c r="F7" s="154"/>
      <c r="G7" s="154"/>
      <c r="H7" s="154"/>
      <c r="I7" s="644"/>
      <c r="J7" s="190"/>
      <c r="K7" s="102"/>
      <c r="L7" s="51"/>
    </row>
    <row r="8" spans="1:12" s="16" customFormat="1" ht="24" customHeight="1" x14ac:dyDescent="0.3">
      <c r="A8" s="41"/>
      <c r="B8" s="147"/>
      <c r="C8" s="154">
        <v>4</v>
      </c>
      <c r="D8" s="643"/>
      <c r="E8" s="154" t="str">
        <f>'춘천SS(구)'!E96</f>
        <v/>
      </c>
      <c r="F8" s="154" t="str">
        <f>'춘천SS(구)'!F96</f>
        <v/>
      </c>
      <c r="G8" s="154" t="str">
        <f>'춘천SS(구)'!G96</f>
        <v/>
      </c>
      <c r="H8" s="154" t="str">
        <f>'춘천SS(구)'!H96</f>
        <v/>
      </c>
      <c r="I8" s="644"/>
      <c r="J8" s="190" t="str">
        <f>'춘천SS(구)'!J96</f>
        <v/>
      </c>
      <c r="K8" s="102"/>
      <c r="L8" s="51"/>
    </row>
    <row r="9" spans="1:12" s="16" customFormat="1" ht="24" customHeight="1" x14ac:dyDescent="0.3">
      <c r="A9" s="41"/>
      <c r="B9" s="147"/>
      <c r="C9" s="154">
        <v>5</v>
      </c>
      <c r="D9" s="643"/>
      <c r="E9" s="154" t="str">
        <f>'춘천SS(구)'!E97</f>
        <v>E1</v>
      </c>
      <c r="F9" s="154" t="str">
        <f>'춘천SS(구)'!F97</f>
        <v>차세대SCADA</v>
      </c>
      <c r="G9" s="154" t="str">
        <f>'춘천SS(구)'!G97</f>
        <v>주</v>
      </c>
      <c r="H9" s="154" t="str">
        <f>'춘천SS(구)'!H97</f>
        <v>춘천 D-SCADA</v>
      </c>
      <c r="I9" s="644"/>
      <c r="J9" s="190" t="str">
        <f>'춘천SS(구)'!J97</f>
        <v>(구)춘천S/S - (PTP#1:5) - (신)춘천S/S</v>
      </c>
      <c r="K9" s="102"/>
      <c r="L9" s="51"/>
    </row>
    <row r="10" spans="1:12" s="16" customFormat="1" ht="24" customHeight="1" x14ac:dyDescent="0.3">
      <c r="A10" s="41"/>
      <c r="B10" s="147"/>
      <c r="C10" s="154">
        <v>6</v>
      </c>
      <c r="D10" s="643"/>
      <c r="E10" s="154" t="str">
        <f>'춘천SS(구)'!E98</f>
        <v/>
      </c>
      <c r="F10" s="154" t="str">
        <f>'춘천SS(구)'!F98</f>
        <v/>
      </c>
      <c r="G10" s="154" t="str">
        <f>'춘천SS(구)'!G98</f>
        <v/>
      </c>
      <c r="H10" s="154" t="str">
        <f>'춘천SS(구)'!H98</f>
        <v/>
      </c>
      <c r="I10" s="644"/>
      <c r="J10" s="190" t="str">
        <f>'춘천SS(구)'!J98</f>
        <v/>
      </c>
      <c r="K10" s="101"/>
      <c r="L10" s="51"/>
    </row>
    <row r="11" spans="1:12" s="16" customFormat="1" ht="24" customHeight="1" x14ac:dyDescent="0.3">
      <c r="A11" s="41"/>
      <c r="B11" s="147"/>
      <c r="C11" s="154">
        <v>7</v>
      </c>
      <c r="D11" s="643"/>
      <c r="E11" s="154" t="str">
        <f>'춘천SS(구)'!E99</f>
        <v/>
      </c>
      <c r="F11" s="154" t="str">
        <f>'춘천SS(구)'!F99</f>
        <v/>
      </c>
      <c r="G11" s="154" t="str">
        <f>'춘천SS(구)'!G99</f>
        <v/>
      </c>
      <c r="H11" s="154" t="str">
        <f>'춘천SS(구)'!H99</f>
        <v/>
      </c>
      <c r="I11" s="644"/>
      <c r="J11" s="190" t="str">
        <f>'춘천SS(구)'!J99</f>
        <v/>
      </c>
      <c r="K11" s="101"/>
      <c r="L11" s="18"/>
    </row>
    <row r="12" spans="1:12" s="16" customFormat="1" ht="24" customHeight="1" x14ac:dyDescent="0.3">
      <c r="A12" s="41"/>
      <c r="B12" s="147"/>
      <c r="C12" s="154">
        <v>8</v>
      </c>
      <c r="D12" s="643"/>
      <c r="E12" s="154" t="str">
        <f>'춘천SS(구)'!E100</f>
        <v/>
      </c>
      <c r="F12" s="154" t="str">
        <f>'춘천SS(구)'!F100</f>
        <v/>
      </c>
      <c r="G12" s="154" t="str">
        <f>'춘천SS(구)'!G100</f>
        <v/>
      </c>
      <c r="H12" s="154" t="str">
        <f>'춘천SS(구)'!H100</f>
        <v/>
      </c>
      <c r="I12" s="644"/>
      <c r="J12" s="190" t="str">
        <f>'춘천SS(구)'!J100</f>
        <v/>
      </c>
      <c r="K12" s="102"/>
      <c r="L12" s="18"/>
    </row>
    <row r="13" spans="1:12" s="16" customFormat="1" ht="24" customHeight="1" x14ac:dyDescent="0.3">
      <c r="A13" s="41"/>
      <c r="B13" s="147"/>
      <c r="C13" s="154">
        <v>9</v>
      </c>
      <c r="D13" s="643"/>
      <c r="E13" s="154" t="str">
        <f>'춘천SS(구)'!E101</f>
        <v/>
      </c>
      <c r="F13" s="154" t="str">
        <f>'춘천SS(구)'!F101</f>
        <v/>
      </c>
      <c r="G13" s="154" t="str">
        <f>'춘천SS(구)'!G101</f>
        <v/>
      </c>
      <c r="H13" s="154" t="str">
        <f>'춘천SS(구)'!H101</f>
        <v/>
      </c>
      <c r="I13" s="644"/>
      <c r="J13" s="190" t="str">
        <f>'춘천SS(구)'!J101</f>
        <v/>
      </c>
      <c r="K13" s="102"/>
      <c r="L13" s="18"/>
    </row>
    <row r="14" spans="1:12" s="16" customFormat="1" ht="24" customHeight="1" x14ac:dyDescent="0.3">
      <c r="A14" s="41"/>
      <c r="B14" s="147"/>
      <c r="C14" s="154">
        <v>10</v>
      </c>
      <c r="D14" s="643"/>
      <c r="E14" s="154" t="str">
        <f>'춘천SS(구)'!E102</f>
        <v/>
      </c>
      <c r="F14" s="154" t="str">
        <f>'춘천SS(구)'!F102</f>
        <v/>
      </c>
      <c r="G14" s="154" t="str">
        <f>'춘천SS(구)'!G102</f>
        <v/>
      </c>
      <c r="H14" s="154" t="str">
        <f>'춘천SS(구)'!H102</f>
        <v/>
      </c>
      <c r="I14" s="644"/>
      <c r="J14" s="190" t="str">
        <f>'춘천SS(구)'!J102</f>
        <v/>
      </c>
      <c r="K14" s="102"/>
      <c r="L14" s="51"/>
    </row>
    <row r="15" spans="1:12" s="16" customFormat="1" ht="24" customHeight="1" x14ac:dyDescent="0.3">
      <c r="A15" s="41"/>
      <c r="B15" s="147"/>
      <c r="C15" s="154">
        <v>11</v>
      </c>
      <c r="D15" s="643"/>
      <c r="E15" s="154" t="str">
        <f>'춘천SS(구)'!E103</f>
        <v/>
      </c>
      <c r="F15" s="154" t="str">
        <f>'춘천SS(구)'!F103</f>
        <v/>
      </c>
      <c r="G15" s="154" t="str">
        <f>'춘천SS(구)'!G103</f>
        <v/>
      </c>
      <c r="H15" s="154" t="str">
        <f>'춘천SS(구)'!H103</f>
        <v/>
      </c>
      <c r="I15" s="644"/>
      <c r="J15" s="190" t="str">
        <f>'춘천SS(구)'!J103</f>
        <v/>
      </c>
      <c r="K15" s="102"/>
      <c r="L15" s="51"/>
    </row>
    <row r="16" spans="1:12" s="16" customFormat="1" ht="24" customHeight="1" x14ac:dyDescent="0.3">
      <c r="A16" s="41"/>
      <c r="B16" s="147"/>
      <c r="C16" s="158">
        <v>12</v>
      </c>
      <c r="D16" s="643"/>
      <c r="E16" s="154" t="str">
        <f>'춘천SS(구)'!E104</f>
        <v/>
      </c>
      <c r="F16" s="154" t="str">
        <f>'춘천SS(구)'!F104</f>
        <v/>
      </c>
      <c r="G16" s="154" t="str">
        <f>'춘천SS(구)'!G104</f>
        <v/>
      </c>
      <c r="H16" s="154" t="str">
        <f>'춘천SS(구)'!H104</f>
        <v/>
      </c>
      <c r="I16" s="644"/>
      <c r="J16" s="190" t="str">
        <f>'춘천SS(구)'!J104</f>
        <v/>
      </c>
      <c r="K16" s="101"/>
      <c r="L16" s="18"/>
    </row>
    <row r="17" spans="1:12" s="16" customFormat="1" ht="24" customHeight="1" x14ac:dyDescent="0.3">
      <c r="A17" s="41"/>
      <c r="B17" s="147"/>
      <c r="C17" s="152">
        <v>1</v>
      </c>
      <c r="D17" s="646" t="s">
        <v>298</v>
      </c>
      <c r="E17" s="167"/>
      <c r="F17" s="167"/>
      <c r="G17" s="167"/>
      <c r="H17" s="167"/>
      <c r="I17" s="651" t="s">
        <v>298</v>
      </c>
      <c r="J17" s="192"/>
      <c r="K17" s="102"/>
      <c r="L17" s="18"/>
    </row>
    <row r="18" spans="1:12" s="16" customFormat="1" ht="24" customHeight="1" x14ac:dyDescent="0.3">
      <c r="A18" s="41"/>
      <c r="B18" s="147"/>
      <c r="C18" s="154">
        <v>2</v>
      </c>
      <c r="D18" s="647"/>
      <c r="E18" s="160"/>
      <c r="F18" s="160"/>
      <c r="G18" s="160"/>
      <c r="H18" s="160"/>
      <c r="I18" s="649"/>
      <c r="J18" s="190"/>
      <c r="K18" s="102"/>
      <c r="L18" s="51"/>
    </row>
    <row r="19" spans="1:12" s="16" customFormat="1" ht="24" customHeight="1" x14ac:dyDescent="0.3">
      <c r="A19" s="41"/>
      <c r="B19" s="147"/>
      <c r="C19" s="154">
        <v>3</v>
      </c>
      <c r="D19" s="647"/>
      <c r="E19" s="160"/>
      <c r="F19" s="160"/>
      <c r="G19" s="160"/>
      <c r="H19" s="160"/>
      <c r="I19" s="649"/>
      <c r="J19" s="190"/>
      <c r="K19" s="102"/>
      <c r="L19" s="51"/>
    </row>
    <row r="20" spans="1:12" s="16" customFormat="1" ht="24" customHeight="1" x14ac:dyDescent="0.3">
      <c r="A20" s="139"/>
      <c r="B20" s="148"/>
      <c r="C20" s="162">
        <v>4</v>
      </c>
      <c r="D20" s="648"/>
      <c r="E20" s="163" t="str">
        <f>'춘천SS(구)'!E108</f>
        <v/>
      </c>
      <c r="F20" s="163" t="str">
        <f>'춘천SS(구)'!F108</f>
        <v/>
      </c>
      <c r="G20" s="163" t="str">
        <f>'춘천SS(구)'!G108</f>
        <v/>
      </c>
      <c r="H20" s="163" t="str">
        <f>'춘천SS(구)'!H108</f>
        <v/>
      </c>
      <c r="I20" s="650"/>
      <c r="J20" s="193"/>
      <c r="K20" s="101"/>
      <c r="L20" s="51"/>
    </row>
    <row r="21" spans="1:12" s="16" customFormat="1" ht="24" customHeight="1" x14ac:dyDescent="0.3">
      <c r="A21" s="141" t="s">
        <v>213</v>
      </c>
      <c r="B21" s="149" t="s">
        <v>212</v>
      </c>
      <c r="C21" s="152">
        <v>1</v>
      </c>
      <c r="D21" s="681" t="s">
        <v>302</v>
      </c>
      <c r="E21" s="167" t="str">
        <f>'춘천SS(구)'!E109</f>
        <v>T1</v>
      </c>
      <c r="F21" s="167" t="str">
        <f>'춘천SS(구)'!F109</f>
        <v>PITR</v>
      </c>
      <c r="G21" s="167" t="str">
        <f>'춘천SS(구)'!G109</f>
        <v>예비</v>
      </c>
      <c r="H21" s="167" t="str">
        <f>'춘천SS(구)'!H109</f>
        <v>춘천-소양HP PITR(예비)</v>
      </c>
      <c r="I21" s="606" t="s">
        <v>302</v>
      </c>
      <c r="J21" s="192" t="str">
        <f>'춘천SS(구)'!J109</f>
        <v>(신)춘천-(PTP#2:1)-(구)춘천-15-홍천-5소양H/P</v>
      </c>
      <c r="K21" s="102"/>
      <c r="L21" s="93"/>
    </row>
    <row r="22" spans="1:12" s="16" customFormat="1" ht="24" customHeight="1" x14ac:dyDescent="0.3">
      <c r="A22" s="607" t="s">
        <v>360</v>
      </c>
      <c r="B22" s="608"/>
      <c r="C22" s="154">
        <v>2</v>
      </c>
      <c r="D22" s="652"/>
      <c r="E22" s="160" t="s">
        <v>28</v>
      </c>
      <c r="F22" s="160" t="s">
        <v>736</v>
      </c>
      <c r="G22" s="160" t="str">
        <f>'춘천SS(구)'!G110</f>
        <v>예비</v>
      </c>
      <c r="H22" s="160" t="str">
        <f>'춘천SS(구)'!H110</f>
        <v>남춘천-춘천 PIU(예비)</v>
      </c>
      <c r="I22" s="644"/>
      <c r="J22" s="190" t="s">
        <v>903</v>
      </c>
      <c r="K22" s="102"/>
      <c r="L22" s="53"/>
    </row>
    <row r="23" spans="1:12" s="16" customFormat="1" ht="24" customHeight="1" x14ac:dyDescent="0.3">
      <c r="A23" s="613" t="s">
        <v>288</v>
      </c>
      <c r="B23" s="614"/>
      <c r="C23" s="154">
        <v>3</v>
      </c>
      <c r="D23" s="652"/>
      <c r="E23" s="160" t="str">
        <f>'춘천SS(구)'!E111</f>
        <v>T1</v>
      </c>
      <c r="F23" s="160" t="str">
        <f>'춘천SS(구)'!F111</f>
        <v>PITR</v>
      </c>
      <c r="G23" s="160" t="str">
        <f>'춘천SS(구)'!G111</f>
        <v>예비</v>
      </c>
      <c r="H23" s="160" t="str">
        <f>'춘천SS(구)'!H111</f>
        <v>춘천-북춘천#1,2T/L PITR(예비)</v>
      </c>
      <c r="I23" s="644"/>
      <c r="J23" s="190" t="str">
        <f>'춘천SS(구)'!J111</f>
        <v>(신)춘천-(통합PTP#2:3)-(구)춘천-(통합PTP:1)-북춘천</v>
      </c>
      <c r="K23" s="102"/>
      <c r="L23" s="93"/>
    </row>
    <row r="24" spans="1:12" s="16" customFormat="1" ht="24" customHeight="1" x14ac:dyDescent="0.3">
      <c r="A24" s="41"/>
      <c r="B24" s="147"/>
      <c r="C24" s="154">
        <v>4</v>
      </c>
      <c r="D24" s="652"/>
      <c r="E24" s="160" t="str">
        <f>'춘천SS(구)'!E112</f>
        <v/>
      </c>
      <c r="F24" s="160" t="str">
        <f>'춘천SS(구)'!F112</f>
        <v/>
      </c>
      <c r="G24" s="160" t="str">
        <f>'춘천SS(구)'!G112</f>
        <v/>
      </c>
      <c r="H24" s="160" t="str">
        <f>'춘천SS(구)'!H112</f>
        <v/>
      </c>
      <c r="I24" s="644"/>
      <c r="J24" s="190" t="str">
        <f>'춘천SS(구)'!J112</f>
        <v/>
      </c>
      <c r="K24" s="102"/>
      <c r="L24" s="51"/>
    </row>
    <row r="25" spans="1:12" s="16" customFormat="1" ht="24" customHeight="1" x14ac:dyDescent="0.3">
      <c r="A25" s="41"/>
      <c r="B25" s="147"/>
      <c r="C25" s="154">
        <v>5</v>
      </c>
      <c r="D25" s="652"/>
      <c r="E25" s="160" t="str">
        <f>'춘천SS(구)'!E113</f>
        <v/>
      </c>
      <c r="F25" s="160" t="str">
        <f>'춘천SS(구)'!F113</f>
        <v/>
      </c>
      <c r="G25" s="160" t="str">
        <f>'춘천SS(구)'!G113</f>
        <v/>
      </c>
      <c r="H25" s="160" t="str">
        <f>'춘천SS(구)'!H113</f>
        <v/>
      </c>
      <c r="I25" s="644"/>
      <c r="J25" s="190" t="str">
        <f>'춘천SS(구)'!J113</f>
        <v/>
      </c>
      <c r="K25" s="102"/>
      <c r="L25" s="51"/>
    </row>
    <row r="26" spans="1:12" s="16" customFormat="1" ht="24" customHeight="1" x14ac:dyDescent="0.3">
      <c r="A26" s="41"/>
      <c r="B26" s="147"/>
      <c r="C26" s="154">
        <v>6</v>
      </c>
      <c r="D26" s="652"/>
      <c r="E26" s="160" t="str">
        <f>'춘천SS(구)'!E114</f>
        <v/>
      </c>
      <c r="F26" s="160" t="str">
        <f>'춘천SS(구)'!F114</f>
        <v/>
      </c>
      <c r="G26" s="160" t="str">
        <f>'춘천SS(구)'!G114</f>
        <v/>
      </c>
      <c r="H26" s="160" t="str">
        <f>'춘천SS(구)'!H114</f>
        <v/>
      </c>
      <c r="I26" s="644"/>
      <c r="J26" s="190" t="str">
        <f>'춘천SS(구)'!J114</f>
        <v/>
      </c>
      <c r="K26" s="101"/>
      <c r="L26" s="51"/>
    </row>
    <row r="27" spans="1:12" s="16" customFormat="1" ht="24" customHeight="1" x14ac:dyDescent="0.3">
      <c r="A27" s="41"/>
      <c r="B27" s="147"/>
      <c r="C27" s="154">
        <v>7</v>
      </c>
      <c r="D27" s="652"/>
      <c r="E27" s="160" t="str">
        <f>'춘천SS(구)'!E115</f>
        <v/>
      </c>
      <c r="F27" s="160" t="str">
        <f>'춘천SS(구)'!F115</f>
        <v/>
      </c>
      <c r="G27" s="160" t="str">
        <f>'춘천SS(구)'!G115</f>
        <v/>
      </c>
      <c r="H27" s="160" t="str">
        <f>'춘천SS(구)'!H115</f>
        <v/>
      </c>
      <c r="I27" s="644"/>
      <c r="J27" s="190" t="str">
        <f>'춘천SS(구)'!J115</f>
        <v/>
      </c>
      <c r="K27" s="101"/>
      <c r="L27" s="51"/>
    </row>
    <row r="28" spans="1:12" s="16" customFormat="1" ht="24" customHeight="1" x14ac:dyDescent="0.3">
      <c r="A28" s="41"/>
      <c r="B28" s="147"/>
      <c r="C28" s="154">
        <v>8</v>
      </c>
      <c r="D28" s="652"/>
      <c r="E28" s="160" t="str">
        <f>'춘천SS(구)'!E116</f>
        <v/>
      </c>
      <c r="F28" s="160" t="str">
        <f>'춘천SS(구)'!F116</f>
        <v/>
      </c>
      <c r="G28" s="160" t="str">
        <f>'춘천SS(구)'!G116</f>
        <v/>
      </c>
      <c r="H28" s="160" t="str">
        <f>'춘천SS(구)'!H116</f>
        <v/>
      </c>
      <c r="I28" s="644"/>
      <c r="J28" s="190" t="str">
        <f>'춘천SS(구)'!J116</f>
        <v/>
      </c>
      <c r="K28" s="101"/>
      <c r="L28" s="51"/>
    </row>
    <row r="29" spans="1:12" s="16" customFormat="1" ht="24" customHeight="1" x14ac:dyDescent="0.3">
      <c r="A29" s="41"/>
      <c r="B29" s="147"/>
      <c r="C29" s="154">
        <v>9</v>
      </c>
      <c r="D29" s="652"/>
      <c r="E29" s="160" t="str">
        <f>'춘천SS(구)'!E117</f>
        <v/>
      </c>
      <c r="F29" s="160" t="str">
        <f>'춘천SS(구)'!F117</f>
        <v/>
      </c>
      <c r="G29" s="160" t="str">
        <f>'춘천SS(구)'!G117</f>
        <v/>
      </c>
      <c r="H29" s="160" t="str">
        <f>'춘천SS(구)'!H117</f>
        <v/>
      </c>
      <c r="I29" s="644"/>
      <c r="J29" s="190" t="str">
        <f>'춘천SS(구)'!J117</f>
        <v/>
      </c>
      <c r="K29" s="101"/>
      <c r="L29" s="51"/>
    </row>
    <row r="30" spans="1:12" s="16" customFormat="1" ht="24" customHeight="1" x14ac:dyDescent="0.3">
      <c r="A30" s="41"/>
      <c r="B30" s="147"/>
      <c r="C30" s="154">
        <v>10</v>
      </c>
      <c r="D30" s="652"/>
      <c r="E30" s="160" t="str">
        <f>'춘천SS(구)'!E118</f>
        <v/>
      </c>
      <c r="F30" s="160" t="str">
        <f>'춘천SS(구)'!F118</f>
        <v/>
      </c>
      <c r="G30" s="160" t="str">
        <f>'춘천SS(구)'!G118</f>
        <v/>
      </c>
      <c r="H30" s="160" t="str">
        <f>'춘천SS(구)'!H118</f>
        <v/>
      </c>
      <c r="I30" s="644"/>
      <c r="J30" s="190" t="str">
        <f>'춘천SS(구)'!J118</f>
        <v/>
      </c>
      <c r="K30" s="101"/>
      <c r="L30" s="51"/>
    </row>
    <row r="31" spans="1:12" s="16" customFormat="1" ht="24" customHeight="1" x14ac:dyDescent="0.3">
      <c r="A31" s="41"/>
      <c r="B31" s="147"/>
      <c r="C31" s="154">
        <v>11</v>
      </c>
      <c r="D31" s="652"/>
      <c r="E31" s="160" t="str">
        <f>'춘천SS(구)'!E119</f>
        <v/>
      </c>
      <c r="F31" s="160" t="str">
        <f>'춘천SS(구)'!F119</f>
        <v/>
      </c>
      <c r="G31" s="160" t="str">
        <f>'춘천SS(구)'!G119</f>
        <v/>
      </c>
      <c r="H31" s="160" t="str">
        <f>'춘천SS(구)'!H119</f>
        <v/>
      </c>
      <c r="I31" s="644"/>
      <c r="J31" s="190" t="str">
        <f>'춘천SS(구)'!J119</f>
        <v/>
      </c>
      <c r="K31" s="101"/>
      <c r="L31" s="51"/>
    </row>
    <row r="32" spans="1:12" s="16" customFormat="1" ht="24" customHeight="1" x14ac:dyDescent="0.3">
      <c r="A32" s="41"/>
      <c r="B32" s="147"/>
      <c r="C32" s="162">
        <v>12</v>
      </c>
      <c r="D32" s="682"/>
      <c r="E32" s="163" t="str">
        <f>'춘천SS(구)'!E120</f>
        <v/>
      </c>
      <c r="F32" s="163" t="str">
        <f>'춘천SS(구)'!F120</f>
        <v/>
      </c>
      <c r="G32" s="163" t="str">
        <f>'춘천SS(구)'!G120</f>
        <v/>
      </c>
      <c r="H32" s="163" t="str">
        <f>'춘천SS(구)'!H120</f>
        <v/>
      </c>
      <c r="I32" s="645"/>
      <c r="J32" s="193" t="str">
        <f>'춘천SS(구)'!J120</f>
        <v/>
      </c>
      <c r="K32" s="101"/>
      <c r="L32" s="51"/>
    </row>
    <row r="33" spans="1:12" s="16" customFormat="1" ht="24" customHeight="1" x14ac:dyDescent="0.3">
      <c r="A33" s="41"/>
      <c r="B33" s="147"/>
      <c r="C33" s="152">
        <v>1</v>
      </c>
      <c r="D33" s="653" t="s">
        <v>298</v>
      </c>
      <c r="E33" s="167"/>
      <c r="F33" s="167"/>
      <c r="G33" s="167"/>
      <c r="H33" s="167"/>
      <c r="I33" s="651" t="s">
        <v>298</v>
      </c>
      <c r="J33" s="192"/>
      <c r="K33" s="102"/>
      <c r="L33" s="18"/>
    </row>
    <row r="34" spans="1:12" s="16" customFormat="1" ht="24" customHeight="1" x14ac:dyDescent="0.3">
      <c r="A34" s="41"/>
      <c r="B34" s="147"/>
      <c r="C34" s="154">
        <v>2</v>
      </c>
      <c r="D34" s="654"/>
      <c r="E34" s="160" t="str">
        <f>'춘천SS(구)'!E122</f>
        <v/>
      </c>
      <c r="F34" s="160" t="str">
        <f>'춘천SS(구)'!F122</f>
        <v/>
      </c>
      <c r="G34" s="160" t="str">
        <f>'춘천SS(구)'!G122</f>
        <v/>
      </c>
      <c r="H34" s="160" t="str">
        <f>'춘천SS(구)'!H122</f>
        <v/>
      </c>
      <c r="I34" s="649"/>
      <c r="J34" s="190" t="str">
        <f>'춘천SS(구)'!J122</f>
        <v/>
      </c>
      <c r="K34" s="102"/>
      <c r="L34" s="18"/>
    </row>
    <row r="35" spans="1:12" s="16" customFormat="1" ht="24" customHeight="1" x14ac:dyDescent="0.3">
      <c r="A35" s="41"/>
      <c r="B35" s="147"/>
      <c r="C35" s="154">
        <v>3</v>
      </c>
      <c r="D35" s="654"/>
      <c r="E35" s="160" t="str">
        <f>'춘천SS(구)'!E123</f>
        <v/>
      </c>
      <c r="F35" s="160" t="str">
        <f>'춘천SS(구)'!F123</f>
        <v/>
      </c>
      <c r="G35" s="160" t="str">
        <f>'춘천SS(구)'!G123</f>
        <v/>
      </c>
      <c r="H35" s="160" t="str">
        <f>'춘천SS(구)'!H123</f>
        <v/>
      </c>
      <c r="I35" s="649"/>
      <c r="J35" s="190" t="str">
        <f>'춘천SS(구)'!J123</f>
        <v/>
      </c>
      <c r="K35" s="102"/>
      <c r="L35" s="51"/>
    </row>
    <row r="36" spans="1:12" s="16" customFormat="1" ht="24" customHeight="1" x14ac:dyDescent="0.3">
      <c r="A36" s="144"/>
      <c r="B36" s="151"/>
      <c r="C36" s="162">
        <v>4</v>
      </c>
      <c r="D36" s="655"/>
      <c r="E36" s="163" t="str">
        <f>'춘천SS(구)'!E124</f>
        <v/>
      </c>
      <c r="F36" s="163" t="str">
        <f>'춘천SS(구)'!F124</f>
        <v/>
      </c>
      <c r="G36" s="163" t="str">
        <f>'춘천SS(구)'!G124</f>
        <v/>
      </c>
      <c r="H36" s="163" t="str">
        <f>'춘천SS(구)'!H124</f>
        <v/>
      </c>
      <c r="I36" s="650"/>
      <c r="J36" s="193" t="str">
        <f>'춘천SS(구)'!J124</f>
        <v/>
      </c>
      <c r="K36" s="102"/>
      <c r="L36" s="51"/>
    </row>
  </sheetData>
  <mergeCells count="14">
    <mergeCell ref="A23:B23"/>
    <mergeCell ref="D21:D32"/>
    <mergeCell ref="I21:I32"/>
    <mergeCell ref="A22:B22"/>
    <mergeCell ref="D33:D36"/>
    <mergeCell ref="I33:I36"/>
    <mergeCell ref="D17:D20"/>
    <mergeCell ref="I17:I20"/>
    <mergeCell ref="A1:J1"/>
    <mergeCell ref="E4:H4"/>
    <mergeCell ref="A6:B6"/>
    <mergeCell ref="A7:B7"/>
    <mergeCell ref="D5:D16"/>
    <mergeCell ref="I5:I16"/>
  </mergeCells>
  <phoneticPr fontId="2" type="noConversion"/>
  <pageMargins left="0.7" right="0.7" top="0.75" bottom="0.75" header="0.3" footer="0.3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86"/>
  <sheetViews>
    <sheetView view="pageBreakPreview" zoomScale="85" zoomScaleNormal="100" zoomScaleSheetLayoutView="85" workbookViewId="0">
      <selection activeCell="J24" sqref="J24"/>
    </sheetView>
  </sheetViews>
  <sheetFormatPr defaultRowHeight="16.5" x14ac:dyDescent="0.3"/>
  <cols>
    <col min="1" max="2" width="12.625" style="6" customWidth="1"/>
    <col min="3" max="4" width="7.625" style="6" customWidth="1"/>
    <col min="5" max="5" width="5.625" style="18" customWidth="1"/>
    <col min="6" max="6" width="12.625" style="19" customWidth="1"/>
    <col min="7" max="7" width="5.625" style="18" customWidth="1"/>
    <col min="8" max="8" width="21.75" style="18" bestFit="1" customWidth="1"/>
    <col min="9" max="9" width="7.625" style="6" customWidth="1"/>
    <col min="10" max="10" width="70.625" style="6" customWidth="1"/>
    <col min="11" max="11" width="17.25" style="6" customWidth="1"/>
    <col min="12" max="12" width="14.5" style="18" customWidth="1"/>
    <col min="13" max="13" width="4.125" style="6" customWidth="1"/>
    <col min="14" max="16384" width="9" style="6"/>
  </cols>
  <sheetData>
    <row r="1" spans="1:12" ht="38.25" x14ac:dyDescent="0.3">
      <c r="A1" s="626" t="s">
        <v>367</v>
      </c>
      <c r="B1" s="626"/>
      <c r="C1" s="626"/>
      <c r="D1" s="626"/>
      <c r="E1" s="626"/>
      <c r="F1" s="626"/>
      <c r="G1" s="626"/>
      <c r="H1" s="626"/>
      <c r="I1" s="626"/>
      <c r="J1" s="626"/>
      <c r="K1" s="94"/>
    </row>
    <row r="3" spans="1:12" x14ac:dyDescent="0.3">
      <c r="J3" s="59"/>
      <c r="K3" s="59"/>
    </row>
    <row r="4" spans="1:12" ht="30" customHeight="1" x14ac:dyDescent="0.15">
      <c r="A4" s="181" t="s">
        <v>0</v>
      </c>
      <c r="B4" s="182" t="s">
        <v>1</v>
      </c>
      <c r="C4" s="182" t="s">
        <v>2</v>
      </c>
      <c r="D4" s="182" t="s">
        <v>3</v>
      </c>
      <c r="E4" s="627" t="s">
        <v>4</v>
      </c>
      <c r="F4" s="627"/>
      <c r="G4" s="627"/>
      <c r="H4" s="627"/>
      <c r="I4" s="182" t="s">
        <v>3</v>
      </c>
      <c r="J4" s="183" t="s">
        <v>5</v>
      </c>
      <c r="K4" s="100"/>
    </row>
    <row r="5" spans="1:12" s="16" customFormat="1" ht="24" customHeight="1" x14ac:dyDescent="0.3">
      <c r="A5" s="331" t="s">
        <v>43</v>
      </c>
      <c r="B5" s="194" t="s">
        <v>44</v>
      </c>
      <c r="C5" s="152">
        <v>1</v>
      </c>
      <c r="D5" s="641" t="s">
        <v>293</v>
      </c>
      <c r="E5" s="154" t="s">
        <v>28</v>
      </c>
      <c r="F5" s="157" t="s">
        <v>736</v>
      </c>
      <c r="G5" s="154" t="s">
        <v>29</v>
      </c>
      <c r="H5" s="154" t="s">
        <v>907</v>
      </c>
      <c r="I5" s="170"/>
      <c r="J5" s="190" t="s">
        <v>908</v>
      </c>
      <c r="K5" s="102" t="s">
        <v>864</v>
      </c>
      <c r="L5" s="51"/>
    </row>
    <row r="6" spans="1:12" s="16" customFormat="1" ht="24" customHeight="1" x14ac:dyDescent="0.3">
      <c r="A6" s="620" t="s">
        <v>824</v>
      </c>
      <c r="B6" s="621"/>
      <c r="C6" s="154">
        <v>2</v>
      </c>
      <c r="D6" s="656"/>
      <c r="E6" s="154" t="s">
        <v>28</v>
      </c>
      <c r="F6" s="157" t="s">
        <v>736</v>
      </c>
      <c r="G6" s="154" t="s">
        <v>29</v>
      </c>
      <c r="H6" s="154" t="s">
        <v>906</v>
      </c>
      <c r="I6" s="170"/>
      <c r="J6" s="190" t="s">
        <v>905</v>
      </c>
      <c r="K6" s="102" t="s">
        <v>864</v>
      </c>
      <c r="L6" s="51"/>
    </row>
    <row r="7" spans="1:12" s="16" customFormat="1" ht="24" customHeight="1" x14ac:dyDescent="0.3">
      <c r="A7" s="677" t="s">
        <v>861</v>
      </c>
      <c r="B7" s="614"/>
      <c r="C7" s="154">
        <v>3</v>
      </c>
      <c r="D7" s="656"/>
      <c r="E7" s="170"/>
      <c r="F7" s="508"/>
      <c r="G7" s="170"/>
      <c r="H7" s="170"/>
      <c r="I7" s="170"/>
      <c r="J7" s="509"/>
      <c r="K7" s="101"/>
      <c r="L7" s="51"/>
    </row>
    <row r="8" spans="1:12" s="16" customFormat="1" ht="24" customHeight="1" x14ac:dyDescent="0.3">
      <c r="A8" s="506"/>
      <c r="B8" s="507"/>
      <c r="C8" s="154">
        <v>4</v>
      </c>
      <c r="D8" s="656"/>
      <c r="E8" s="170"/>
      <c r="F8" s="508"/>
      <c r="G8" s="170"/>
      <c r="H8" s="170"/>
      <c r="I8" s="170"/>
      <c r="J8" s="509"/>
      <c r="K8" s="101"/>
      <c r="L8" s="51"/>
    </row>
    <row r="9" spans="1:12" s="16" customFormat="1" ht="24" customHeight="1" x14ac:dyDescent="0.3">
      <c r="A9" s="506"/>
      <c r="B9" s="507"/>
      <c r="C9" s="154">
        <v>5</v>
      </c>
      <c r="D9" s="656"/>
      <c r="E9" s="170"/>
      <c r="F9" s="508"/>
      <c r="G9" s="170"/>
      <c r="H9" s="170"/>
      <c r="I9" s="170"/>
      <c r="J9" s="509"/>
      <c r="K9" s="101"/>
      <c r="L9" s="51"/>
    </row>
    <row r="10" spans="1:12" s="16" customFormat="1" ht="24" customHeight="1" x14ac:dyDescent="0.3">
      <c r="A10" s="506"/>
      <c r="B10" s="507"/>
      <c r="C10" s="154">
        <v>6</v>
      </c>
      <c r="D10" s="656"/>
      <c r="E10" s="170"/>
      <c r="F10" s="508"/>
      <c r="G10" s="170"/>
      <c r="H10" s="170"/>
      <c r="I10" s="170"/>
      <c r="J10" s="509"/>
      <c r="K10" s="101"/>
      <c r="L10" s="51"/>
    </row>
    <row r="11" spans="1:12" s="16" customFormat="1" ht="24" customHeight="1" x14ac:dyDescent="0.3">
      <c r="A11" s="506"/>
      <c r="B11" s="507"/>
      <c r="C11" s="154">
        <v>7</v>
      </c>
      <c r="D11" s="656"/>
      <c r="E11" s="170"/>
      <c r="F11" s="508"/>
      <c r="G11" s="170"/>
      <c r="H11" s="170"/>
      <c r="I11" s="170"/>
      <c r="J11" s="509"/>
      <c r="K11" s="101"/>
      <c r="L11" s="51"/>
    </row>
    <row r="12" spans="1:12" s="16" customFormat="1" ht="24" customHeight="1" x14ac:dyDescent="0.3">
      <c r="A12" s="506"/>
      <c r="B12" s="507"/>
      <c r="C12" s="154">
        <v>8</v>
      </c>
      <c r="D12" s="656"/>
      <c r="E12" s="170"/>
      <c r="F12" s="508"/>
      <c r="G12" s="170"/>
      <c r="H12" s="170"/>
      <c r="I12" s="170"/>
      <c r="J12" s="509"/>
      <c r="K12" s="101"/>
      <c r="L12" s="51"/>
    </row>
    <row r="13" spans="1:12" s="16" customFormat="1" ht="24" customHeight="1" x14ac:dyDescent="0.3">
      <c r="A13" s="506"/>
      <c r="B13" s="507"/>
      <c r="C13" s="154">
        <v>9</v>
      </c>
      <c r="D13" s="656"/>
      <c r="E13" s="170"/>
      <c r="F13" s="508"/>
      <c r="G13" s="170"/>
      <c r="H13" s="170"/>
      <c r="I13" s="170"/>
      <c r="J13" s="509"/>
      <c r="K13" s="101"/>
      <c r="L13" s="51"/>
    </row>
    <row r="14" spans="1:12" s="16" customFormat="1" ht="24" customHeight="1" x14ac:dyDescent="0.3">
      <c r="A14" s="506"/>
      <c r="B14" s="507"/>
      <c r="C14" s="154">
        <v>10</v>
      </c>
      <c r="D14" s="656"/>
      <c r="E14" s="170"/>
      <c r="F14" s="508"/>
      <c r="G14" s="170"/>
      <c r="H14" s="170"/>
      <c r="I14" s="170"/>
      <c r="J14" s="509"/>
      <c r="K14" s="101"/>
      <c r="L14" s="51"/>
    </row>
    <row r="15" spans="1:12" s="16" customFormat="1" ht="24" customHeight="1" x14ac:dyDescent="0.3">
      <c r="A15" s="506"/>
      <c r="B15" s="507"/>
      <c r="C15" s="154">
        <v>11</v>
      </c>
      <c r="D15" s="656"/>
      <c r="E15" s="170"/>
      <c r="F15" s="508"/>
      <c r="G15" s="170"/>
      <c r="H15" s="170"/>
      <c r="I15" s="170"/>
      <c r="J15" s="509"/>
      <c r="K15" s="101"/>
      <c r="L15" s="51"/>
    </row>
    <row r="16" spans="1:12" s="16" customFormat="1" ht="24" customHeight="1" x14ac:dyDescent="0.3">
      <c r="A16" s="506"/>
      <c r="B16" s="507"/>
      <c r="C16" s="154">
        <v>12</v>
      </c>
      <c r="D16" s="640"/>
      <c r="E16" s="170"/>
      <c r="F16" s="508"/>
      <c r="G16" s="170"/>
      <c r="H16" s="170"/>
      <c r="I16" s="170"/>
      <c r="J16" s="509"/>
      <c r="K16" s="101"/>
      <c r="L16" s="51"/>
    </row>
    <row r="17" spans="1:12" s="16" customFormat="1" ht="24" customHeight="1" x14ac:dyDescent="0.3">
      <c r="A17" s="141" t="s">
        <v>43</v>
      </c>
      <c r="B17" s="194" t="s">
        <v>212</v>
      </c>
      <c r="C17" s="152">
        <v>1</v>
      </c>
      <c r="D17" s="606" t="s">
        <v>302</v>
      </c>
      <c r="E17" s="152"/>
      <c r="F17" s="152"/>
      <c r="G17" s="152"/>
      <c r="H17" s="152"/>
      <c r="I17" s="606" t="s">
        <v>302</v>
      </c>
      <c r="J17" s="152"/>
      <c r="K17" s="102"/>
      <c r="L17" s="93"/>
    </row>
    <row r="18" spans="1:12" s="16" customFormat="1" ht="24" customHeight="1" x14ac:dyDescent="0.3">
      <c r="A18" s="607" t="s">
        <v>343</v>
      </c>
      <c r="B18" s="608"/>
      <c r="C18" s="154">
        <v>2</v>
      </c>
      <c r="D18" s="644"/>
      <c r="E18" s="154"/>
      <c r="F18" s="154"/>
      <c r="G18" s="154"/>
      <c r="H18" s="154"/>
      <c r="I18" s="644"/>
      <c r="J18" s="154"/>
      <c r="K18" s="102"/>
      <c r="L18" s="53"/>
    </row>
    <row r="19" spans="1:12" s="16" customFormat="1" ht="24" customHeight="1" x14ac:dyDescent="0.3">
      <c r="A19" s="677" t="s">
        <v>491</v>
      </c>
      <c r="B19" s="614"/>
      <c r="C19" s="154">
        <v>3</v>
      </c>
      <c r="D19" s="644"/>
      <c r="E19" s="154"/>
      <c r="F19" s="154"/>
      <c r="G19" s="154"/>
      <c r="H19" s="154"/>
      <c r="I19" s="644"/>
      <c r="J19" s="154"/>
      <c r="K19" s="102"/>
      <c r="L19" s="93"/>
    </row>
    <row r="20" spans="1:12" s="16" customFormat="1" ht="24" customHeight="1" x14ac:dyDescent="0.3">
      <c r="A20" s="41"/>
      <c r="B20" s="147"/>
      <c r="C20" s="154">
        <v>4</v>
      </c>
      <c r="D20" s="644"/>
      <c r="E20" s="154"/>
      <c r="F20" s="154"/>
      <c r="G20" s="154"/>
      <c r="H20" s="154"/>
      <c r="I20" s="644"/>
      <c r="J20" s="154"/>
      <c r="K20" s="102"/>
      <c r="L20" s="51"/>
    </row>
    <row r="21" spans="1:12" s="16" customFormat="1" ht="24" customHeight="1" x14ac:dyDescent="0.3">
      <c r="A21" s="41"/>
      <c r="B21" s="147"/>
      <c r="C21" s="154">
        <v>5</v>
      </c>
      <c r="D21" s="644"/>
      <c r="E21" s="154"/>
      <c r="F21" s="154"/>
      <c r="G21" s="154"/>
      <c r="H21" s="154"/>
      <c r="I21" s="644"/>
      <c r="J21" s="154"/>
      <c r="K21" s="102"/>
      <c r="L21" s="51"/>
    </row>
    <row r="22" spans="1:12" s="16" customFormat="1" ht="24" customHeight="1" x14ac:dyDescent="0.3">
      <c r="A22" s="41"/>
      <c r="B22" s="147"/>
      <c r="C22" s="154">
        <v>6</v>
      </c>
      <c r="D22" s="644"/>
      <c r="E22" s="154"/>
      <c r="F22" s="154"/>
      <c r="G22" s="154"/>
      <c r="H22" s="154"/>
      <c r="I22" s="644"/>
      <c r="J22" s="154"/>
      <c r="K22" s="101"/>
      <c r="L22" s="51"/>
    </row>
    <row r="23" spans="1:12" s="16" customFormat="1" ht="24" customHeight="1" x14ac:dyDescent="0.3">
      <c r="A23" s="41"/>
      <c r="B23" s="147"/>
      <c r="C23" s="154">
        <v>7</v>
      </c>
      <c r="D23" s="644"/>
      <c r="E23" s="154" t="str">
        <f>'춘천SS(구)'!E35</f>
        <v/>
      </c>
      <c r="F23" s="154" t="str">
        <f>'춘천SS(구)'!F35</f>
        <v/>
      </c>
      <c r="G23" s="154" t="str">
        <f>'춘천SS(구)'!G35</f>
        <v/>
      </c>
      <c r="H23" s="154" t="str">
        <f>'춘천SS(구)'!H35</f>
        <v/>
      </c>
      <c r="I23" s="644"/>
      <c r="J23" s="154" t="str">
        <f>'춘천SS(구)'!J35</f>
        <v/>
      </c>
      <c r="K23" s="101"/>
      <c r="L23" s="51"/>
    </row>
    <row r="24" spans="1:12" s="16" customFormat="1" ht="24" customHeight="1" x14ac:dyDescent="0.3">
      <c r="A24" s="41"/>
      <c r="B24" s="147"/>
      <c r="C24" s="154">
        <v>8</v>
      </c>
      <c r="D24" s="644"/>
      <c r="E24" s="154" t="str">
        <f>'춘천SS(구)'!E36</f>
        <v/>
      </c>
      <c r="F24" s="154" t="str">
        <f>'춘천SS(구)'!F36</f>
        <v/>
      </c>
      <c r="G24" s="154" t="str">
        <f>'춘천SS(구)'!G36</f>
        <v/>
      </c>
      <c r="H24" s="154" t="str">
        <f>'춘천SS(구)'!H36</f>
        <v/>
      </c>
      <c r="I24" s="644"/>
      <c r="J24" s="154" t="str">
        <f>'춘천SS(구)'!J36</f>
        <v/>
      </c>
      <c r="K24" s="101"/>
      <c r="L24" s="51"/>
    </row>
    <row r="25" spans="1:12" s="16" customFormat="1" ht="24" customHeight="1" x14ac:dyDescent="0.3">
      <c r="A25" s="41"/>
      <c r="B25" s="147"/>
      <c r="C25" s="154">
        <v>9</v>
      </c>
      <c r="D25" s="644"/>
      <c r="E25" s="154" t="str">
        <f>'춘천SS(구)'!E37</f>
        <v/>
      </c>
      <c r="F25" s="154" t="str">
        <f>'춘천SS(구)'!F37</f>
        <v/>
      </c>
      <c r="G25" s="154" t="str">
        <f>'춘천SS(구)'!G37</f>
        <v/>
      </c>
      <c r="H25" s="154" t="str">
        <f>'춘천SS(구)'!H37</f>
        <v/>
      </c>
      <c r="I25" s="644"/>
      <c r="J25" s="154" t="str">
        <f>'춘천SS(구)'!J37</f>
        <v/>
      </c>
      <c r="K25" s="101"/>
      <c r="L25" s="51"/>
    </row>
    <row r="26" spans="1:12" s="16" customFormat="1" ht="24" customHeight="1" x14ac:dyDescent="0.3">
      <c r="A26" s="41"/>
      <c r="B26" s="147"/>
      <c r="C26" s="154">
        <v>10</v>
      </c>
      <c r="D26" s="644"/>
      <c r="E26" s="154" t="str">
        <f>'춘천SS(구)'!E38</f>
        <v/>
      </c>
      <c r="F26" s="154" t="str">
        <f>'춘천SS(구)'!F38</f>
        <v/>
      </c>
      <c r="G26" s="154" t="str">
        <f>'춘천SS(구)'!G38</f>
        <v/>
      </c>
      <c r="H26" s="154" t="str">
        <f>'춘천SS(구)'!H38</f>
        <v/>
      </c>
      <c r="I26" s="644"/>
      <c r="J26" s="154" t="str">
        <f>'춘천SS(구)'!J38</f>
        <v/>
      </c>
      <c r="K26" s="101"/>
      <c r="L26" s="51"/>
    </row>
    <row r="27" spans="1:12" s="16" customFormat="1" ht="24" customHeight="1" x14ac:dyDescent="0.3">
      <c r="A27" s="41"/>
      <c r="B27" s="147"/>
      <c r="C27" s="154">
        <v>11</v>
      </c>
      <c r="D27" s="644"/>
      <c r="E27" s="154" t="str">
        <f>'춘천SS(구)'!E39</f>
        <v/>
      </c>
      <c r="F27" s="154" t="str">
        <f>'춘천SS(구)'!F39</f>
        <v/>
      </c>
      <c r="G27" s="154" t="str">
        <f>'춘천SS(구)'!G39</f>
        <v/>
      </c>
      <c r="H27" s="154" t="str">
        <f>'춘천SS(구)'!H39</f>
        <v/>
      </c>
      <c r="I27" s="644"/>
      <c r="J27" s="154" t="str">
        <f>'춘천SS(구)'!J39</f>
        <v/>
      </c>
      <c r="K27" s="101"/>
      <c r="L27" s="51"/>
    </row>
    <row r="28" spans="1:12" s="16" customFormat="1" ht="24" customHeight="1" x14ac:dyDescent="0.3">
      <c r="A28" s="41"/>
      <c r="B28" s="147"/>
      <c r="C28" s="158">
        <v>12</v>
      </c>
      <c r="D28" s="645"/>
      <c r="E28" s="162" t="str">
        <f>'춘천SS(구)'!E40</f>
        <v/>
      </c>
      <c r="F28" s="162" t="str">
        <f>'춘천SS(구)'!F40</f>
        <v/>
      </c>
      <c r="G28" s="162" t="str">
        <f>'춘천SS(구)'!G40</f>
        <v/>
      </c>
      <c r="H28" s="162" t="str">
        <f>'춘천SS(구)'!H40</f>
        <v/>
      </c>
      <c r="I28" s="645"/>
      <c r="J28" s="162" t="str">
        <f>'춘천SS(구)'!J40</f>
        <v/>
      </c>
      <c r="K28" s="101"/>
      <c r="L28" s="51"/>
    </row>
    <row r="29" spans="1:12" s="16" customFormat="1" ht="24" customHeight="1" x14ac:dyDescent="0.3">
      <c r="A29" s="141" t="s">
        <v>334</v>
      </c>
      <c r="B29" s="194" t="s">
        <v>337</v>
      </c>
      <c r="C29" s="152">
        <v>1</v>
      </c>
      <c r="D29" s="606" t="s">
        <v>338</v>
      </c>
      <c r="E29" s="152"/>
      <c r="F29" s="153"/>
      <c r="G29" s="152"/>
      <c r="H29" s="152"/>
      <c r="I29" s="606" t="s">
        <v>338</v>
      </c>
      <c r="J29" s="152"/>
      <c r="K29" s="102"/>
      <c r="L29" s="51"/>
    </row>
    <row r="30" spans="1:12" s="16" customFormat="1" ht="24" customHeight="1" x14ac:dyDescent="0.3">
      <c r="A30" s="607" t="s">
        <v>343</v>
      </c>
      <c r="B30" s="608"/>
      <c r="C30" s="154">
        <v>2</v>
      </c>
      <c r="D30" s="644"/>
      <c r="E30" s="154"/>
      <c r="F30" s="157"/>
      <c r="G30" s="154"/>
      <c r="H30" s="154"/>
      <c r="I30" s="644"/>
      <c r="J30" s="190"/>
      <c r="K30" s="102"/>
      <c r="L30" s="51"/>
    </row>
    <row r="31" spans="1:12" s="16" customFormat="1" ht="24" customHeight="1" x14ac:dyDescent="0.3">
      <c r="A31" s="677" t="s">
        <v>491</v>
      </c>
      <c r="B31" s="614"/>
      <c r="C31" s="154">
        <v>3</v>
      </c>
      <c r="D31" s="644"/>
      <c r="E31" s="154"/>
      <c r="F31" s="157"/>
      <c r="G31" s="154"/>
      <c r="H31" s="154"/>
      <c r="I31" s="644"/>
      <c r="J31" s="190"/>
      <c r="K31" s="209"/>
      <c r="L31" s="51"/>
    </row>
    <row r="32" spans="1:12" s="16" customFormat="1" ht="24" customHeight="1" x14ac:dyDescent="0.3">
      <c r="A32" s="41"/>
      <c r="B32" s="147"/>
      <c r="C32" s="154">
        <v>4</v>
      </c>
      <c r="D32" s="644"/>
      <c r="E32" s="154" t="s">
        <v>6</v>
      </c>
      <c r="F32" s="157" t="s">
        <v>596</v>
      </c>
      <c r="G32" s="154" t="s">
        <v>7</v>
      </c>
      <c r="H32" s="154" t="s">
        <v>607</v>
      </c>
      <c r="I32" s="644"/>
      <c r="J32" s="190" t="s">
        <v>600</v>
      </c>
      <c r="K32" s="102"/>
      <c r="L32" s="51"/>
    </row>
    <row r="33" spans="1:12" s="16" customFormat="1" ht="24" customHeight="1" x14ac:dyDescent="0.3">
      <c r="A33" s="41"/>
      <c r="B33" s="147"/>
      <c r="C33" s="154">
        <v>5</v>
      </c>
      <c r="D33" s="644"/>
      <c r="E33" s="154" t="s">
        <v>6</v>
      </c>
      <c r="F33" s="157" t="s">
        <v>596</v>
      </c>
      <c r="G33" s="154" t="s">
        <v>7</v>
      </c>
      <c r="H33" s="154" t="s">
        <v>608</v>
      </c>
      <c r="I33" s="644"/>
      <c r="J33" s="190" t="s">
        <v>601</v>
      </c>
      <c r="K33" s="102"/>
      <c r="L33" s="51"/>
    </row>
    <row r="34" spans="1:12" s="16" customFormat="1" ht="24" customHeight="1" x14ac:dyDescent="0.3">
      <c r="A34" s="41"/>
      <c r="B34" s="147"/>
      <c r="C34" s="154">
        <v>6</v>
      </c>
      <c r="D34" s="644"/>
      <c r="E34" s="154"/>
      <c r="F34" s="157"/>
      <c r="G34" s="154"/>
      <c r="H34" s="154"/>
      <c r="I34" s="644"/>
      <c r="J34" s="190"/>
      <c r="K34" s="102"/>
      <c r="L34" s="51"/>
    </row>
    <row r="35" spans="1:12" s="16" customFormat="1" ht="24" customHeight="1" x14ac:dyDescent="0.3">
      <c r="A35" s="41"/>
      <c r="B35" s="147"/>
      <c r="C35" s="154">
        <v>7</v>
      </c>
      <c r="D35" s="644"/>
      <c r="E35" s="154"/>
      <c r="F35" s="157"/>
      <c r="G35" s="154"/>
      <c r="H35" s="154"/>
      <c r="I35" s="644"/>
      <c r="J35" s="190"/>
      <c r="K35" s="102"/>
      <c r="L35" s="51"/>
    </row>
    <row r="36" spans="1:12" s="16" customFormat="1" ht="24" customHeight="1" x14ac:dyDescent="0.3">
      <c r="A36" s="41"/>
      <c r="B36" s="147"/>
      <c r="C36" s="154">
        <v>8</v>
      </c>
      <c r="D36" s="644"/>
      <c r="E36" s="154"/>
      <c r="F36" s="157"/>
      <c r="G36" s="154"/>
      <c r="H36" s="154"/>
      <c r="I36" s="644"/>
      <c r="J36" s="190"/>
      <c r="K36" s="102"/>
      <c r="L36" s="51"/>
    </row>
    <row r="37" spans="1:12" s="16" customFormat="1" ht="24" customHeight="1" x14ac:dyDescent="0.3">
      <c r="A37" s="41"/>
      <c r="B37" s="147"/>
      <c r="C37" s="154">
        <v>9</v>
      </c>
      <c r="D37" s="644"/>
      <c r="E37" s="154"/>
      <c r="F37" s="157"/>
      <c r="G37" s="154"/>
      <c r="H37" s="154"/>
      <c r="I37" s="644"/>
      <c r="J37" s="190"/>
      <c r="K37" s="102"/>
      <c r="L37" s="51"/>
    </row>
    <row r="38" spans="1:12" s="16" customFormat="1" ht="24" customHeight="1" x14ac:dyDescent="0.3">
      <c r="A38" s="41"/>
      <c r="B38" s="147"/>
      <c r="C38" s="154">
        <v>10</v>
      </c>
      <c r="D38" s="644"/>
      <c r="E38" s="154"/>
      <c r="F38" s="157"/>
      <c r="G38" s="154"/>
      <c r="H38" s="154"/>
      <c r="I38" s="644"/>
      <c r="J38" s="190"/>
      <c r="K38" s="102"/>
      <c r="L38" s="51"/>
    </row>
    <row r="39" spans="1:12" s="16" customFormat="1" ht="24" customHeight="1" x14ac:dyDescent="0.3">
      <c r="A39" s="41"/>
      <c r="B39" s="147"/>
      <c r="C39" s="154">
        <v>11</v>
      </c>
      <c r="D39" s="644"/>
      <c r="E39" s="154"/>
      <c r="F39" s="157"/>
      <c r="G39" s="154"/>
      <c r="H39" s="154"/>
      <c r="I39" s="644"/>
      <c r="J39" s="190"/>
      <c r="K39" s="102"/>
      <c r="L39" s="51"/>
    </row>
    <row r="40" spans="1:12" s="16" customFormat="1" ht="24" customHeight="1" x14ac:dyDescent="0.3">
      <c r="A40" s="41"/>
      <c r="B40" s="147"/>
      <c r="C40" s="158">
        <v>12</v>
      </c>
      <c r="D40" s="645"/>
      <c r="E40" s="158"/>
      <c r="F40" s="159"/>
      <c r="G40" s="158"/>
      <c r="H40" s="158"/>
      <c r="I40" s="645"/>
      <c r="J40" s="191"/>
      <c r="K40" s="102"/>
      <c r="L40" s="51"/>
    </row>
    <row r="41" spans="1:12" s="16" customFormat="1" ht="24" customHeight="1" x14ac:dyDescent="0.3">
      <c r="A41" s="141" t="s">
        <v>43</v>
      </c>
      <c r="B41" s="149" t="s">
        <v>341</v>
      </c>
      <c r="C41" s="152">
        <v>1</v>
      </c>
      <c r="D41" s="606" t="s">
        <v>338</v>
      </c>
      <c r="E41" s="152" t="s">
        <v>339</v>
      </c>
      <c r="F41" s="153" t="s">
        <v>336</v>
      </c>
      <c r="G41" s="152" t="s">
        <v>27</v>
      </c>
      <c r="H41" s="152" t="s">
        <v>502</v>
      </c>
      <c r="I41" s="606" t="s">
        <v>338</v>
      </c>
      <c r="J41" s="152" t="s">
        <v>344</v>
      </c>
      <c r="K41" s="102"/>
      <c r="L41" s="18"/>
    </row>
    <row r="42" spans="1:12" s="16" customFormat="1" ht="24" customHeight="1" x14ac:dyDescent="0.3">
      <c r="A42" s="607" t="s">
        <v>342</v>
      </c>
      <c r="B42" s="608"/>
      <c r="C42" s="154">
        <v>2</v>
      </c>
      <c r="D42" s="644"/>
      <c r="E42" s="154" t="s">
        <v>28</v>
      </c>
      <c r="F42" s="157" t="s">
        <v>26</v>
      </c>
      <c r="G42" s="154" t="s">
        <v>27</v>
      </c>
      <c r="H42" s="154" t="s">
        <v>503</v>
      </c>
      <c r="I42" s="644"/>
      <c r="J42" s="190" t="s">
        <v>345</v>
      </c>
      <c r="K42" s="102"/>
      <c r="L42" s="18"/>
    </row>
    <row r="43" spans="1:12" s="16" customFormat="1" ht="24" customHeight="1" x14ac:dyDescent="0.3">
      <c r="A43" s="677" t="s">
        <v>491</v>
      </c>
      <c r="B43" s="614"/>
      <c r="C43" s="154">
        <v>3</v>
      </c>
      <c r="D43" s="644"/>
      <c r="E43" s="154" t="s">
        <v>25</v>
      </c>
      <c r="F43" s="157" t="s">
        <v>26</v>
      </c>
      <c r="G43" s="154" t="s">
        <v>27</v>
      </c>
      <c r="H43" s="154" t="s">
        <v>556</v>
      </c>
      <c r="I43" s="644"/>
      <c r="J43" s="190" t="s">
        <v>557</v>
      </c>
      <c r="K43" s="102"/>
      <c r="L43" s="51"/>
    </row>
    <row r="44" spans="1:12" s="16" customFormat="1" ht="24" customHeight="1" x14ac:dyDescent="0.3">
      <c r="A44" s="41"/>
      <c r="B44" s="147"/>
      <c r="C44" s="154">
        <v>4</v>
      </c>
      <c r="D44" s="644"/>
      <c r="E44" s="154" t="s">
        <v>6</v>
      </c>
      <c r="F44" s="157" t="s">
        <v>596</v>
      </c>
      <c r="G44" s="154" t="s">
        <v>7</v>
      </c>
      <c r="H44" s="154" t="s">
        <v>605</v>
      </c>
      <c r="I44" s="644"/>
      <c r="J44" s="190" t="s">
        <v>598</v>
      </c>
      <c r="K44" s="102"/>
      <c r="L44" s="51"/>
    </row>
    <row r="45" spans="1:12" s="16" customFormat="1" ht="24" customHeight="1" x14ac:dyDescent="0.3">
      <c r="A45" s="41"/>
      <c r="B45" s="147"/>
      <c r="C45" s="154">
        <v>5</v>
      </c>
      <c r="D45" s="644"/>
      <c r="E45" s="154" t="s">
        <v>6</v>
      </c>
      <c r="F45" s="157" t="s">
        <v>596</v>
      </c>
      <c r="G45" s="154" t="s">
        <v>7</v>
      </c>
      <c r="H45" s="154" t="s">
        <v>606</v>
      </c>
      <c r="I45" s="644"/>
      <c r="J45" s="190" t="s">
        <v>609</v>
      </c>
      <c r="K45" s="102"/>
      <c r="L45" s="51"/>
    </row>
    <row r="46" spans="1:12" s="16" customFormat="1" ht="24" customHeight="1" x14ac:dyDescent="0.3">
      <c r="A46" s="41"/>
      <c r="B46" s="147"/>
      <c r="C46" s="154">
        <v>6</v>
      </c>
      <c r="D46" s="644"/>
      <c r="E46" s="394" t="s">
        <v>680</v>
      </c>
      <c r="F46" s="397" t="s">
        <v>680</v>
      </c>
      <c r="G46" s="394" t="s">
        <v>680</v>
      </c>
      <c r="H46" s="394" t="s">
        <v>680</v>
      </c>
      <c r="I46" s="644"/>
      <c r="J46" s="410" t="s">
        <v>680</v>
      </c>
      <c r="K46" s="102"/>
      <c r="L46" s="51"/>
    </row>
    <row r="47" spans="1:12" s="16" customFormat="1" ht="24" customHeight="1" x14ac:dyDescent="0.3">
      <c r="A47" s="41"/>
      <c r="B47" s="147"/>
      <c r="C47" s="154">
        <v>7</v>
      </c>
      <c r="D47" s="644"/>
      <c r="E47" s="394" t="s">
        <v>680</v>
      </c>
      <c r="F47" s="397" t="s">
        <v>680</v>
      </c>
      <c r="G47" s="394" t="s">
        <v>680</v>
      </c>
      <c r="H47" s="394" t="s">
        <v>680</v>
      </c>
      <c r="I47" s="644"/>
      <c r="J47" s="410" t="s">
        <v>680</v>
      </c>
      <c r="K47" s="102"/>
      <c r="L47" s="51"/>
    </row>
    <row r="48" spans="1:12" s="16" customFormat="1" ht="24" customHeight="1" x14ac:dyDescent="0.3">
      <c r="A48" s="41"/>
      <c r="B48" s="147"/>
      <c r="C48" s="154">
        <v>8</v>
      </c>
      <c r="D48" s="644"/>
      <c r="E48" s="394" t="s">
        <v>680</v>
      </c>
      <c r="F48" s="397" t="s">
        <v>680</v>
      </c>
      <c r="G48" s="394" t="s">
        <v>680</v>
      </c>
      <c r="H48" s="394" t="s">
        <v>680</v>
      </c>
      <c r="I48" s="644"/>
      <c r="J48" s="410" t="s">
        <v>680</v>
      </c>
      <c r="K48" s="102"/>
      <c r="L48" s="51"/>
    </row>
    <row r="49" spans="1:12" s="16" customFormat="1" ht="24" customHeight="1" x14ac:dyDescent="0.3">
      <c r="A49" s="41"/>
      <c r="B49" s="147"/>
      <c r="C49" s="154">
        <v>9</v>
      </c>
      <c r="D49" s="644"/>
      <c r="E49" s="394" t="s">
        <v>680</v>
      </c>
      <c r="F49" s="397" t="s">
        <v>680</v>
      </c>
      <c r="G49" s="394" t="s">
        <v>680</v>
      </c>
      <c r="H49" s="394" t="s">
        <v>680</v>
      </c>
      <c r="I49" s="644"/>
      <c r="J49" s="410" t="s">
        <v>680</v>
      </c>
      <c r="K49" s="102"/>
      <c r="L49" s="51"/>
    </row>
    <row r="50" spans="1:12" s="16" customFormat="1" ht="24" customHeight="1" x14ac:dyDescent="0.3">
      <c r="A50" s="41"/>
      <c r="B50" s="147"/>
      <c r="C50" s="154">
        <v>10</v>
      </c>
      <c r="D50" s="644"/>
      <c r="E50" s="394" t="s">
        <v>680</v>
      </c>
      <c r="F50" s="397" t="s">
        <v>680</v>
      </c>
      <c r="G50" s="394" t="s">
        <v>680</v>
      </c>
      <c r="H50" s="394" t="s">
        <v>680</v>
      </c>
      <c r="I50" s="644"/>
      <c r="J50" s="410" t="s">
        <v>680</v>
      </c>
      <c r="K50" s="102"/>
      <c r="L50" s="51"/>
    </row>
    <row r="51" spans="1:12" s="16" customFormat="1" ht="24" customHeight="1" x14ac:dyDescent="0.3">
      <c r="A51" s="41"/>
      <c r="B51" s="147"/>
      <c r="C51" s="154">
        <v>11</v>
      </c>
      <c r="D51" s="644"/>
      <c r="E51" s="394" t="s">
        <v>680</v>
      </c>
      <c r="F51" s="397" t="s">
        <v>680</v>
      </c>
      <c r="G51" s="394" t="s">
        <v>680</v>
      </c>
      <c r="H51" s="394" t="s">
        <v>680</v>
      </c>
      <c r="I51" s="644"/>
      <c r="J51" s="410" t="s">
        <v>680</v>
      </c>
      <c r="K51" s="102"/>
      <c r="L51" s="51"/>
    </row>
    <row r="52" spans="1:12" s="16" customFormat="1" ht="24" customHeight="1" x14ac:dyDescent="0.3">
      <c r="A52" s="41"/>
      <c r="B52" s="147"/>
      <c r="C52" s="158">
        <v>12</v>
      </c>
      <c r="D52" s="645"/>
      <c r="E52" s="394" t="s">
        <v>680</v>
      </c>
      <c r="F52" s="397" t="s">
        <v>680</v>
      </c>
      <c r="G52" s="394" t="s">
        <v>680</v>
      </c>
      <c r="H52" s="394" t="s">
        <v>680</v>
      </c>
      <c r="I52" s="645"/>
      <c r="J52" s="410" t="s">
        <v>680</v>
      </c>
      <c r="K52" s="102"/>
      <c r="L52" s="53"/>
    </row>
    <row r="53" spans="1:12" s="16" customFormat="1" ht="24" customHeight="1" x14ac:dyDescent="0.3">
      <c r="A53" s="41"/>
      <c r="B53" s="147"/>
      <c r="C53" s="152">
        <v>1</v>
      </c>
      <c r="D53" s="651" t="s">
        <v>340</v>
      </c>
      <c r="E53" s="400" t="s">
        <v>680</v>
      </c>
      <c r="F53" s="403" t="s">
        <v>680</v>
      </c>
      <c r="G53" s="396" t="s">
        <v>680</v>
      </c>
      <c r="H53" s="396" t="s">
        <v>680</v>
      </c>
      <c r="I53" s="651" t="s">
        <v>340</v>
      </c>
      <c r="J53" s="417" t="s">
        <v>680</v>
      </c>
      <c r="K53" s="102"/>
      <c r="L53" s="51"/>
    </row>
    <row r="54" spans="1:12" s="16" customFormat="1" ht="24" customHeight="1" x14ac:dyDescent="0.3">
      <c r="A54" s="41"/>
      <c r="B54" s="147"/>
      <c r="C54" s="154">
        <v>2</v>
      </c>
      <c r="D54" s="649"/>
      <c r="E54" s="401" t="s">
        <v>680</v>
      </c>
      <c r="F54" s="397" t="s">
        <v>680</v>
      </c>
      <c r="G54" s="401" t="s">
        <v>680</v>
      </c>
      <c r="H54" s="394" t="s">
        <v>680</v>
      </c>
      <c r="I54" s="649"/>
      <c r="J54" s="410" t="s">
        <v>680</v>
      </c>
      <c r="K54" s="101"/>
      <c r="L54" s="51"/>
    </row>
    <row r="55" spans="1:12" s="16" customFormat="1" ht="24" customHeight="1" x14ac:dyDescent="0.3">
      <c r="A55" s="41"/>
      <c r="B55" s="147"/>
      <c r="C55" s="154">
        <v>3</v>
      </c>
      <c r="D55" s="649"/>
      <c r="E55" s="401" t="s">
        <v>680</v>
      </c>
      <c r="F55" s="397" t="s">
        <v>680</v>
      </c>
      <c r="G55" s="394" t="s">
        <v>680</v>
      </c>
      <c r="H55" s="394" t="s">
        <v>680</v>
      </c>
      <c r="I55" s="649"/>
      <c r="J55" s="410" t="s">
        <v>680</v>
      </c>
      <c r="K55" s="101"/>
      <c r="L55" s="51"/>
    </row>
    <row r="56" spans="1:12" s="16" customFormat="1" ht="24" customHeight="1" x14ac:dyDescent="0.3">
      <c r="A56" s="144"/>
      <c r="B56" s="151"/>
      <c r="C56" s="162">
        <v>4</v>
      </c>
      <c r="D56" s="650"/>
      <c r="E56" s="402" t="s">
        <v>680</v>
      </c>
      <c r="F56" s="405" t="s">
        <v>680</v>
      </c>
      <c r="G56" s="395" t="s">
        <v>680</v>
      </c>
      <c r="H56" s="395" t="s">
        <v>680</v>
      </c>
      <c r="I56" s="650"/>
      <c r="J56" s="395" t="s">
        <v>680</v>
      </c>
      <c r="K56" s="101"/>
      <c r="L56" s="51"/>
    </row>
    <row r="57" spans="1:12" s="16" customFormat="1" ht="24" customHeight="1" x14ac:dyDescent="0.3">
      <c r="A57" s="29" t="s">
        <v>43</v>
      </c>
      <c r="B57" s="146" t="s">
        <v>212</v>
      </c>
      <c r="C57" s="152">
        <v>1</v>
      </c>
      <c r="D57" s="668" t="s">
        <v>73</v>
      </c>
      <c r="E57" s="152" t="str">
        <f>'춘천SS(구)'!E351</f>
        <v/>
      </c>
      <c r="F57" s="234">
        <f>'춘천SS(구)'!F351</f>
        <v>0</v>
      </c>
      <c r="G57" s="234">
        <f>'춘천SS(구)'!G351</f>
        <v>0</v>
      </c>
      <c r="H57" s="234">
        <f>'춘천SS(구)'!H351</f>
        <v>0</v>
      </c>
      <c r="I57" s="657" t="s">
        <v>73</v>
      </c>
      <c r="J57" s="238">
        <f>'춘천SS(구)'!J351</f>
        <v>0</v>
      </c>
      <c r="K57" s="101"/>
      <c r="L57" s="51"/>
    </row>
    <row r="58" spans="1:12" s="16" customFormat="1" ht="24" customHeight="1" x14ac:dyDescent="0.3">
      <c r="A58" s="607" t="s">
        <v>12</v>
      </c>
      <c r="B58" s="608"/>
      <c r="C58" s="154">
        <v>2</v>
      </c>
      <c r="D58" s="669"/>
      <c r="E58" s="154" t="str">
        <f>'춘천SS(구)'!E352</f>
        <v/>
      </c>
      <c r="F58" s="154" t="str">
        <f>'춘천SS(구)'!F352</f>
        <v/>
      </c>
      <c r="G58" s="154" t="str">
        <f>'춘천SS(구)'!G352</f>
        <v/>
      </c>
      <c r="H58" s="154" t="str">
        <f>'춘천SS(구)'!H352</f>
        <v/>
      </c>
      <c r="I58" s="658"/>
      <c r="J58" s="190" t="str">
        <f>'춘천SS(구)'!J352</f>
        <v/>
      </c>
      <c r="K58" s="101"/>
      <c r="L58" s="51"/>
    </row>
    <row r="59" spans="1:12" s="16" customFormat="1" ht="24" customHeight="1" x14ac:dyDescent="0.3">
      <c r="A59" s="41"/>
      <c r="B59" s="147"/>
      <c r="C59" s="158">
        <v>3</v>
      </c>
      <c r="D59" s="672"/>
      <c r="E59" s="158" t="str">
        <f>'춘천SS(구)'!E353</f>
        <v/>
      </c>
      <c r="F59" s="158" t="str">
        <f>'춘천SS(구)'!F353</f>
        <v/>
      </c>
      <c r="G59" s="158" t="str">
        <f>'춘천SS(구)'!G353</f>
        <v/>
      </c>
      <c r="H59" s="158" t="str">
        <f>'춘천SS(구)'!H353</f>
        <v/>
      </c>
      <c r="I59" s="661"/>
      <c r="J59" s="191" t="str">
        <f>'춘천SS(구)'!J353</f>
        <v/>
      </c>
      <c r="K59" s="102"/>
      <c r="L59" s="53"/>
    </row>
    <row r="60" spans="1:12" s="16" customFormat="1" ht="24" customHeight="1" x14ac:dyDescent="0.3">
      <c r="A60" s="41"/>
      <c r="B60" s="147"/>
      <c r="C60" s="152">
        <v>4</v>
      </c>
      <c r="D60" s="657" t="s">
        <v>73</v>
      </c>
      <c r="E60" s="152" t="str">
        <f>'춘천SS(구)'!E354</f>
        <v/>
      </c>
      <c r="F60" s="234">
        <f>'춘천SS(구)'!F354</f>
        <v>0</v>
      </c>
      <c r="G60" s="234">
        <f>'춘천SS(구)'!G354</f>
        <v>0</v>
      </c>
      <c r="H60" s="234">
        <f>'춘천SS(구)'!H354</f>
        <v>0</v>
      </c>
      <c r="I60" s="657" t="s">
        <v>73</v>
      </c>
      <c r="J60" s="238">
        <f>'춘천SS(구)'!J354</f>
        <v>0</v>
      </c>
      <c r="K60" s="102"/>
      <c r="L60" s="53"/>
    </row>
    <row r="61" spans="1:12" s="16" customFormat="1" ht="24" customHeight="1" x14ac:dyDescent="0.3">
      <c r="A61" s="41"/>
      <c r="B61" s="147"/>
      <c r="C61" s="154">
        <v>5</v>
      </c>
      <c r="D61" s="658"/>
      <c r="E61" s="154" t="str">
        <f>'춘천SS(구)'!E355</f>
        <v/>
      </c>
      <c r="F61" s="154">
        <f>'춘천SS(구)'!F355</f>
        <v>0</v>
      </c>
      <c r="G61" s="154">
        <f>'춘천SS(구)'!G355</f>
        <v>0</v>
      </c>
      <c r="H61" s="154">
        <f>'춘천SS(구)'!H355</f>
        <v>0</v>
      </c>
      <c r="I61" s="658"/>
      <c r="J61" s="190">
        <f>'춘천SS(구)'!J355</f>
        <v>0</v>
      </c>
      <c r="K61" s="102"/>
      <c r="L61" s="51"/>
    </row>
    <row r="62" spans="1:12" s="16" customFormat="1" ht="24" customHeight="1" x14ac:dyDescent="0.3">
      <c r="A62" s="41"/>
      <c r="B62" s="147"/>
      <c r="C62" s="162">
        <v>6</v>
      </c>
      <c r="D62" s="659"/>
      <c r="E62" s="162" t="str">
        <f>'춘천SS(구)'!E356</f>
        <v/>
      </c>
      <c r="F62" s="162" t="str">
        <f>'춘천SS(구)'!F356</f>
        <v/>
      </c>
      <c r="G62" s="162" t="str">
        <f>'춘천SS(구)'!G356</f>
        <v/>
      </c>
      <c r="H62" s="162" t="str">
        <f>'춘천SS(구)'!H356</f>
        <v/>
      </c>
      <c r="I62" s="659"/>
      <c r="J62" s="193" t="str">
        <f>'춘천SS(구)'!J356</f>
        <v/>
      </c>
      <c r="K62" s="102"/>
      <c r="L62" s="51"/>
    </row>
    <row r="63" spans="1:12" s="16" customFormat="1" ht="24" customHeight="1" x14ac:dyDescent="0.3">
      <c r="A63" s="41"/>
      <c r="B63" s="147"/>
      <c r="C63" s="172">
        <v>7</v>
      </c>
      <c r="D63" s="675" t="s">
        <v>18</v>
      </c>
      <c r="E63" s="152" t="str">
        <f>'춘천SS(구)'!E357</f>
        <v/>
      </c>
      <c r="F63" s="152" t="str">
        <f>'춘천SS(구)'!F357</f>
        <v>내선</v>
      </c>
      <c r="G63" s="152" t="str">
        <f>'춘천SS(구)'!G357</f>
        <v/>
      </c>
      <c r="H63" s="152" t="str">
        <f>'춘천SS(구)'!H357</f>
        <v>남춘천 배전반 (610)</v>
      </c>
      <c r="I63" s="665" t="s">
        <v>106</v>
      </c>
      <c r="J63" s="192" t="str">
        <f>'춘천SS(구)'!J357</f>
        <v>춘천-7-남춘천</v>
      </c>
      <c r="K63" s="102"/>
      <c r="L63" s="51"/>
    </row>
    <row r="64" spans="1:12" s="16" customFormat="1" ht="24" customHeight="1" x14ac:dyDescent="0.3">
      <c r="A64" s="41"/>
      <c r="B64" s="147"/>
      <c r="C64" s="154">
        <v>8</v>
      </c>
      <c r="D64" s="666"/>
      <c r="E64" s="154" t="str">
        <f>'춘천SS(구)'!E358</f>
        <v/>
      </c>
      <c r="F64" s="154" t="str">
        <f>'춘천SS(구)'!F358</f>
        <v>내선</v>
      </c>
      <c r="G64" s="154" t="str">
        <f>'춘천SS(구)'!G358</f>
        <v/>
      </c>
      <c r="H64" s="154" t="str">
        <f>'춘천SS(구)'!H358</f>
        <v>남춘천 배전반 (611)</v>
      </c>
      <c r="I64" s="666"/>
      <c r="J64" s="190" t="str">
        <f>'춘천SS(구)'!J358</f>
        <v>춘천-8-남춘천</v>
      </c>
      <c r="K64" s="102"/>
      <c r="L64" s="51"/>
    </row>
    <row r="65" spans="1:12" s="16" customFormat="1" ht="24" customHeight="1" x14ac:dyDescent="0.3">
      <c r="A65" s="41"/>
      <c r="B65" s="147"/>
      <c r="C65" s="158">
        <v>9</v>
      </c>
      <c r="D65" s="676"/>
      <c r="E65" s="162" t="str">
        <f>'춘천SS(구)'!E359</f>
        <v/>
      </c>
      <c r="F65" s="162" t="str">
        <f>'춘천SS(구)'!F359</f>
        <v>내선</v>
      </c>
      <c r="G65" s="162" t="str">
        <f>'춘천SS(구)'!G359</f>
        <v/>
      </c>
      <c r="H65" s="162" t="str">
        <f>'춘천SS(구)'!H359</f>
        <v>남춘천 배전반 (612)</v>
      </c>
      <c r="I65" s="667"/>
      <c r="J65" s="193" t="str">
        <f>'춘천SS(구)'!J359</f>
        <v>춘천-9-남춘천</v>
      </c>
      <c r="K65" s="102"/>
      <c r="L65" s="53"/>
    </row>
    <row r="66" spans="1:12" s="16" customFormat="1" ht="24" customHeight="1" x14ac:dyDescent="0.3">
      <c r="A66" s="41"/>
      <c r="B66" s="147"/>
      <c r="C66" s="152">
        <v>10</v>
      </c>
      <c r="D66" s="657" t="s">
        <v>18</v>
      </c>
      <c r="E66" s="152" t="str">
        <f>'춘천SS(구)'!E360</f>
        <v/>
      </c>
      <c r="F66" s="152" t="str">
        <f>'춘천SS(구)'!F360</f>
        <v>내선</v>
      </c>
      <c r="G66" s="152" t="str">
        <f>'춘천SS(구)'!G360</f>
        <v/>
      </c>
      <c r="H66" s="152" t="str">
        <f>'춘천SS(구)'!H360</f>
        <v>남춘천 배전반 (659)</v>
      </c>
      <c r="I66" s="657" t="s">
        <v>103</v>
      </c>
      <c r="J66" s="192" t="str">
        <f>'춘천SS(구)'!J360</f>
        <v>남춘천 전력구</v>
      </c>
      <c r="K66" s="102"/>
      <c r="L66" s="53"/>
    </row>
    <row r="67" spans="1:12" s="16" customFormat="1" ht="24" customHeight="1" x14ac:dyDescent="0.3">
      <c r="A67" s="41"/>
      <c r="B67" s="147"/>
      <c r="C67" s="154">
        <v>11</v>
      </c>
      <c r="D67" s="658"/>
      <c r="E67" s="154" t="str">
        <f>'춘천SS(구)'!E361</f>
        <v/>
      </c>
      <c r="F67" s="154" t="str">
        <f>'춘천SS(구)'!F361</f>
        <v>내선</v>
      </c>
      <c r="G67" s="154" t="str">
        <f>'춘천SS(구)'!G361</f>
        <v/>
      </c>
      <c r="H67" s="154" t="str">
        <f>'춘천SS(구)'!H361</f>
        <v>남춘천 FAX(614)</v>
      </c>
      <c r="I67" s="658"/>
      <c r="J67" s="190" t="str">
        <f>'춘천SS(구)'!J361</f>
        <v>춘천-11-남춘천</v>
      </c>
      <c r="K67" s="102"/>
      <c r="L67" s="53"/>
    </row>
    <row r="68" spans="1:12" s="16" customFormat="1" ht="24" customHeight="1" x14ac:dyDescent="0.3">
      <c r="A68" s="41"/>
      <c r="B68" s="147"/>
      <c r="C68" s="162">
        <v>12</v>
      </c>
      <c r="D68" s="659"/>
      <c r="E68" s="162" t="str">
        <f>'춘천SS(구)'!E362</f>
        <v/>
      </c>
      <c r="F68" s="162" t="str">
        <f>'춘천SS(구)'!F362</f>
        <v>내선</v>
      </c>
      <c r="G68" s="162" t="str">
        <f>'춘천SS(구)'!G362</f>
        <v/>
      </c>
      <c r="H68" s="162" t="str">
        <f>'춘천SS(구)'!H362</f>
        <v>남춘천 배전반 (615)</v>
      </c>
      <c r="I68" s="659"/>
      <c r="J68" s="193" t="str">
        <f>'춘천SS(구)'!J362</f>
        <v>춘천-12-남춘천</v>
      </c>
      <c r="K68" s="102"/>
      <c r="L68" s="53"/>
    </row>
    <row r="69" spans="1:12" s="16" customFormat="1" ht="24" customHeight="1" x14ac:dyDescent="0.3">
      <c r="A69" s="41"/>
      <c r="B69" s="147"/>
      <c r="C69" s="172">
        <v>13</v>
      </c>
      <c r="D69" s="660" t="s">
        <v>322</v>
      </c>
      <c r="E69" s="152" t="str">
        <f>'춘천SS(구)'!E363</f>
        <v/>
      </c>
      <c r="F69" s="152" t="str">
        <f>'춘천SS(구)'!F363</f>
        <v/>
      </c>
      <c r="G69" s="152" t="str">
        <f>'춘천SS(구)'!G363</f>
        <v/>
      </c>
      <c r="H69" s="152" t="str">
        <f>'춘천SS(구)'!H363</f>
        <v/>
      </c>
      <c r="I69" s="657" t="s">
        <v>103</v>
      </c>
      <c r="J69" s="192" t="str">
        <f>'춘천SS(구)'!J363</f>
        <v/>
      </c>
      <c r="K69" s="102"/>
      <c r="L69" s="53"/>
    </row>
    <row r="70" spans="1:12" s="16" customFormat="1" ht="24" customHeight="1" x14ac:dyDescent="0.3">
      <c r="A70" s="41"/>
      <c r="B70" s="147"/>
      <c r="C70" s="154">
        <v>14</v>
      </c>
      <c r="D70" s="658"/>
      <c r="E70" s="154" t="str">
        <f>'춘천SS(구)'!E364</f>
        <v/>
      </c>
      <c r="F70" s="154" t="str">
        <f>'춘천SS(구)'!F364</f>
        <v>내선</v>
      </c>
      <c r="G70" s="154" t="str">
        <f>'춘천SS(구)'!G364</f>
        <v/>
      </c>
      <c r="H70" s="154" t="str">
        <f>'춘천SS(구)'!H364</f>
        <v>남춘천 통신실 (617)</v>
      </c>
      <c r="I70" s="658"/>
      <c r="J70" s="190" t="str">
        <f>'춘천SS(구)'!J364</f>
        <v>춘천-14-남춘천</v>
      </c>
      <c r="K70" s="102"/>
      <c r="L70" s="18"/>
    </row>
    <row r="71" spans="1:12" s="16" customFormat="1" ht="24" customHeight="1" x14ac:dyDescent="0.3">
      <c r="A71" s="41"/>
      <c r="B71" s="147"/>
      <c r="C71" s="158">
        <v>15</v>
      </c>
      <c r="D71" s="661"/>
      <c r="E71" s="162" t="str">
        <f>'춘천SS(구)'!E365</f>
        <v/>
      </c>
      <c r="F71" s="162" t="str">
        <f>'춘천SS(구)'!F365</f>
        <v>내선</v>
      </c>
      <c r="G71" s="162" t="str">
        <f>'춘천SS(구)'!G365</f>
        <v/>
      </c>
      <c r="H71" s="162" t="str">
        <f>'춘천SS(구)'!H365</f>
        <v>남춘천S/S 예비군(168)</v>
      </c>
      <c r="I71" s="659"/>
      <c r="J71" s="193" t="str">
        <f>'춘천SS(구)'!J365</f>
        <v>본부-[MDF C12(2)]-춘천-15-남춘천</v>
      </c>
      <c r="K71" s="102"/>
      <c r="L71" s="18"/>
    </row>
    <row r="72" spans="1:12" s="16" customFormat="1" ht="24" customHeight="1" x14ac:dyDescent="0.3">
      <c r="A72" s="41"/>
      <c r="B72" s="147"/>
      <c r="C72" s="152">
        <v>16</v>
      </c>
      <c r="D72" s="665" t="s">
        <v>103</v>
      </c>
      <c r="E72" s="152" t="str">
        <f>'춘천SS(구)'!E366</f>
        <v/>
      </c>
      <c r="F72" s="152" t="str">
        <f>'춘천SS(구)'!F366</f>
        <v/>
      </c>
      <c r="G72" s="152" t="str">
        <f>'춘천SS(구)'!G366</f>
        <v/>
      </c>
      <c r="H72" s="152" t="str">
        <f>'춘천SS(구)'!H366</f>
        <v/>
      </c>
      <c r="I72" s="668"/>
      <c r="J72" s="192" t="str">
        <f>'춘천SS(구)'!J366</f>
        <v/>
      </c>
      <c r="K72" s="102"/>
      <c r="L72" s="18"/>
    </row>
    <row r="73" spans="1:12" s="16" customFormat="1" ht="24" customHeight="1" x14ac:dyDescent="0.3">
      <c r="A73" s="41"/>
      <c r="B73" s="147"/>
      <c r="C73" s="154">
        <v>17</v>
      </c>
      <c r="D73" s="666"/>
      <c r="E73" s="154" t="str">
        <f>'춘천SS(구)'!E367</f>
        <v/>
      </c>
      <c r="F73" s="154" t="str">
        <f>'춘천SS(구)'!F367</f>
        <v/>
      </c>
      <c r="G73" s="154" t="str">
        <f>'춘천SS(구)'!G367</f>
        <v/>
      </c>
      <c r="H73" s="154" t="str">
        <f>'춘천SS(구)'!H367</f>
        <v/>
      </c>
      <c r="I73" s="669"/>
      <c r="J73" s="190" t="str">
        <f>'춘천SS(구)'!J367</f>
        <v/>
      </c>
      <c r="K73" s="102"/>
      <c r="L73" s="18"/>
    </row>
    <row r="74" spans="1:12" s="16" customFormat="1" ht="24" customHeight="1" x14ac:dyDescent="0.3">
      <c r="A74" s="41"/>
      <c r="B74" s="147"/>
      <c r="C74" s="162">
        <v>18</v>
      </c>
      <c r="D74" s="667"/>
      <c r="E74" s="162" t="str">
        <f>'춘천SS(구)'!E368</f>
        <v/>
      </c>
      <c r="F74" s="162" t="str">
        <f>'춘천SS(구)'!F368</f>
        <v/>
      </c>
      <c r="G74" s="162" t="str">
        <f>'춘천SS(구)'!G368</f>
        <v/>
      </c>
      <c r="H74" s="162" t="str">
        <f>'춘천SS(구)'!H368</f>
        <v/>
      </c>
      <c r="I74" s="670"/>
      <c r="J74" s="193" t="str">
        <f>'춘천SS(구)'!J368</f>
        <v/>
      </c>
      <c r="K74" s="102"/>
      <c r="L74" s="18"/>
    </row>
    <row r="75" spans="1:12" s="16" customFormat="1" ht="24" customHeight="1" x14ac:dyDescent="0.3">
      <c r="A75" s="41"/>
      <c r="B75" s="147"/>
      <c r="C75" s="172">
        <v>19</v>
      </c>
      <c r="D75" s="671" t="s">
        <v>17</v>
      </c>
      <c r="E75" s="172" t="str">
        <f>'춘천SS(구)'!E369</f>
        <v/>
      </c>
      <c r="F75" s="172" t="str">
        <f>'춘천SS(구)'!F369</f>
        <v/>
      </c>
      <c r="G75" s="172" t="str">
        <f>'춘천SS(구)'!G369</f>
        <v/>
      </c>
      <c r="H75" s="172" t="str">
        <f>'춘천SS(구)'!H369</f>
        <v/>
      </c>
      <c r="I75" s="662" t="s">
        <v>102</v>
      </c>
      <c r="J75" s="195" t="str">
        <f>'춘천SS(구)'!J369</f>
        <v/>
      </c>
      <c r="K75" s="102"/>
      <c r="L75" s="18"/>
    </row>
    <row r="76" spans="1:12" s="16" customFormat="1" ht="24" customHeight="1" x14ac:dyDescent="0.3">
      <c r="A76" s="41"/>
      <c r="B76" s="147"/>
      <c r="C76" s="154">
        <v>20</v>
      </c>
      <c r="D76" s="669"/>
      <c r="E76" s="154" t="str">
        <f>'춘천SS(구)'!E370</f>
        <v/>
      </c>
      <c r="F76" s="154" t="str">
        <f>'춘천SS(구)'!F370</f>
        <v/>
      </c>
      <c r="G76" s="154" t="str">
        <f>'춘천SS(구)'!G370</f>
        <v/>
      </c>
      <c r="H76" s="154" t="str">
        <f>'춘천SS(구)'!H370</f>
        <v/>
      </c>
      <c r="I76" s="663"/>
      <c r="J76" s="190" t="str">
        <f>'춘천SS(구)'!J370</f>
        <v/>
      </c>
      <c r="K76" s="102"/>
      <c r="L76" s="18"/>
    </row>
    <row r="77" spans="1:12" s="16" customFormat="1" ht="24" customHeight="1" x14ac:dyDescent="0.3">
      <c r="A77" s="41"/>
      <c r="B77" s="147"/>
      <c r="C77" s="158">
        <v>21</v>
      </c>
      <c r="D77" s="672"/>
      <c r="E77" s="162" t="str">
        <f>'춘천SS(구)'!E371</f>
        <v/>
      </c>
      <c r="F77" s="162" t="str">
        <f>'춘천SS(구)'!F371</f>
        <v/>
      </c>
      <c r="G77" s="162" t="str">
        <f>'춘천SS(구)'!G371</f>
        <v/>
      </c>
      <c r="H77" s="162" t="str">
        <f>'춘천SS(구)'!H371</f>
        <v/>
      </c>
      <c r="I77" s="664"/>
      <c r="J77" s="190" t="str">
        <f>'춘천SS(구)'!J371</f>
        <v/>
      </c>
      <c r="K77" s="102"/>
      <c r="L77" s="18"/>
    </row>
    <row r="78" spans="1:12" s="16" customFormat="1" ht="24" customHeight="1" x14ac:dyDescent="0.3">
      <c r="A78" s="41"/>
      <c r="B78" s="147"/>
      <c r="C78" s="152">
        <v>22</v>
      </c>
      <c r="D78" s="657"/>
      <c r="E78" s="152"/>
      <c r="F78" s="153"/>
      <c r="G78" s="152"/>
      <c r="H78" s="152"/>
      <c r="I78" s="657"/>
      <c r="J78" s="192"/>
      <c r="K78" s="102"/>
      <c r="L78" s="18"/>
    </row>
    <row r="79" spans="1:12" s="16" customFormat="1" ht="24" customHeight="1" x14ac:dyDescent="0.3">
      <c r="A79" s="41"/>
      <c r="B79" s="147"/>
      <c r="C79" s="154">
        <v>23</v>
      </c>
      <c r="D79" s="658"/>
      <c r="E79" s="154"/>
      <c r="F79" s="157"/>
      <c r="G79" s="154"/>
      <c r="H79" s="154"/>
      <c r="I79" s="658"/>
      <c r="J79" s="190"/>
      <c r="K79" s="102"/>
      <c r="L79" s="18"/>
    </row>
    <row r="80" spans="1:12" s="16" customFormat="1" ht="24" customHeight="1" x14ac:dyDescent="0.3">
      <c r="A80" s="41"/>
      <c r="B80" s="147"/>
      <c r="C80" s="162">
        <v>24</v>
      </c>
      <c r="D80" s="659"/>
      <c r="E80" s="162"/>
      <c r="F80" s="164"/>
      <c r="G80" s="162"/>
      <c r="H80" s="162"/>
      <c r="I80" s="659"/>
      <c r="J80" s="193"/>
      <c r="K80" s="102"/>
      <c r="L80" s="18"/>
    </row>
    <row r="81" spans="1:12" s="16" customFormat="1" ht="24" customHeight="1" x14ac:dyDescent="0.3">
      <c r="A81" s="41"/>
      <c r="B81" s="147"/>
      <c r="C81" s="172">
        <v>25</v>
      </c>
      <c r="D81" s="660"/>
      <c r="E81" s="172"/>
      <c r="F81" s="180"/>
      <c r="G81" s="172"/>
      <c r="H81" s="172"/>
      <c r="I81" s="660"/>
      <c r="J81" s="195"/>
      <c r="K81" s="102"/>
      <c r="L81" s="18"/>
    </row>
    <row r="82" spans="1:12" s="16" customFormat="1" ht="24" customHeight="1" x14ac:dyDescent="0.3">
      <c r="A82" s="41"/>
      <c r="B82" s="147"/>
      <c r="C82" s="154">
        <v>26</v>
      </c>
      <c r="D82" s="658"/>
      <c r="E82" s="154"/>
      <c r="F82" s="157"/>
      <c r="G82" s="154"/>
      <c r="H82" s="154"/>
      <c r="I82" s="658"/>
      <c r="J82" s="190"/>
      <c r="K82" s="102"/>
      <c r="L82" s="18"/>
    </row>
    <row r="83" spans="1:12" s="16" customFormat="1" ht="24" customHeight="1" x14ac:dyDescent="0.3">
      <c r="A83" s="41"/>
      <c r="B83" s="147"/>
      <c r="C83" s="158">
        <v>27</v>
      </c>
      <c r="D83" s="661"/>
      <c r="E83" s="158"/>
      <c r="F83" s="159"/>
      <c r="G83" s="158"/>
      <c r="H83" s="158"/>
      <c r="I83" s="661"/>
      <c r="J83" s="191"/>
      <c r="K83" s="102"/>
      <c r="L83" s="18"/>
    </row>
    <row r="84" spans="1:12" s="16" customFormat="1" ht="24" customHeight="1" x14ac:dyDescent="0.3">
      <c r="A84" s="41"/>
      <c r="B84" s="147"/>
      <c r="C84" s="152">
        <v>28</v>
      </c>
      <c r="D84" s="657"/>
      <c r="E84" s="152"/>
      <c r="F84" s="153"/>
      <c r="G84" s="152"/>
      <c r="H84" s="152"/>
      <c r="I84" s="657"/>
      <c r="J84" s="192"/>
      <c r="K84" s="102"/>
      <c r="L84" s="18"/>
    </row>
    <row r="85" spans="1:12" s="16" customFormat="1" ht="24" customHeight="1" x14ac:dyDescent="0.3">
      <c r="A85" s="41"/>
      <c r="B85" s="147"/>
      <c r="C85" s="154">
        <v>29</v>
      </c>
      <c r="D85" s="658"/>
      <c r="E85" s="154"/>
      <c r="F85" s="157"/>
      <c r="G85" s="154"/>
      <c r="H85" s="154"/>
      <c r="I85" s="658"/>
      <c r="J85" s="190"/>
      <c r="K85" s="102"/>
      <c r="L85" s="18"/>
    </row>
    <row r="86" spans="1:12" s="16" customFormat="1" ht="24" customHeight="1" x14ac:dyDescent="0.3">
      <c r="A86" s="144"/>
      <c r="B86" s="151"/>
      <c r="C86" s="162">
        <v>30</v>
      </c>
      <c r="D86" s="659"/>
      <c r="E86" s="162"/>
      <c r="F86" s="164"/>
      <c r="G86" s="162"/>
      <c r="H86" s="162"/>
      <c r="I86" s="659"/>
      <c r="J86" s="193"/>
      <c r="K86" s="102"/>
      <c r="L86" s="18"/>
    </row>
  </sheetData>
  <mergeCells count="40">
    <mergeCell ref="A1:J1"/>
    <mergeCell ref="E4:H4"/>
    <mergeCell ref="A58:B58"/>
    <mergeCell ref="D60:D62"/>
    <mergeCell ref="D29:D40"/>
    <mergeCell ref="I29:I40"/>
    <mergeCell ref="I60:I62"/>
    <mergeCell ref="D5:D16"/>
    <mergeCell ref="D57:D59"/>
    <mergeCell ref="I57:I59"/>
    <mergeCell ref="D41:D52"/>
    <mergeCell ref="I41:I52"/>
    <mergeCell ref="A31:B31"/>
    <mergeCell ref="A42:B42"/>
    <mergeCell ref="D53:D56"/>
    <mergeCell ref="I53:I56"/>
    <mergeCell ref="D66:D68"/>
    <mergeCell ref="I66:I68"/>
    <mergeCell ref="D81:D83"/>
    <mergeCell ref="I81:I83"/>
    <mergeCell ref="A6:B6"/>
    <mergeCell ref="A7:B7"/>
    <mergeCell ref="A30:B30"/>
    <mergeCell ref="D63:D65"/>
    <mergeCell ref="D17:D28"/>
    <mergeCell ref="I17:I28"/>
    <mergeCell ref="A18:B18"/>
    <mergeCell ref="A19:B19"/>
    <mergeCell ref="I63:I65"/>
    <mergeCell ref="A43:B43"/>
    <mergeCell ref="D84:D86"/>
    <mergeCell ref="I84:I86"/>
    <mergeCell ref="I69:I71"/>
    <mergeCell ref="D72:D74"/>
    <mergeCell ref="I72:I74"/>
    <mergeCell ref="D75:D77"/>
    <mergeCell ref="I75:I77"/>
    <mergeCell ref="D78:D80"/>
    <mergeCell ref="I78:I80"/>
    <mergeCell ref="D69:D71"/>
  </mergeCells>
  <phoneticPr fontId="2" type="noConversion"/>
  <pageMargins left="0.7" right="0.7" top="0.75" bottom="0.75" header="0.3" footer="0.3"/>
  <pageSetup paperSize="9" scale="49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0"/>
  <sheetViews>
    <sheetView view="pageBreakPreview" zoomScale="85" zoomScaleNormal="100" zoomScaleSheetLayoutView="85" workbookViewId="0">
      <selection activeCell="J118" sqref="A101:J118"/>
    </sheetView>
  </sheetViews>
  <sheetFormatPr defaultRowHeight="16.5" x14ac:dyDescent="0.3"/>
  <cols>
    <col min="1" max="2" width="12.625" style="6" customWidth="1"/>
    <col min="3" max="4" width="7.625" style="6" customWidth="1"/>
    <col min="5" max="5" width="5.625" style="18" customWidth="1"/>
    <col min="6" max="6" width="12.625" style="19" customWidth="1"/>
    <col min="7" max="7" width="5.625" style="18" customWidth="1"/>
    <col min="8" max="8" width="21.75" style="18" bestFit="1" customWidth="1"/>
    <col min="9" max="9" width="7.625" style="6" customWidth="1"/>
    <col min="10" max="10" width="70.625" style="6" customWidth="1"/>
    <col min="11" max="11" width="17.25" style="6" customWidth="1"/>
    <col min="12" max="12" width="14.5" style="18" customWidth="1"/>
    <col min="13" max="13" width="4.125" style="6" customWidth="1"/>
    <col min="14" max="16384" width="9" style="6"/>
  </cols>
  <sheetData>
    <row r="1" spans="1:12" ht="38.25" x14ac:dyDescent="0.3">
      <c r="A1" s="626" t="s">
        <v>807</v>
      </c>
      <c r="B1" s="626"/>
      <c r="C1" s="626"/>
      <c r="D1" s="626"/>
      <c r="E1" s="626"/>
      <c r="F1" s="626"/>
      <c r="G1" s="626"/>
      <c r="H1" s="626"/>
      <c r="I1" s="626"/>
      <c r="J1" s="626"/>
      <c r="K1" s="94"/>
    </row>
    <row r="3" spans="1:12" x14ac:dyDescent="0.3">
      <c r="J3" s="59"/>
      <c r="K3" s="59"/>
    </row>
    <row r="4" spans="1:12" ht="30" customHeight="1" x14ac:dyDescent="0.15">
      <c r="A4" s="181" t="s">
        <v>0</v>
      </c>
      <c r="B4" s="182" t="s">
        <v>1</v>
      </c>
      <c r="C4" s="182" t="s">
        <v>2</v>
      </c>
      <c r="D4" s="182" t="s">
        <v>3</v>
      </c>
      <c r="E4" s="627" t="s">
        <v>4</v>
      </c>
      <c r="F4" s="627"/>
      <c r="G4" s="627"/>
      <c r="H4" s="627"/>
      <c r="I4" s="182" t="s">
        <v>3</v>
      </c>
      <c r="J4" s="183" t="s">
        <v>5</v>
      </c>
      <c r="K4" s="100"/>
    </row>
    <row r="5" spans="1:12" s="16" customFormat="1" ht="24" customHeight="1" x14ac:dyDescent="0.3">
      <c r="A5" s="141" t="s">
        <v>33</v>
      </c>
      <c r="B5" s="149" t="s">
        <v>212</v>
      </c>
      <c r="C5" s="152">
        <v>1</v>
      </c>
      <c r="D5" s="652" t="s">
        <v>302</v>
      </c>
      <c r="E5" s="172" t="str">
        <f>'춘천SS(구)'!E125</f>
        <v>T1</v>
      </c>
      <c r="F5" s="172" t="str">
        <f>'춘천SS(구)'!F125</f>
        <v>PITR</v>
      </c>
      <c r="G5" s="172" t="str">
        <f>'춘천SS(구)'!G125</f>
        <v>예비</v>
      </c>
      <c r="H5" s="172" t="str">
        <f>'춘천SS(구)'!H125</f>
        <v>춘천-북춘천</v>
      </c>
      <c r="I5" s="644" t="s">
        <v>302</v>
      </c>
      <c r="J5" s="192" t="str">
        <f>'춘천SS(구)'!J125</f>
        <v>(신)춘천-(통합PTP#2:3)-(구)춘천-(통합PTP:1)-북춘천</v>
      </c>
      <c r="K5" s="102"/>
      <c r="L5" s="51"/>
    </row>
    <row r="6" spans="1:12" s="16" customFormat="1" ht="24" customHeight="1" x14ac:dyDescent="0.3">
      <c r="A6" s="607" t="s">
        <v>343</v>
      </c>
      <c r="B6" s="608"/>
      <c r="C6" s="154">
        <v>2</v>
      </c>
      <c r="D6" s="652"/>
      <c r="E6" s="154" t="str">
        <f>'춘천SS(구)'!E126</f>
        <v>E1</v>
      </c>
      <c r="F6" s="154" t="str">
        <f>'춘천SS(구)'!F126</f>
        <v>CMS-PLUS</v>
      </c>
      <c r="G6" s="154" t="str">
        <f>'춘천SS(구)'!G126</f>
        <v/>
      </c>
      <c r="H6" s="154" t="str">
        <f>'춘천SS(구)'!H126</f>
        <v>춘천-북춘천</v>
      </c>
      <c r="I6" s="644"/>
      <c r="J6" s="190" t="str">
        <f>'춘천SS(구)'!J126</f>
        <v>춘천-(PTPU:2)-북춘천</v>
      </c>
      <c r="K6" s="102"/>
      <c r="L6" s="51"/>
    </row>
    <row r="7" spans="1:12" s="16" customFormat="1" ht="24" customHeight="1" x14ac:dyDescent="0.3">
      <c r="A7" s="677" t="s">
        <v>491</v>
      </c>
      <c r="B7" s="614"/>
      <c r="C7" s="154">
        <v>3</v>
      </c>
      <c r="D7" s="652"/>
      <c r="E7" s="154" t="str">
        <f>'춘천SS(구)'!E127</f>
        <v>E1</v>
      </c>
      <c r="F7" s="154" t="str">
        <f>'춘천SS(구)'!F127</f>
        <v>PDAS</v>
      </c>
      <c r="G7" s="154" t="str">
        <f>'춘천SS(구)'!G127</f>
        <v/>
      </c>
      <c r="H7" s="154" t="str">
        <f>'춘천SS(구)'!H127</f>
        <v>춘천-화천수력</v>
      </c>
      <c r="I7" s="644"/>
      <c r="J7" s="190" t="str">
        <f>'춘천SS(구)'!J127</f>
        <v>춘천-(PTPU:3)-북춘천-5-화천수력</v>
      </c>
      <c r="K7" s="102"/>
      <c r="L7" s="51"/>
    </row>
    <row r="8" spans="1:12" s="16" customFormat="1" ht="24" customHeight="1" x14ac:dyDescent="0.3">
      <c r="A8" s="41"/>
      <c r="B8" s="147"/>
      <c r="C8" s="154">
        <v>4</v>
      </c>
      <c r="D8" s="652"/>
      <c r="E8" s="154" t="str">
        <f>'춘천SS(구)'!E128</f>
        <v>E1</v>
      </c>
      <c r="F8" s="154" t="str">
        <f>'춘천SS(구)'!F128</f>
        <v>PDAS</v>
      </c>
      <c r="G8" s="154" t="str">
        <f>'춘천SS(구)'!G128</f>
        <v/>
      </c>
      <c r="H8" s="154" t="str">
        <f>'춘천SS(구)'!H128</f>
        <v>춘천수력</v>
      </c>
      <c r="I8" s="644"/>
      <c r="J8" s="190" t="str">
        <f>'춘천SS(구)'!J128</f>
        <v>춘천-4(통합PTP)4-북춘천-4(통합PTP)4-가평-3(OMS)3-춘천HP</v>
      </c>
      <c r="K8" s="102"/>
      <c r="L8" s="51"/>
    </row>
    <row r="9" spans="1:12" s="16" customFormat="1" ht="24" customHeight="1" x14ac:dyDescent="0.3">
      <c r="A9" s="41"/>
      <c r="B9" s="147"/>
      <c r="C9" s="154">
        <v>5</v>
      </c>
      <c r="D9" s="652"/>
      <c r="E9" s="154" t="str">
        <f>'춘천SS(구)'!E129</f>
        <v>E1</v>
      </c>
      <c r="F9" s="154" t="str">
        <f>'춘천SS(구)'!F129</f>
        <v>디지털SCADA</v>
      </c>
      <c r="G9" s="154" t="str">
        <f>'춘천SS(구)'!G129</f>
        <v>예비</v>
      </c>
      <c r="H9" s="154" t="str">
        <f>'춘천SS(구)'!H129</f>
        <v>인제디지털SCADA</v>
      </c>
      <c r="I9" s="644"/>
      <c r="J9" s="190" t="str">
        <f>'춘천SS(구)'!J129</f>
        <v>춘천(구)-(PTP:5)-북춘천-(PTPU:2)-화천HP-(PTPU:3)-양구-(OMS:2)-인제</v>
      </c>
      <c r="K9" s="102"/>
      <c r="L9" s="51"/>
    </row>
    <row r="10" spans="1:12" s="16" customFormat="1" ht="24" customHeight="1" x14ac:dyDescent="0.3">
      <c r="A10" s="41"/>
      <c r="B10" s="147"/>
      <c r="C10" s="154">
        <v>6</v>
      </c>
      <c r="D10" s="652"/>
      <c r="E10" s="154" t="str">
        <f>'춘천SS(구)'!E130</f>
        <v/>
      </c>
      <c r="F10" s="154" t="str">
        <f>'춘천SS(구)'!F130</f>
        <v/>
      </c>
      <c r="G10" s="154" t="str">
        <f>'춘천SS(구)'!G130</f>
        <v/>
      </c>
      <c r="H10" s="154" t="str">
        <f>'춘천SS(구)'!H130</f>
        <v/>
      </c>
      <c r="I10" s="644"/>
      <c r="J10" s="190" t="str">
        <f>'춘천SS(구)'!J130</f>
        <v/>
      </c>
      <c r="K10" s="101"/>
      <c r="L10" s="51"/>
    </row>
    <row r="11" spans="1:12" s="16" customFormat="1" ht="24" customHeight="1" x14ac:dyDescent="0.3">
      <c r="A11" s="41"/>
      <c r="B11" s="147"/>
      <c r="C11" s="154">
        <v>7</v>
      </c>
      <c r="D11" s="652"/>
      <c r="E11" s="154" t="str">
        <f>'춘천SS(구)'!E131</f>
        <v>E1</v>
      </c>
      <c r="F11" s="154" t="str">
        <f>'춘천SS(구)'!F131</f>
        <v>차세대SCADA</v>
      </c>
      <c r="G11" s="154" t="str">
        <f>'춘천SS(구)'!G131</f>
        <v>주</v>
      </c>
      <c r="H11" s="154" t="str">
        <f>'춘천SS(구)'!H131</f>
        <v>북춘천 D-SCADA</v>
      </c>
      <c r="I11" s="644"/>
      <c r="J11" s="190" t="str">
        <f>'춘천SS(구)'!J131</f>
        <v>북춘천 - (PTP:7) - 춘천(구)</v>
      </c>
      <c r="K11" s="101"/>
      <c r="L11" s="18"/>
    </row>
    <row r="12" spans="1:12" s="16" customFormat="1" ht="24" customHeight="1" x14ac:dyDescent="0.3">
      <c r="A12" s="41"/>
      <c r="B12" s="147"/>
      <c r="C12" s="154">
        <v>8</v>
      </c>
      <c r="D12" s="652"/>
      <c r="E12" s="154"/>
      <c r="F12" s="154"/>
      <c r="G12" s="154"/>
      <c r="H12" s="154"/>
      <c r="I12" s="644"/>
      <c r="J12" s="190"/>
      <c r="K12" s="102"/>
      <c r="L12" s="18"/>
    </row>
    <row r="13" spans="1:12" s="16" customFormat="1" ht="24" customHeight="1" x14ac:dyDescent="0.3">
      <c r="A13" s="41"/>
      <c r="B13" s="147"/>
      <c r="C13" s="154">
        <v>9</v>
      </c>
      <c r="D13" s="652"/>
      <c r="E13" s="154"/>
      <c r="F13" s="154"/>
      <c r="G13" s="154"/>
      <c r="H13" s="154"/>
      <c r="I13" s="644"/>
      <c r="J13" s="190"/>
      <c r="K13" s="102"/>
      <c r="L13" s="18"/>
    </row>
    <row r="14" spans="1:12" s="16" customFormat="1" ht="24" customHeight="1" x14ac:dyDescent="0.3">
      <c r="A14" s="41"/>
      <c r="B14" s="147"/>
      <c r="C14" s="154">
        <v>10</v>
      </c>
      <c r="D14" s="652"/>
      <c r="E14" s="154" t="str">
        <f>'춘천SS(구)'!E134</f>
        <v/>
      </c>
      <c r="F14" s="154" t="str">
        <f>'춘천SS(구)'!F134</f>
        <v/>
      </c>
      <c r="G14" s="154" t="str">
        <f>'춘천SS(구)'!G134</f>
        <v/>
      </c>
      <c r="H14" s="154" t="str">
        <f>'춘천SS(구)'!H134</f>
        <v/>
      </c>
      <c r="I14" s="644"/>
      <c r="J14" s="190" t="str">
        <f>'춘천SS(구)'!J134</f>
        <v/>
      </c>
      <c r="K14" s="102"/>
      <c r="L14" s="51"/>
    </row>
    <row r="15" spans="1:12" s="16" customFormat="1" ht="24" customHeight="1" x14ac:dyDescent="0.3">
      <c r="A15" s="41"/>
      <c r="B15" s="147"/>
      <c r="C15" s="154">
        <v>11</v>
      </c>
      <c r="D15" s="652"/>
      <c r="E15" s="154" t="str">
        <f>'춘천SS(구)'!E135</f>
        <v/>
      </c>
      <c r="F15" s="154" t="str">
        <f>'춘천SS(구)'!F135</f>
        <v/>
      </c>
      <c r="G15" s="154" t="str">
        <f>'춘천SS(구)'!G135</f>
        <v/>
      </c>
      <c r="H15" s="154" t="str">
        <f>'춘천SS(구)'!H135</f>
        <v/>
      </c>
      <c r="I15" s="644"/>
      <c r="J15" s="190" t="str">
        <f>'춘천SS(구)'!J135</f>
        <v/>
      </c>
      <c r="K15" s="102"/>
      <c r="L15" s="51"/>
    </row>
    <row r="16" spans="1:12" s="16" customFormat="1" ht="24" customHeight="1" x14ac:dyDescent="0.3">
      <c r="A16" s="41"/>
      <c r="B16" s="147"/>
      <c r="C16" s="158">
        <v>12</v>
      </c>
      <c r="D16" s="652"/>
      <c r="E16" s="158" t="str">
        <f>'춘천SS(구)'!E136</f>
        <v/>
      </c>
      <c r="F16" s="158" t="str">
        <f>'춘천SS(구)'!F136</f>
        <v/>
      </c>
      <c r="G16" s="158" t="str">
        <f>'춘천SS(구)'!G136</f>
        <v/>
      </c>
      <c r="H16" s="158" t="str">
        <f>'춘천SS(구)'!H136</f>
        <v/>
      </c>
      <c r="I16" s="644"/>
      <c r="J16" s="191" t="str">
        <f>'춘천SS(구)'!J136</f>
        <v/>
      </c>
      <c r="K16" s="101"/>
      <c r="L16" s="18"/>
    </row>
    <row r="17" spans="1:12" s="16" customFormat="1" ht="24" customHeight="1" x14ac:dyDescent="0.3">
      <c r="A17" s="41"/>
      <c r="B17" s="147"/>
      <c r="C17" s="152">
        <v>1</v>
      </c>
      <c r="D17" s="653" t="s">
        <v>73</v>
      </c>
      <c r="E17" s="152" t="str">
        <f>'춘천SS(구)'!E137</f>
        <v/>
      </c>
      <c r="F17" s="152" t="str">
        <f>'춘천SS(구)'!F137</f>
        <v/>
      </c>
      <c r="G17" s="152" t="str">
        <f>'춘천SS(구)'!G137</f>
        <v/>
      </c>
      <c r="H17" s="152" t="str">
        <f>'춘천SS(구)'!H137</f>
        <v/>
      </c>
      <c r="I17" s="651" t="s">
        <v>73</v>
      </c>
      <c r="J17" s="192" t="str">
        <f>'춘천SS(구)'!J137</f>
        <v/>
      </c>
      <c r="K17" s="102"/>
      <c r="L17" s="18"/>
    </row>
    <row r="18" spans="1:12" s="16" customFormat="1" ht="24" customHeight="1" x14ac:dyDescent="0.3">
      <c r="A18" s="41"/>
      <c r="B18" s="147"/>
      <c r="C18" s="154">
        <v>2</v>
      </c>
      <c r="D18" s="654"/>
      <c r="E18" s="154" t="str">
        <f>'춘천SS(구)'!E138</f>
        <v/>
      </c>
      <c r="F18" s="154" t="str">
        <f>'춘천SS(구)'!F138</f>
        <v/>
      </c>
      <c r="G18" s="154" t="str">
        <f>'춘천SS(구)'!G138</f>
        <v/>
      </c>
      <c r="H18" s="154" t="str">
        <f>'춘천SS(구)'!H138</f>
        <v/>
      </c>
      <c r="I18" s="649"/>
      <c r="J18" s="190" t="str">
        <f>'춘천SS(구)'!J138</f>
        <v/>
      </c>
      <c r="K18" s="102"/>
      <c r="L18" s="51"/>
    </row>
    <row r="19" spans="1:12" s="16" customFormat="1" ht="24" customHeight="1" x14ac:dyDescent="0.3">
      <c r="A19" s="41"/>
      <c r="B19" s="147"/>
      <c r="C19" s="154">
        <v>3</v>
      </c>
      <c r="D19" s="654"/>
      <c r="E19" s="154" t="str">
        <f>'춘천SS(구)'!E139</f>
        <v/>
      </c>
      <c r="F19" s="154" t="str">
        <f>'춘천SS(구)'!F139</f>
        <v/>
      </c>
      <c r="G19" s="154" t="str">
        <f>'춘천SS(구)'!G139</f>
        <v/>
      </c>
      <c r="H19" s="154" t="str">
        <f>'춘천SS(구)'!H139</f>
        <v/>
      </c>
      <c r="I19" s="649"/>
      <c r="J19" s="190" t="str">
        <f>'춘천SS(구)'!J139</f>
        <v/>
      </c>
      <c r="K19" s="102"/>
      <c r="L19" s="51"/>
    </row>
    <row r="20" spans="1:12" s="16" customFormat="1" ht="24" customHeight="1" x14ac:dyDescent="0.3">
      <c r="A20" s="144"/>
      <c r="B20" s="151"/>
      <c r="C20" s="162">
        <v>4</v>
      </c>
      <c r="D20" s="655"/>
      <c r="E20" s="162" t="str">
        <f>'춘천SS(구)'!E140</f>
        <v/>
      </c>
      <c r="F20" s="162" t="str">
        <f>'춘천SS(구)'!F140</f>
        <v/>
      </c>
      <c r="G20" s="162" t="str">
        <f>'춘천SS(구)'!G140</f>
        <v/>
      </c>
      <c r="H20" s="162" t="str">
        <f>'춘천SS(구)'!H140</f>
        <v/>
      </c>
      <c r="I20" s="650"/>
      <c r="J20" s="193" t="str">
        <f>'춘천SS(구)'!J140</f>
        <v/>
      </c>
      <c r="K20" s="101"/>
      <c r="L20" s="51"/>
    </row>
    <row r="21" spans="1:12" s="16" customFormat="1" ht="24" customHeight="1" x14ac:dyDescent="0.3">
      <c r="A21" s="483" t="s">
        <v>33</v>
      </c>
      <c r="B21" s="484" t="s">
        <v>47</v>
      </c>
      <c r="C21" s="152">
        <v>1</v>
      </c>
      <c r="D21" s="652" t="s">
        <v>302</v>
      </c>
      <c r="E21" s="409" t="s">
        <v>680</v>
      </c>
      <c r="F21" s="414" t="s">
        <v>680</v>
      </c>
      <c r="G21" s="409" t="s">
        <v>680</v>
      </c>
      <c r="H21" s="409" t="s">
        <v>680</v>
      </c>
      <c r="I21" s="685" t="s">
        <v>680</v>
      </c>
      <c r="J21" s="416" t="s">
        <v>680</v>
      </c>
      <c r="K21" s="102"/>
      <c r="L21" s="93"/>
    </row>
    <row r="22" spans="1:12" s="16" customFormat="1" ht="24" customHeight="1" x14ac:dyDescent="0.3">
      <c r="A22" s="607" t="s">
        <v>343</v>
      </c>
      <c r="B22" s="608"/>
      <c r="C22" s="154">
        <v>2</v>
      </c>
      <c r="D22" s="652"/>
      <c r="E22" s="154"/>
      <c r="F22" s="157"/>
      <c r="G22" s="154"/>
      <c r="H22" s="154"/>
      <c r="I22" s="644"/>
      <c r="J22" s="190"/>
      <c r="K22" s="102"/>
      <c r="L22" s="53"/>
    </row>
    <row r="23" spans="1:12" s="16" customFormat="1" ht="24" customHeight="1" x14ac:dyDescent="0.3">
      <c r="A23" s="613" t="s">
        <v>477</v>
      </c>
      <c r="B23" s="614"/>
      <c r="C23" s="154">
        <v>3</v>
      </c>
      <c r="D23" s="652"/>
      <c r="E23" s="154"/>
      <c r="F23" s="157"/>
      <c r="G23" s="154"/>
      <c r="H23" s="154"/>
      <c r="I23" s="644"/>
      <c r="J23" s="190"/>
      <c r="K23" s="102"/>
      <c r="L23" s="93"/>
    </row>
    <row r="24" spans="1:12" s="16" customFormat="1" ht="24" customHeight="1" x14ac:dyDescent="0.3">
      <c r="A24" s="41"/>
      <c r="B24" s="147"/>
      <c r="C24" s="154">
        <v>4</v>
      </c>
      <c r="D24" s="652"/>
      <c r="E24" s="154" t="s">
        <v>28</v>
      </c>
      <c r="F24" s="157" t="s">
        <v>725</v>
      </c>
      <c r="G24" s="154"/>
      <c r="H24" s="154" t="s">
        <v>347</v>
      </c>
      <c r="I24" s="644"/>
      <c r="J24" s="190" t="s">
        <v>478</v>
      </c>
      <c r="K24" s="102"/>
      <c r="L24" s="51"/>
    </row>
    <row r="25" spans="1:12" s="16" customFormat="1" ht="24" customHeight="1" x14ac:dyDescent="0.3">
      <c r="A25" s="41"/>
      <c r="B25" s="147"/>
      <c r="C25" s="154">
        <v>5</v>
      </c>
      <c r="D25" s="652"/>
      <c r="E25" s="154"/>
      <c r="F25" s="157"/>
      <c r="G25" s="154"/>
      <c r="H25" s="154"/>
      <c r="I25" s="644"/>
      <c r="J25" s="190"/>
      <c r="K25" s="102"/>
      <c r="L25" s="51"/>
    </row>
    <row r="26" spans="1:12" s="16" customFormat="1" ht="24" customHeight="1" x14ac:dyDescent="0.3">
      <c r="A26" s="41"/>
      <c r="B26" s="147"/>
      <c r="C26" s="154">
        <v>6</v>
      </c>
      <c r="D26" s="652"/>
      <c r="E26" s="154"/>
      <c r="F26" s="157"/>
      <c r="G26" s="154"/>
      <c r="H26" s="154"/>
      <c r="I26" s="644"/>
      <c r="J26" s="190"/>
      <c r="K26" s="101"/>
      <c r="L26" s="51"/>
    </row>
    <row r="27" spans="1:12" s="16" customFormat="1" ht="24" customHeight="1" x14ac:dyDescent="0.3">
      <c r="A27" s="41"/>
      <c r="B27" s="147"/>
      <c r="C27" s="154">
        <v>7</v>
      </c>
      <c r="D27" s="652"/>
      <c r="E27" s="154" t="s">
        <v>28</v>
      </c>
      <c r="F27" s="157" t="s">
        <v>736</v>
      </c>
      <c r="G27" s="154" t="s">
        <v>655</v>
      </c>
      <c r="H27" s="154" t="s">
        <v>911</v>
      </c>
      <c r="I27" s="644"/>
      <c r="J27" s="190" t="s">
        <v>788</v>
      </c>
      <c r="K27" s="101"/>
      <c r="L27" s="51"/>
    </row>
    <row r="28" spans="1:12" s="16" customFormat="1" ht="24" customHeight="1" x14ac:dyDescent="0.3">
      <c r="A28" s="41"/>
      <c r="B28" s="147"/>
      <c r="C28" s="154">
        <v>8</v>
      </c>
      <c r="D28" s="652"/>
      <c r="E28" s="154"/>
      <c r="F28" s="157"/>
      <c r="G28" s="154"/>
      <c r="H28" s="154"/>
      <c r="I28" s="644"/>
      <c r="J28" s="190"/>
      <c r="K28" s="101"/>
      <c r="L28" s="51"/>
    </row>
    <row r="29" spans="1:12" s="16" customFormat="1" ht="24" customHeight="1" x14ac:dyDescent="0.3">
      <c r="A29" s="41"/>
      <c r="B29" s="147"/>
      <c r="C29" s="154">
        <v>9</v>
      </c>
      <c r="D29" s="652"/>
      <c r="E29" s="154" t="s">
        <v>28</v>
      </c>
      <c r="F29" s="157" t="s">
        <v>736</v>
      </c>
      <c r="G29" s="154" t="s">
        <v>655</v>
      </c>
      <c r="H29" s="154" t="s">
        <v>909</v>
      </c>
      <c r="I29" s="644"/>
      <c r="J29" s="190" t="s">
        <v>761</v>
      </c>
      <c r="K29" s="101"/>
      <c r="L29" s="51"/>
    </row>
    <row r="30" spans="1:12" s="16" customFormat="1" ht="24" customHeight="1" x14ac:dyDescent="0.3">
      <c r="A30" s="41"/>
      <c r="B30" s="147"/>
      <c r="C30" s="154">
        <v>10</v>
      </c>
      <c r="D30" s="652"/>
      <c r="E30" s="154"/>
      <c r="F30" s="157"/>
      <c r="G30" s="154"/>
      <c r="H30" s="154"/>
      <c r="I30" s="644"/>
      <c r="J30" s="190"/>
      <c r="K30" s="101"/>
      <c r="L30" s="51"/>
    </row>
    <row r="31" spans="1:12" s="16" customFormat="1" ht="24" customHeight="1" x14ac:dyDescent="0.3">
      <c r="A31" s="41"/>
      <c r="B31" s="147"/>
      <c r="C31" s="154">
        <v>11</v>
      </c>
      <c r="D31" s="652"/>
      <c r="E31" s="154"/>
      <c r="F31" s="157"/>
      <c r="G31" s="154"/>
      <c r="I31" s="644"/>
      <c r="J31" s="190"/>
      <c r="K31" s="101"/>
      <c r="L31" s="51"/>
    </row>
    <row r="32" spans="1:12" s="16" customFormat="1" ht="24" customHeight="1" x14ac:dyDescent="0.3">
      <c r="A32" s="41"/>
      <c r="B32" s="147"/>
      <c r="C32" s="158">
        <v>12</v>
      </c>
      <c r="D32" s="652"/>
      <c r="E32" s="158"/>
      <c r="F32" s="159"/>
      <c r="G32" s="158"/>
      <c r="H32" s="154"/>
      <c r="I32" s="644"/>
      <c r="J32" s="191"/>
      <c r="K32" s="101"/>
      <c r="L32" s="51"/>
    </row>
    <row r="33" spans="1:12" s="16" customFormat="1" ht="24" customHeight="1" x14ac:dyDescent="0.3">
      <c r="A33" s="41"/>
      <c r="B33" s="147"/>
      <c r="C33" s="152">
        <v>1</v>
      </c>
      <c r="D33" s="653" t="s">
        <v>73</v>
      </c>
      <c r="E33" s="167"/>
      <c r="F33" s="153"/>
      <c r="G33" s="152"/>
      <c r="H33" s="152"/>
      <c r="I33" s="651" t="s">
        <v>73</v>
      </c>
      <c r="J33" s="192"/>
      <c r="K33" s="102"/>
      <c r="L33" s="18"/>
    </row>
    <row r="34" spans="1:12" s="16" customFormat="1" ht="24" customHeight="1" x14ac:dyDescent="0.3">
      <c r="A34" s="41"/>
      <c r="B34" s="147"/>
      <c r="C34" s="154">
        <v>2</v>
      </c>
      <c r="D34" s="654"/>
      <c r="E34" s="160"/>
      <c r="F34" s="157"/>
      <c r="G34" s="160"/>
      <c r="H34" s="154"/>
      <c r="I34" s="649"/>
      <c r="J34" s="190"/>
      <c r="K34" s="102"/>
      <c r="L34" s="18"/>
    </row>
    <row r="35" spans="1:12" s="16" customFormat="1" ht="24" customHeight="1" x14ac:dyDescent="0.3">
      <c r="A35" s="41"/>
      <c r="B35" s="147"/>
      <c r="C35" s="154">
        <v>3</v>
      </c>
      <c r="D35" s="654"/>
      <c r="E35" s="160"/>
      <c r="F35" s="157"/>
      <c r="G35" s="154"/>
      <c r="H35" s="154"/>
      <c r="I35" s="649"/>
      <c r="J35" s="190"/>
      <c r="K35" s="102"/>
      <c r="L35" s="51"/>
    </row>
    <row r="36" spans="1:12" s="16" customFormat="1" ht="24" customHeight="1" x14ac:dyDescent="0.3">
      <c r="A36" s="144"/>
      <c r="B36" s="151"/>
      <c r="C36" s="162">
        <v>4</v>
      </c>
      <c r="D36" s="655"/>
      <c r="E36" s="163"/>
      <c r="F36" s="164"/>
      <c r="G36" s="162"/>
      <c r="H36" s="162"/>
      <c r="I36" s="650"/>
      <c r="J36" s="193"/>
      <c r="K36" s="102"/>
      <c r="L36" s="51"/>
    </row>
    <row r="37" spans="1:12" s="16" customFormat="1" ht="24" customHeight="1" x14ac:dyDescent="0.3">
      <c r="A37" s="141" t="s">
        <v>33</v>
      </c>
      <c r="B37" s="149" t="s">
        <v>46</v>
      </c>
      <c r="C37" s="152">
        <v>1</v>
      </c>
      <c r="D37" s="652" t="s">
        <v>302</v>
      </c>
      <c r="E37" s="172" t="s">
        <v>28</v>
      </c>
      <c r="F37" s="180" t="s">
        <v>348</v>
      </c>
      <c r="G37" s="172"/>
      <c r="H37" s="172" t="s">
        <v>349</v>
      </c>
      <c r="I37" s="644" t="s">
        <v>302</v>
      </c>
      <c r="J37" s="192" t="s">
        <v>350</v>
      </c>
      <c r="K37" s="102"/>
      <c r="L37" s="51"/>
    </row>
    <row r="38" spans="1:12" s="16" customFormat="1" ht="24" customHeight="1" x14ac:dyDescent="0.3">
      <c r="A38" s="607" t="s">
        <v>343</v>
      </c>
      <c r="B38" s="608"/>
      <c r="C38" s="154">
        <v>2</v>
      </c>
      <c r="D38" s="652"/>
      <c r="E38" s="154"/>
      <c r="F38" s="157"/>
      <c r="G38" s="154"/>
      <c r="H38" s="154"/>
      <c r="I38" s="644"/>
      <c r="J38" s="190"/>
      <c r="K38" s="102"/>
      <c r="L38" s="51"/>
    </row>
    <row r="39" spans="1:12" s="16" customFormat="1" ht="24" customHeight="1" x14ac:dyDescent="0.3">
      <c r="A39" s="613" t="s">
        <v>477</v>
      </c>
      <c r="B39" s="614"/>
      <c r="C39" s="154">
        <v>3</v>
      </c>
      <c r="D39" s="652"/>
      <c r="E39" s="154"/>
      <c r="F39" s="157"/>
      <c r="G39" s="154"/>
      <c r="H39" s="154"/>
      <c r="I39" s="644"/>
      <c r="J39" s="190"/>
      <c r="K39" s="102"/>
      <c r="L39" s="51"/>
    </row>
    <row r="40" spans="1:12" s="16" customFormat="1" ht="24" customHeight="1" x14ac:dyDescent="0.3">
      <c r="A40" s="41"/>
      <c r="B40" s="147"/>
      <c r="C40" s="154">
        <v>4</v>
      </c>
      <c r="D40" s="652"/>
      <c r="E40" s="154"/>
      <c r="F40" s="157"/>
      <c r="G40" s="154"/>
      <c r="H40" s="154"/>
      <c r="I40" s="644"/>
      <c r="J40" s="190"/>
      <c r="K40" s="102"/>
      <c r="L40" s="51"/>
    </row>
    <row r="41" spans="1:12" s="16" customFormat="1" ht="24" customHeight="1" x14ac:dyDescent="0.3">
      <c r="A41" s="41"/>
      <c r="B41" s="147"/>
      <c r="C41" s="154">
        <v>5</v>
      </c>
      <c r="D41" s="652"/>
      <c r="E41" s="154"/>
      <c r="F41" s="157"/>
      <c r="G41" s="154"/>
      <c r="H41" s="154"/>
      <c r="I41" s="644"/>
      <c r="J41" s="190"/>
      <c r="K41" s="102"/>
      <c r="L41" s="51"/>
    </row>
    <row r="42" spans="1:12" s="16" customFormat="1" ht="24" customHeight="1" x14ac:dyDescent="0.3">
      <c r="A42" s="41"/>
      <c r="B42" s="147"/>
      <c r="C42" s="154">
        <v>6</v>
      </c>
      <c r="D42" s="652"/>
      <c r="E42" s="154"/>
      <c r="F42" s="157"/>
      <c r="G42" s="154"/>
      <c r="H42" s="154"/>
      <c r="I42" s="644"/>
      <c r="J42" s="190"/>
      <c r="K42" s="102"/>
      <c r="L42" s="51"/>
    </row>
    <row r="43" spans="1:12" s="16" customFormat="1" ht="24" customHeight="1" x14ac:dyDescent="0.3">
      <c r="A43" s="41"/>
      <c r="B43" s="147"/>
      <c r="C43" s="154">
        <v>7</v>
      </c>
      <c r="D43" s="652"/>
      <c r="E43" s="154"/>
      <c r="F43" s="157"/>
      <c r="G43" s="154"/>
      <c r="H43" s="154"/>
      <c r="I43" s="644"/>
      <c r="J43" s="190"/>
      <c r="K43" s="102"/>
      <c r="L43" s="51"/>
    </row>
    <row r="44" spans="1:12" s="16" customFormat="1" ht="24" customHeight="1" x14ac:dyDescent="0.3">
      <c r="A44" s="41"/>
      <c r="B44" s="147"/>
      <c r="C44" s="154">
        <v>8</v>
      </c>
      <c r="D44" s="652"/>
      <c r="E44" s="154"/>
      <c r="F44" s="157"/>
      <c r="G44" s="154"/>
      <c r="H44" s="154"/>
      <c r="I44" s="644"/>
      <c r="J44" s="190"/>
      <c r="K44" s="102"/>
      <c r="L44" s="51"/>
    </row>
    <row r="45" spans="1:12" s="16" customFormat="1" ht="24" customHeight="1" x14ac:dyDescent="0.3">
      <c r="A45" s="41"/>
      <c r="B45" s="147"/>
      <c r="C45" s="154">
        <v>9</v>
      </c>
      <c r="D45" s="652"/>
      <c r="E45" s="154"/>
      <c r="F45" s="157"/>
      <c r="G45" s="154"/>
      <c r="H45" s="154"/>
      <c r="I45" s="644"/>
      <c r="J45" s="190"/>
      <c r="K45" s="102"/>
      <c r="L45" s="51"/>
    </row>
    <row r="46" spans="1:12" s="16" customFormat="1" ht="24" customHeight="1" x14ac:dyDescent="0.3">
      <c r="A46" s="41"/>
      <c r="B46" s="147"/>
      <c r="C46" s="154">
        <v>10</v>
      </c>
      <c r="D46" s="652"/>
      <c r="E46" s="154"/>
      <c r="F46" s="157"/>
      <c r="G46" s="154"/>
      <c r="H46" s="154"/>
      <c r="I46" s="644"/>
      <c r="J46" s="190"/>
      <c r="K46" s="102"/>
      <c r="L46" s="51"/>
    </row>
    <row r="47" spans="1:12" s="16" customFormat="1" ht="24" customHeight="1" x14ac:dyDescent="0.3">
      <c r="A47" s="41"/>
      <c r="B47" s="147"/>
      <c r="C47" s="154">
        <v>11</v>
      </c>
      <c r="D47" s="652"/>
      <c r="E47" s="154"/>
      <c r="F47" s="157"/>
      <c r="G47" s="154"/>
      <c r="H47" s="154"/>
      <c r="I47" s="644"/>
      <c r="J47" s="190"/>
      <c r="K47" s="102"/>
      <c r="L47" s="51"/>
    </row>
    <row r="48" spans="1:12" s="16" customFormat="1" ht="24" customHeight="1" x14ac:dyDescent="0.3">
      <c r="A48" s="41"/>
      <c r="B48" s="147"/>
      <c r="C48" s="158">
        <v>12</v>
      </c>
      <c r="D48" s="652"/>
      <c r="E48" s="158"/>
      <c r="F48" s="159"/>
      <c r="G48" s="158"/>
      <c r="H48" s="158"/>
      <c r="I48" s="645"/>
      <c r="J48" s="191"/>
      <c r="K48" s="102"/>
      <c r="L48" s="51"/>
    </row>
    <row r="49" spans="1:12" s="16" customFormat="1" ht="24" customHeight="1" x14ac:dyDescent="0.3">
      <c r="A49" s="41"/>
      <c r="B49" s="147"/>
      <c r="C49" s="152">
        <v>1</v>
      </c>
      <c r="D49" s="653" t="s">
        <v>73</v>
      </c>
      <c r="E49" s="232"/>
      <c r="F49" s="233"/>
      <c r="G49" s="234"/>
      <c r="H49" s="234" t="s">
        <v>741</v>
      </c>
      <c r="I49" s="651" t="s">
        <v>73</v>
      </c>
      <c r="J49" s="238" t="s">
        <v>740</v>
      </c>
      <c r="K49" s="102"/>
      <c r="L49" s="51"/>
    </row>
    <row r="50" spans="1:12" s="16" customFormat="1" ht="24" customHeight="1" x14ac:dyDescent="0.3">
      <c r="A50" s="41"/>
      <c r="B50" s="147"/>
      <c r="C50" s="154">
        <v>2</v>
      </c>
      <c r="D50" s="654"/>
      <c r="E50" s="160"/>
      <c r="F50" s="157"/>
      <c r="G50" s="160"/>
      <c r="H50" s="154"/>
      <c r="I50" s="649"/>
      <c r="J50" s="190"/>
      <c r="K50" s="102"/>
      <c r="L50" s="51"/>
    </row>
    <row r="51" spans="1:12" s="16" customFormat="1" ht="24" customHeight="1" x14ac:dyDescent="0.3">
      <c r="A51" s="41"/>
      <c r="B51" s="147"/>
      <c r="C51" s="154">
        <v>3</v>
      </c>
      <c r="D51" s="654"/>
      <c r="E51" s="160"/>
      <c r="F51" s="157"/>
      <c r="G51" s="154"/>
      <c r="H51" s="154"/>
      <c r="I51" s="649"/>
      <c r="J51" s="190"/>
      <c r="K51" s="102"/>
      <c r="L51" s="51"/>
    </row>
    <row r="52" spans="1:12" s="16" customFormat="1" ht="24" customHeight="1" x14ac:dyDescent="0.3">
      <c r="A52" s="144"/>
      <c r="B52" s="151"/>
      <c r="C52" s="162">
        <v>4</v>
      </c>
      <c r="D52" s="655"/>
      <c r="E52" s="163"/>
      <c r="F52" s="164"/>
      <c r="G52" s="162"/>
      <c r="H52" s="162"/>
      <c r="I52" s="650"/>
      <c r="J52" s="193"/>
      <c r="K52" s="102"/>
      <c r="L52" s="51"/>
    </row>
    <row r="53" spans="1:12" s="16" customFormat="1" ht="24" customHeight="1" x14ac:dyDescent="0.3">
      <c r="A53" s="141" t="s">
        <v>33</v>
      </c>
      <c r="B53" s="149" t="s">
        <v>45</v>
      </c>
      <c r="C53" s="152">
        <v>1</v>
      </c>
      <c r="D53" s="652" t="s">
        <v>302</v>
      </c>
      <c r="E53" s="172" t="s">
        <v>28</v>
      </c>
      <c r="F53" s="180" t="s">
        <v>736</v>
      </c>
      <c r="G53" s="172" t="s">
        <v>29</v>
      </c>
      <c r="H53" s="172" t="s">
        <v>218</v>
      </c>
      <c r="I53" s="644" t="s">
        <v>302</v>
      </c>
      <c r="J53" s="482" t="s">
        <v>788</v>
      </c>
      <c r="K53" s="102"/>
      <c r="L53" s="51"/>
    </row>
    <row r="54" spans="1:12" s="16" customFormat="1" ht="24" customHeight="1" x14ac:dyDescent="0.3">
      <c r="A54" s="607" t="s">
        <v>352</v>
      </c>
      <c r="B54" s="608"/>
      <c r="C54" s="154">
        <v>2</v>
      </c>
      <c r="D54" s="652"/>
      <c r="E54" s="154"/>
      <c r="F54" s="157"/>
      <c r="G54" s="154"/>
      <c r="H54" s="154"/>
      <c r="I54" s="644"/>
      <c r="J54" s="190"/>
      <c r="K54" s="102"/>
      <c r="L54" s="51"/>
    </row>
    <row r="55" spans="1:12" s="16" customFormat="1" ht="24" customHeight="1" x14ac:dyDescent="0.3">
      <c r="A55" s="613" t="s">
        <v>477</v>
      </c>
      <c r="B55" s="614"/>
      <c r="C55" s="154">
        <v>3</v>
      </c>
      <c r="D55" s="652"/>
      <c r="E55" s="154" t="s">
        <v>738</v>
      </c>
      <c r="F55" s="157" t="s">
        <v>737</v>
      </c>
      <c r="G55" s="154" t="s">
        <v>29</v>
      </c>
      <c r="H55" s="154" t="s">
        <v>175</v>
      </c>
      <c r="I55" s="644"/>
      <c r="J55" s="190" t="s">
        <v>248</v>
      </c>
      <c r="K55" s="102"/>
      <c r="L55" s="51"/>
    </row>
    <row r="56" spans="1:12" s="16" customFormat="1" ht="24" customHeight="1" x14ac:dyDescent="0.3">
      <c r="A56" s="41"/>
      <c r="B56" s="147"/>
      <c r="C56" s="154">
        <v>4</v>
      </c>
      <c r="D56" s="652"/>
      <c r="E56" s="154"/>
      <c r="F56" s="157"/>
      <c r="G56" s="154"/>
      <c r="H56" s="154"/>
      <c r="I56" s="644"/>
      <c r="J56" s="190"/>
      <c r="K56" s="102"/>
      <c r="L56" s="51"/>
    </row>
    <row r="57" spans="1:12" s="16" customFormat="1" ht="24" customHeight="1" x14ac:dyDescent="0.3">
      <c r="A57" s="41"/>
      <c r="B57" s="147"/>
      <c r="C57" s="154">
        <v>5</v>
      </c>
      <c r="D57" s="652"/>
      <c r="E57" s="154"/>
      <c r="F57" s="157"/>
      <c r="G57" s="154"/>
      <c r="H57" s="154"/>
      <c r="I57" s="644"/>
      <c r="J57" s="190"/>
      <c r="K57" s="102"/>
      <c r="L57" s="51"/>
    </row>
    <row r="58" spans="1:12" s="16" customFormat="1" ht="24" customHeight="1" x14ac:dyDescent="0.3">
      <c r="A58" s="41"/>
      <c r="B58" s="147"/>
      <c r="C58" s="154">
        <v>6</v>
      </c>
      <c r="D58" s="652"/>
      <c r="E58" s="154"/>
      <c r="F58" s="157"/>
      <c r="G58" s="154"/>
      <c r="H58" s="154"/>
      <c r="I58" s="644"/>
      <c r="J58" s="190"/>
      <c r="K58" s="102"/>
      <c r="L58" s="51"/>
    </row>
    <row r="59" spans="1:12" s="16" customFormat="1" ht="24" customHeight="1" x14ac:dyDescent="0.3">
      <c r="A59" s="41"/>
      <c r="B59" s="147"/>
      <c r="C59" s="154">
        <v>7</v>
      </c>
      <c r="D59" s="652"/>
      <c r="E59" s="154"/>
      <c r="F59" s="157"/>
      <c r="G59" s="154"/>
      <c r="H59" s="154"/>
      <c r="I59" s="644"/>
      <c r="J59" s="190"/>
      <c r="K59" s="102"/>
      <c r="L59" s="51"/>
    </row>
    <row r="60" spans="1:12" s="16" customFormat="1" ht="24" customHeight="1" x14ac:dyDescent="0.3">
      <c r="A60" s="41"/>
      <c r="B60" s="147"/>
      <c r="C60" s="154">
        <v>8</v>
      </c>
      <c r="D60" s="652"/>
      <c r="E60" s="154"/>
      <c r="F60" s="157"/>
      <c r="G60" s="154"/>
      <c r="H60" s="154"/>
      <c r="I60" s="644"/>
      <c r="J60" s="190"/>
      <c r="K60" s="102"/>
      <c r="L60" s="51"/>
    </row>
    <row r="61" spans="1:12" s="16" customFormat="1" ht="24" customHeight="1" x14ac:dyDescent="0.3">
      <c r="A61" s="41"/>
      <c r="B61" s="147"/>
      <c r="C61" s="154">
        <v>9</v>
      </c>
      <c r="D61" s="652"/>
      <c r="E61" s="154"/>
      <c r="F61" s="157"/>
      <c r="G61" s="154"/>
      <c r="H61" s="154"/>
      <c r="I61" s="644"/>
      <c r="J61" s="190"/>
      <c r="K61" s="102"/>
      <c r="L61" s="51"/>
    </row>
    <row r="62" spans="1:12" s="16" customFormat="1" ht="24" customHeight="1" x14ac:dyDescent="0.3">
      <c r="A62" s="41"/>
      <c r="B62" s="147"/>
      <c r="C62" s="154">
        <v>10</v>
      </c>
      <c r="D62" s="652"/>
      <c r="E62" s="154"/>
      <c r="F62" s="157"/>
      <c r="G62" s="154"/>
      <c r="H62" s="154"/>
      <c r="I62" s="644"/>
      <c r="J62" s="190"/>
      <c r="K62" s="102"/>
      <c r="L62" s="51"/>
    </row>
    <row r="63" spans="1:12" s="16" customFormat="1" ht="24" customHeight="1" x14ac:dyDescent="0.3">
      <c r="A63" s="41"/>
      <c r="B63" s="147"/>
      <c r="C63" s="154">
        <v>11</v>
      </c>
      <c r="D63" s="652"/>
      <c r="E63" s="154"/>
      <c r="F63" s="157"/>
      <c r="G63" s="154"/>
      <c r="H63" s="154"/>
      <c r="I63" s="644"/>
      <c r="J63" s="190"/>
      <c r="K63" s="102"/>
      <c r="L63" s="51"/>
    </row>
    <row r="64" spans="1:12" s="16" customFormat="1" ht="24" customHeight="1" x14ac:dyDescent="0.3">
      <c r="A64" s="41"/>
      <c r="B64" s="147"/>
      <c r="C64" s="158">
        <v>12</v>
      </c>
      <c r="D64" s="652"/>
      <c r="E64" s="158"/>
      <c r="F64" s="159"/>
      <c r="G64" s="158"/>
      <c r="H64" s="158"/>
      <c r="I64" s="645"/>
      <c r="J64" s="191"/>
      <c r="K64" s="102"/>
      <c r="L64" s="51"/>
    </row>
    <row r="65" spans="1:12" s="16" customFormat="1" ht="24" customHeight="1" x14ac:dyDescent="0.3">
      <c r="A65" s="41"/>
      <c r="B65" s="147"/>
      <c r="C65" s="152">
        <v>1</v>
      </c>
      <c r="D65" s="653" t="s">
        <v>73</v>
      </c>
      <c r="E65" s="232"/>
      <c r="F65" s="233"/>
      <c r="G65" s="234"/>
      <c r="H65" s="234" t="s">
        <v>222</v>
      </c>
      <c r="I65" s="651" t="s">
        <v>73</v>
      </c>
      <c r="J65" s="238" t="s">
        <v>740</v>
      </c>
      <c r="K65" s="136" t="s">
        <v>476</v>
      </c>
      <c r="L65" s="51"/>
    </row>
    <row r="66" spans="1:12" s="16" customFormat="1" ht="24" customHeight="1" x14ac:dyDescent="0.3">
      <c r="A66" s="41"/>
      <c r="B66" s="147"/>
      <c r="C66" s="154">
        <v>2</v>
      </c>
      <c r="D66" s="654"/>
      <c r="E66" s="160"/>
      <c r="F66" s="157"/>
      <c r="G66" s="160"/>
      <c r="H66" s="154"/>
      <c r="I66" s="649"/>
      <c r="J66" s="190"/>
      <c r="K66" s="102"/>
      <c r="L66" s="51"/>
    </row>
    <row r="67" spans="1:12" s="16" customFormat="1" ht="24" customHeight="1" x14ac:dyDescent="0.3">
      <c r="A67" s="141" t="s">
        <v>33</v>
      </c>
      <c r="B67" s="149" t="s">
        <v>46</v>
      </c>
      <c r="C67" s="196">
        <v>1</v>
      </c>
      <c r="D67" s="686" t="s">
        <v>301</v>
      </c>
      <c r="E67" s="167"/>
      <c r="F67" s="153"/>
      <c r="G67" s="196"/>
      <c r="H67" s="152"/>
      <c r="I67" s="686" t="s">
        <v>301</v>
      </c>
      <c r="J67" s="192"/>
      <c r="K67" s="102"/>
      <c r="L67" s="18"/>
    </row>
    <row r="68" spans="1:12" s="16" customFormat="1" ht="24" customHeight="1" x14ac:dyDescent="0.3">
      <c r="A68" s="607" t="s">
        <v>351</v>
      </c>
      <c r="B68" s="608"/>
      <c r="C68" s="197">
        <v>2</v>
      </c>
      <c r="D68" s="687"/>
      <c r="E68" s="160"/>
      <c r="F68" s="157"/>
      <c r="G68" s="197"/>
      <c r="H68" s="154"/>
      <c r="I68" s="687"/>
      <c r="J68" s="190"/>
      <c r="K68" s="102"/>
      <c r="L68" s="18"/>
    </row>
    <row r="69" spans="1:12" s="16" customFormat="1" ht="24" customHeight="1" x14ac:dyDescent="0.3">
      <c r="A69" s="613" t="s">
        <v>288</v>
      </c>
      <c r="B69" s="614"/>
      <c r="C69" s="197">
        <v>3</v>
      </c>
      <c r="D69" s="687"/>
      <c r="E69" s="460" t="s">
        <v>25</v>
      </c>
      <c r="F69" s="461" t="s">
        <v>26</v>
      </c>
      <c r="G69" s="460" t="s">
        <v>27</v>
      </c>
      <c r="H69" s="462" t="s">
        <v>538</v>
      </c>
      <c r="I69" s="687"/>
      <c r="J69" s="463" t="s">
        <v>479</v>
      </c>
      <c r="K69" s="464" t="s">
        <v>763</v>
      </c>
      <c r="L69" s="51"/>
    </row>
    <row r="70" spans="1:12" s="16" customFormat="1" ht="24" customHeight="1" x14ac:dyDescent="0.3">
      <c r="A70" s="17"/>
      <c r="B70" s="150"/>
      <c r="C70" s="198">
        <v>4</v>
      </c>
      <c r="D70" s="688"/>
      <c r="E70" s="163"/>
      <c r="F70" s="171"/>
      <c r="G70" s="199"/>
      <c r="H70" s="162"/>
      <c r="I70" s="688"/>
      <c r="J70" s="193"/>
      <c r="K70" s="102"/>
      <c r="L70" s="51"/>
    </row>
    <row r="71" spans="1:12" s="16" customFormat="1" ht="24" customHeight="1" x14ac:dyDescent="0.3">
      <c r="A71" s="29" t="s">
        <v>33</v>
      </c>
      <c r="B71" s="146" t="s">
        <v>16</v>
      </c>
      <c r="C71" s="152">
        <v>1</v>
      </c>
      <c r="D71" s="668" t="s">
        <v>340</v>
      </c>
      <c r="E71" s="152" t="str">
        <f>'춘천SS(구)'!E381</f>
        <v/>
      </c>
      <c r="F71" s="490" t="str">
        <f>'춘천SS(구)'!F381</f>
        <v>급전</v>
      </c>
      <c r="G71" s="490" t="str">
        <f>'춘천SS(구)'!G381</f>
        <v/>
      </c>
      <c r="H71" s="490" t="str">
        <f>'춘천SS(구)'!H381</f>
        <v>원주분소-청평H/P</v>
      </c>
      <c r="I71" s="668" t="s">
        <v>340</v>
      </c>
      <c r="J71" s="491" t="str">
        <f>'춘천SS(구)'!J381</f>
        <v>청평H/P-(한수원망)-춘천H/P-8-북춘천-1-춘천-30-원주</v>
      </c>
      <c r="K71" s="102"/>
      <c r="L71" s="51"/>
    </row>
    <row r="72" spans="1:12" s="16" customFormat="1" ht="24" customHeight="1" x14ac:dyDescent="0.3">
      <c r="A72" s="607" t="s">
        <v>354</v>
      </c>
      <c r="B72" s="608"/>
      <c r="C72" s="154">
        <v>2</v>
      </c>
      <c r="D72" s="669"/>
      <c r="E72" s="154" t="str">
        <f>'춘천SS(구)'!E382</f>
        <v/>
      </c>
      <c r="F72" s="154" t="str">
        <f>'춘천SS(구)'!F382</f>
        <v>급전</v>
      </c>
      <c r="G72" s="154" t="str">
        <f>'춘천SS(구)'!G382</f>
        <v/>
      </c>
      <c r="H72" s="154" t="str">
        <f>'춘천SS(구)'!H382</f>
        <v>원주분소-의암H/P</v>
      </c>
      <c r="I72" s="669"/>
      <c r="J72" s="190" t="str">
        <f>'춘천SS(구)'!J382</f>
        <v>의암H/P-(한수원망)-춘천H/P-9-북춘천-2-춘천-14-원주</v>
      </c>
      <c r="K72" s="102"/>
      <c r="L72" s="51"/>
    </row>
    <row r="73" spans="1:12" s="16" customFormat="1" ht="24" customHeight="1" x14ac:dyDescent="0.3">
      <c r="A73" s="613" t="s">
        <v>288</v>
      </c>
      <c r="B73" s="614"/>
      <c r="C73" s="158">
        <v>3</v>
      </c>
      <c r="D73" s="672"/>
      <c r="E73" s="154" t="str">
        <f>'춘천SS(구)'!E383</f>
        <v/>
      </c>
      <c r="F73" s="154" t="str">
        <f>'춘천SS(구)'!F383</f>
        <v/>
      </c>
      <c r="G73" s="154" t="str">
        <f>'춘천SS(구)'!G383</f>
        <v/>
      </c>
      <c r="H73" s="154" t="str">
        <f>'춘천SS(구)'!H383</f>
        <v/>
      </c>
      <c r="I73" s="672"/>
      <c r="J73" s="190" t="str">
        <f>'춘천SS(구)'!J383</f>
        <v/>
      </c>
      <c r="K73" s="102"/>
      <c r="L73" s="51"/>
    </row>
    <row r="74" spans="1:12" s="16" customFormat="1" ht="24" customHeight="1" x14ac:dyDescent="0.3">
      <c r="A74" s="41"/>
      <c r="B74" s="147"/>
      <c r="C74" s="152">
        <v>4</v>
      </c>
      <c r="D74" s="683" t="s">
        <v>21</v>
      </c>
      <c r="E74" s="152" t="str">
        <f>'춘천SS(구)'!E384</f>
        <v/>
      </c>
      <c r="F74" s="152" t="str">
        <f>'춘천SS(구)'!F384</f>
        <v>급전</v>
      </c>
      <c r="G74" s="152" t="str">
        <f>'춘천SS(구)'!G384</f>
        <v/>
      </c>
      <c r="H74" s="152" t="str">
        <f>'춘천SS(구)'!H384</f>
        <v>춘천-한강RCC</v>
      </c>
      <c r="I74" s="668" t="s">
        <v>340</v>
      </c>
      <c r="J74" s="152" t="str">
        <f>'춘천SS(구)'!J384</f>
        <v>춘천H/P-2-북춘천-4-춘천</v>
      </c>
      <c r="K74" s="102"/>
      <c r="L74" s="51"/>
    </row>
    <row r="75" spans="1:12" s="16" customFormat="1" ht="24" customHeight="1" x14ac:dyDescent="0.3">
      <c r="A75" s="41"/>
      <c r="B75" s="147"/>
      <c r="C75" s="154">
        <v>5</v>
      </c>
      <c r="D75" s="663"/>
      <c r="E75" s="154" t="str">
        <f>'춘천SS(구)'!E385</f>
        <v/>
      </c>
      <c r="F75" s="154" t="str">
        <f>'춘천SS(구)'!F385</f>
        <v/>
      </c>
      <c r="G75" s="154" t="str">
        <f>'춘천SS(구)'!G385</f>
        <v/>
      </c>
      <c r="H75" s="154" t="str">
        <f>'춘천SS(구)'!H385</f>
        <v/>
      </c>
      <c r="I75" s="669"/>
      <c r="J75" s="154" t="str">
        <f>'춘천SS(구)'!J385</f>
        <v/>
      </c>
      <c r="K75" s="102"/>
      <c r="L75" s="51"/>
    </row>
    <row r="76" spans="1:12" s="16" customFormat="1" ht="24" customHeight="1" x14ac:dyDescent="0.3">
      <c r="A76" s="41"/>
      <c r="B76" s="147"/>
      <c r="C76" s="162">
        <v>6</v>
      </c>
      <c r="D76" s="684"/>
      <c r="E76" s="154" t="str">
        <f>'춘천SS(구)'!E386</f>
        <v/>
      </c>
      <c r="F76" s="154" t="str">
        <f>'춘천SS(구)'!F386</f>
        <v/>
      </c>
      <c r="G76" s="154" t="str">
        <f>'춘천SS(구)'!G386</f>
        <v/>
      </c>
      <c r="H76" s="154" t="str">
        <f>'춘천SS(구)'!H386</f>
        <v/>
      </c>
      <c r="I76" s="670"/>
      <c r="J76" s="154" t="str">
        <f>'춘천SS(구)'!J386</f>
        <v/>
      </c>
      <c r="K76" s="102"/>
      <c r="L76" s="51"/>
    </row>
    <row r="77" spans="1:12" s="16" customFormat="1" ht="24" customHeight="1" x14ac:dyDescent="0.3">
      <c r="A77" s="41"/>
      <c r="B77" s="147"/>
      <c r="C77" s="172">
        <v>7</v>
      </c>
      <c r="D77" s="671" t="s">
        <v>17</v>
      </c>
      <c r="E77" s="152" t="str">
        <f>'춘천SS(구)'!E387</f>
        <v/>
      </c>
      <c r="F77" s="152" t="str">
        <f>'춘천SS(구)'!F387</f>
        <v/>
      </c>
      <c r="G77" s="152" t="str">
        <f>'춘천SS(구)'!G387</f>
        <v/>
      </c>
      <c r="H77" s="152" t="str">
        <f>'춘천SS(구)'!H387</f>
        <v/>
      </c>
      <c r="I77" s="671" t="s">
        <v>17</v>
      </c>
      <c r="J77" s="152" t="str">
        <f>'춘천SS(구)'!J387</f>
        <v/>
      </c>
      <c r="K77" s="102"/>
      <c r="L77" s="51"/>
    </row>
    <row r="78" spans="1:12" s="16" customFormat="1" ht="24" customHeight="1" x14ac:dyDescent="0.3">
      <c r="A78" s="41"/>
      <c r="B78" s="147"/>
      <c r="C78" s="154">
        <v>8</v>
      </c>
      <c r="D78" s="669"/>
      <c r="E78" s="154" t="str">
        <f>'춘천SS(구)'!E388</f>
        <v/>
      </c>
      <c r="F78" s="154" t="str">
        <f>'춘천SS(구)'!F388</f>
        <v/>
      </c>
      <c r="G78" s="154" t="str">
        <f>'춘천SS(구)'!G388</f>
        <v/>
      </c>
      <c r="H78" s="154" t="str">
        <f>'춘천SS(구)'!H388</f>
        <v/>
      </c>
      <c r="I78" s="669"/>
      <c r="J78" s="154" t="str">
        <f>'춘천SS(구)'!J388</f>
        <v/>
      </c>
      <c r="K78" s="102"/>
      <c r="L78" s="53"/>
    </row>
    <row r="79" spans="1:12" s="16" customFormat="1" ht="24" customHeight="1" x14ac:dyDescent="0.3">
      <c r="A79" s="41"/>
      <c r="B79" s="147"/>
      <c r="C79" s="158">
        <v>9</v>
      </c>
      <c r="D79" s="672"/>
      <c r="E79" s="154" t="str">
        <f>'춘천SS(구)'!E389</f>
        <v/>
      </c>
      <c r="F79" s="154" t="str">
        <f>'춘천SS(구)'!F389</f>
        <v/>
      </c>
      <c r="G79" s="154" t="str">
        <f>'춘천SS(구)'!G389</f>
        <v/>
      </c>
      <c r="H79" s="154" t="str">
        <f>'춘천SS(구)'!H389</f>
        <v/>
      </c>
      <c r="I79" s="672"/>
      <c r="J79" s="154" t="str">
        <f>'춘천SS(구)'!J389</f>
        <v/>
      </c>
      <c r="K79" s="102"/>
      <c r="L79" s="51"/>
    </row>
    <row r="80" spans="1:12" s="16" customFormat="1" ht="24" customHeight="1" x14ac:dyDescent="0.3">
      <c r="A80" s="41"/>
      <c r="B80" s="147"/>
      <c r="C80" s="152">
        <v>10</v>
      </c>
      <c r="D80" s="657"/>
      <c r="E80" s="152"/>
      <c r="F80" s="153"/>
      <c r="G80" s="152"/>
      <c r="H80" s="152"/>
      <c r="I80" s="657"/>
      <c r="J80" s="192"/>
      <c r="K80" s="101"/>
      <c r="L80" s="51"/>
    </row>
    <row r="81" spans="1:12" s="16" customFormat="1" ht="24" customHeight="1" x14ac:dyDescent="0.3">
      <c r="A81" s="41"/>
      <c r="B81" s="147"/>
      <c r="C81" s="154">
        <v>11</v>
      </c>
      <c r="D81" s="658"/>
      <c r="E81" s="154"/>
      <c r="F81" s="157"/>
      <c r="G81" s="154"/>
      <c r="H81" s="154"/>
      <c r="I81" s="658"/>
      <c r="J81" s="190"/>
      <c r="K81" s="101"/>
      <c r="L81" s="51"/>
    </row>
    <row r="82" spans="1:12" s="16" customFormat="1" ht="24" customHeight="1" x14ac:dyDescent="0.3">
      <c r="A82" s="41"/>
      <c r="B82" s="147"/>
      <c r="C82" s="162">
        <v>12</v>
      </c>
      <c r="D82" s="659"/>
      <c r="E82" s="162"/>
      <c r="F82" s="164"/>
      <c r="G82" s="162"/>
      <c r="H82" s="162"/>
      <c r="I82" s="659"/>
      <c r="J82" s="193"/>
      <c r="K82" s="101"/>
      <c r="L82" s="51"/>
    </row>
    <row r="83" spans="1:12" s="16" customFormat="1" ht="24" customHeight="1" x14ac:dyDescent="0.3">
      <c r="A83" s="41"/>
      <c r="B83" s="147"/>
      <c r="C83" s="172">
        <v>13</v>
      </c>
      <c r="D83" s="660"/>
      <c r="E83" s="172"/>
      <c r="F83" s="180"/>
      <c r="G83" s="172"/>
      <c r="H83" s="172"/>
      <c r="I83" s="660"/>
      <c r="J83" s="195"/>
      <c r="K83" s="101"/>
      <c r="L83" s="51"/>
    </row>
    <row r="84" spans="1:12" s="16" customFormat="1" ht="24" customHeight="1" x14ac:dyDescent="0.3">
      <c r="A84" s="41"/>
      <c r="B84" s="147"/>
      <c r="C84" s="154">
        <v>14</v>
      </c>
      <c r="D84" s="658"/>
      <c r="E84" s="154"/>
      <c r="F84" s="157"/>
      <c r="G84" s="154"/>
      <c r="H84" s="154"/>
      <c r="I84" s="658"/>
      <c r="J84" s="190"/>
      <c r="K84" s="101"/>
      <c r="L84" s="51"/>
    </row>
    <row r="85" spans="1:12" s="16" customFormat="1" ht="24" customHeight="1" x14ac:dyDescent="0.3">
      <c r="A85" s="41"/>
      <c r="B85" s="147"/>
      <c r="C85" s="158">
        <v>15</v>
      </c>
      <c r="D85" s="661"/>
      <c r="E85" s="158"/>
      <c r="F85" s="159"/>
      <c r="G85" s="158"/>
      <c r="H85" s="158"/>
      <c r="I85" s="661"/>
      <c r="J85" s="191"/>
      <c r="K85" s="102"/>
      <c r="L85" s="53"/>
    </row>
    <row r="86" spans="1:12" s="16" customFormat="1" ht="24" customHeight="1" x14ac:dyDescent="0.3">
      <c r="A86" s="41"/>
      <c r="B86" s="147"/>
      <c r="C86" s="152">
        <v>16</v>
      </c>
      <c r="D86" s="657"/>
      <c r="E86" s="152"/>
      <c r="F86" s="153"/>
      <c r="G86" s="152"/>
      <c r="H86" s="152"/>
      <c r="I86" s="657"/>
      <c r="J86" s="192"/>
      <c r="K86" s="102"/>
      <c r="L86" s="53"/>
    </row>
    <row r="87" spans="1:12" s="16" customFormat="1" ht="24" customHeight="1" x14ac:dyDescent="0.3">
      <c r="A87" s="41"/>
      <c r="B87" s="147"/>
      <c r="C87" s="154">
        <v>17</v>
      </c>
      <c r="D87" s="658"/>
      <c r="E87" s="154"/>
      <c r="F87" s="157"/>
      <c r="G87" s="154"/>
      <c r="H87" s="154"/>
      <c r="I87" s="658"/>
      <c r="J87" s="190"/>
      <c r="K87" s="102"/>
      <c r="L87" s="51"/>
    </row>
    <row r="88" spans="1:12" s="16" customFormat="1" ht="24" customHeight="1" x14ac:dyDescent="0.3">
      <c r="A88" s="41"/>
      <c r="B88" s="147"/>
      <c r="C88" s="162">
        <v>18</v>
      </c>
      <c r="D88" s="659"/>
      <c r="E88" s="162"/>
      <c r="F88" s="164"/>
      <c r="G88" s="162"/>
      <c r="H88" s="162"/>
      <c r="I88" s="659"/>
      <c r="J88" s="193"/>
      <c r="K88" s="102"/>
      <c r="L88" s="51"/>
    </row>
    <row r="89" spans="1:12" s="16" customFormat="1" ht="24" customHeight="1" x14ac:dyDescent="0.3">
      <c r="A89" s="41"/>
      <c r="B89" s="147"/>
      <c r="C89" s="172">
        <v>19</v>
      </c>
      <c r="D89" s="660"/>
      <c r="E89" s="172"/>
      <c r="F89" s="180"/>
      <c r="G89" s="172"/>
      <c r="H89" s="172"/>
      <c r="I89" s="660"/>
      <c r="J89" s="195"/>
      <c r="K89" s="102"/>
      <c r="L89" s="51"/>
    </row>
    <row r="90" spans="1:12" s="16" customFormat="1" ht="24" customHeight="1" x14ac:dyDescent="0.3">
      <c r="A90" s="41"/>
      <c r="B90" s="147"/>
      <c r="C90" s="154">
        <v>20</v>
      </c>
      <c r="D90" s="658"/>
      <c r="E90" s="154"/>
      <c r="F90" s="157"/>
      <c r="G90" s="154"/>
      <c r="H90" s="154"/>
      <c r="I90" s="658"/>
      <c r="J90" s="190"/>
      <c r="K90" s="102"/>
      <c r="L90" s="51"/>
    </row>
    <row r="91" spans="1:12" s="16" customFormat="1" ht="24" customHeight="1" x14ac:dyDescent="0.3">
      <c r="A91" s="41"/>
      <c r="B91" s="147"/>
      <c r="C91" s="158">
        <v>21</v>
      </c>
      <c r="D91" s="661"/>
      <c r="E91" s="158"/>
      <c r="F91" s="159"/>
      <c r="G91" s="158"/>
      <c r="H91" s="158"/>
      <c r="I91" s="661"/>
      <c r="J91" s="191"/>
      <c r="K91" s="102"/>
      <c r="L91" s="53"/>
    </row>
    <row r="92" spans="1:12" s="16" customFormat="1" ht="24" customHeight="1" x14ac:dyDescent="0.3">
      <c r="A92" s="41"/>
      <c r="B92" s="147"/>
      <c r="C92" s="152">
        <v>22</v>
      </c>
      <c r="D92" s="657"/>
      <c r="E92" s="152"/>
      <c r="F92" s="153"/>
      <c r="G92" s="152"/>
      <c r="H92" s="152"/>
      <c r="I92" s="657"/>
      <c r="J92" s="192"/>
      <c r="K92" s="102"/>
      <c r="L92" s="53"/>
    </row>
    <row r="93" spans="1:12" s="16" customFormat="1" ht="24" customHeight="1" x14ac:dyDescent="0.3">
      <c r="A93" s="41"/>
      <c r="B93" s="147"/>
      <c r="C93" s="154">
        <v>23</v>
      </c>
      <c r="D93" s="658"/>
      <c r="E93" s="154"/>
      <c r="F93" s="157"/>
      <c r="G93" s="154"/>
      <c r="H93" s="154"/>
      <c r="I93" s="658"/>
      <c r="J93" s="190"/>
      <c r="K93" s="102"/>
      <c r="L93" s="53"/>
    </row>
    <row r="94" spans="1:12" s="16" customFormat="1" ht="24" customHeight="1" x14ac:dyDescent="0.3">
      <c r="A94" s="41"/>
      <c r="B94" s="147"/>
      <c r="C94" s="162">
        <v>24</v>
      </c>
      <c r="D94" s="659"/>
      <c r="E94" s="162"/>
      <c r="F94" s="164"/>
      <c r="G94" s="162"/>
      <c r="H94" s="162"/>
      <c r="I94" s="659"/>
      <c r="J94" s="193"/>
      <c r="K94" s="102"/>
      <c r="L94" s="53"/>
    </row>
    <row r="95" spans="1:12" s="16" customFormat="1" ht="24" customHeight="1" x14ac:dyDescent="0.3">
      <c r="A95" s="41"/>
      <c r="B95" s="147"/>
      <c r="C95" s="172">
        <v>25</v>
      </c>
      <c r="D95" s="660"/>
      <c r="E95" s="172"/>
      <c r="F95" s="180"/>
      <c r="G95" s="172"/>
      <c r="H95" s="172"/>
      <c r="I95" s="660"/>
      <c r="J95" s="195"/>
      <c r="K95" s="102"/>
      <c r="L95" s="53"/>
    </row>
    <row r="96" spans="1:12" s="16" customFormat="1" ht="24" customHeight="1" x14ac:dyDescent="0.3">
      <c r="A96" s="41"/>
      <c r="B96" s="147"/>
      <c r="C96" s="154">
        <v>26</v>
      </c>
      <c r="D96" s="658"/>
      <c r="E96" s="154"/>
      <c r="F96" s="157"/>
      <c r="G96" s="154"/>
      <c r="H96" s="154"/>
      <c r="I96" s="658"/>
      <c r="J96" s="190"/>
      <c r="K96" s="102"/>
      <c r="L96" s="18"/>
    </row>
    <row r="97" spans="1:12" s="16" customFormat="1" ht="24" customHeight="1" x14ac:dyDescent="0.3">
      <c r="A97" s="41"/>
      <c r="B97" s="147"/>
      <c r="C97" s="158">
        <v>27</v>
      </c>
      <c r="D97" s="661"/>
      <c r="E97" s="158"/>
      <c r="F97" s="159"/>
      <c r="G97" s="158"/>
      <c r="H97" s="158"/>
      <c r="I97" s="661"/>
      <c r="J97" s="191"/>
      <c r="K97" s="102"/>
      <c r="L97" s="18"/>
    </row>
    <row r="98" spans="1:12" s="16" customFormat="1" ht="24" customHeight="1" x14ac:dyDescent="0.3">
      <c r="A98" s="41"/>
      <c r="B98" s="147"/>
      <c r="C98" s="152">
        <v>28</v>
      </c>
      <c r="D98" s="657"/>
      <c r="E98" s="152"/>
      <c r="F98" s="153"/>
      <c r="G98" s="152"/>
      <c r="H98" s="152"/>
      <c r="I98" s="657"/>
      <c r="J98" s="192"/>
      <c r="K98" s="102"/>
      <c r="L98" s="18"/>
    </row>
    <row r="99" spans="1:12" s="16" customFormat="1" ht="24" customHeight="1" x14ac:dyDescent="0.3">
      <c r="A99" s="41"/>
      <c r="B99" s="31"/>
      <c r="C99" s="154">
        <v>29</v>
      </c>
      <c r="D99" s="658"/>
      <c r="E99" s="154"/>
      <c r="F99" s="157"/>
      <c r="G99" s="154"/>
      <c r="H99" s="154"/>
      <c r="I99" s="658"/>
      <c r="J99" s="190"/>
      <c r="K99" s="102"/>
      <c r="L99" s="18"/>
    </row>
    <row r="100" spans="1:12" s="16" customFormat="1" ht="24" customHeight="1" x14ac:dyDescent="0.3">
      <c r="A100" s="144"/>
      <c r="B100" s="142"/>
      <c r="C100" s="162">
        <v>30</v>
      </c>
      <c r="D100" s="659"/>
      <c r="E100" s="162"/>
      <c r="F100" s="164"/>
      <c r="G100" s="162"/>
      <c r="H100" s="162"/>
      <c r="I100" s="659"/>
      <c r="J100" s="193"/>
      <c r="K100" s="102"/>
      <c r="L100" s="18"/>
    </row>
    <row r="101" spans="1:12" s="16" customFormat="1" ht="24" customHeight="1" x14ac:dyDescent="0.3">
      <c r="A101" s="29" t="s">
        <v>353</v>
      </c>
      <c r="B101" s="146" t="s">
        <v>355</v>
      </c>
      <c r="C101" s="152">
        <v>1</v>
      </c>
      <c r="D101" s="668" t="s">
        <v>20</v>
      </c>
      <c r="E101" s="152"/>
      <c r="F101" s="153"/>
      <c r="G101" s="152"/>
      <c r="H101" s="152"/>
      <c r="I101" s="668" t="s">
        <v>20</v>
      </c>
      <c r="J101" s="190"/>
      <c r="K101" s="102"/>
      <c r="L101" s="18"/>
    </row>
    <row r="102" spans="1:12" s="16" customFormat="1" ht="24" customHeight="1" x14ac:dyDescent="0.3">
      <c r="A102" s="607" t="s">
        <v>356</v>
      </c>
      <c r="B102" s="608"/>
      <c r="C102" s="154">
        <v>2</v>
      </c>
      <c r="D102" s="669"/>
      <c r="E102" s="154"/>
      <c r="F102" s="157"/>
      <c r="G102" s="154"/>
      <c r="H102" s="154"/>
      <c r="I102" s="669"/>
      <c r="J102" s="190"/>
      <c r="K102" s="102"/>
      <c r="L102" s="18"/>
    </row>
    <row r="103" spans="1:12" s="16" customFormat="1" ht="24" customHeight="1" x14ac:dyDescent="0.3">
      <c r="A103" s="613" t="s">
        <v>288</v>
      </c>
      <c r="B103" s="614"/>
      <c r="C103" s="158">
        <v>3</v>
      </c>
      <c r="D103" s="672"/>
      <c r="E103" s="158"/>
      <c r="F103" s="159"/>
      <c r="G103" s="158"/>
      <c r="H103" s="158"/>
      <c r="I103" s="672"/>
      <c r="J103" s="191"/>
      <c r="K103" s="102"/>
      <c r="L103" s="18"/>
    </row>
    <row r="104" spans="1:12" s="16" customFormat="1" ht="24" customHeight="1" x14ac:dyDescent="0.3">
      <c r="A104" s="41"/>
      <c r="B104" s="147"/>
      <c r="C104" s="152">
        <v>4</v>
      </c>
      <c r="D104" s="683" t="s">
        <v>15</v>
      </c>
      <c r="E104" s="152"/>
      <c r="F104" s="153"/>
      <c r="G104" s="152"/>
      <c r="H104" s="152"/>
      <c r="I104" s="668" t="s">
        <v>20</v>
      </c>
      <c r="J104" s="192"/>
      <c r="K104" s="102"/>
      <c r="L104" s="18"/>
    </row>
    <row r="105" spans="1:12" s="16" customFormat="1" ht="24" customHeight="1" x14ac:dyDescent="0.3">
      <c r="A105" s="41"/>
      <c r="B105" s="147"/>
      <c r="C105" s="154">
        <v>5</v>
      </c>
      <c r="D105" s="663"/>
      <c r="E105" s="154"/>
      <c r="F105" s="157"/>
      <c r="G105" s="154"/>
      <c r="H105" s="154"/>
      <c r="I105" s="669"/>
      <c r="J105" s="190"/>
      <c r="K105" s="102"/>
      <c r="L105" s="18"/>
    </row>
    <row r="106" spans="1:12" s="16" customFormat="1" ht="24" customHeight="1" x14ac:dyDescent="0.3">
      <c r="A106" s="41"/>
      <c r="B106" s="147"/>
      <c r="C106" s="162">
        <v>6</v>
      </c>
      <c r="D106" s="684"/>
      <c r="E106" s="162"/>
      <c r="F106" s="164"/>
      <c r="G106" s="162"/>
      <c r="H106" s="162"/>
      <c r="I106" s="670"/>
      <c r="J106" s="193"/>
      <c r="K106" s="102"/>
      <c r="L106" s="18"/>
    </row>
    <row r="107" spans="1:12" s="16" customFormat="1" ht="24" customHeight="1" x14ac:dyDescent="0.3">
      <c r="A107" s="41"/>
      <c r="B107" s="147"/>
      <c r="C107" s="172">
        <v>7</v>
      </c>
      <c r="D107" s="671" t="s">
        <v>20</v>
      </c>
      <c r="E107" s="172"/>
      <c r="F107" s="180"/>
      <c r="G107" s="172"/>
      <c r="H107" s="172"/>
      <c r="I107" s="671" t="s">
        <v>20</v>
      </c>
      <c r="J107" s="195"/>
      <c r="K107" s="102"/>
      <c r="L107" s="18"/>
    </row>
    <row r="108" spans="1:12" s="16" customFormat="1" ht="24" customHeight="1" x14ac:dyDescent="0.3">
      <c r="A108" s="41"/>
      <c r="B108" s="147"/>
      <c r="C108" s="154">
        <v>8</v>
      </c>
      <c r="D108" s="669"/>
      <c r="E108" s="154"/>
      <c r="F108" s="495"/>
      <c r="G108" s="488"/>
      <c r="H108" s="488"/>
      <c r="I108" s="669"/>
      <c r="J108" s="491"/>
      <c r="K108" s="102"/>
      <c r="L108" s="18"/>
    </row>
    <row r="109" spans="1:12" s="16" customFormat="1" ht="24" customHeight="1" x14ac:dyDescent="0.3">
      <c r="A109" s="41"/>
      <c r="B109" s="147"/>
      <c r="C109" s="158">
        <v>9</v>
      </c>
      <c r="D109" s="672"/>
      <c r="E109" s="158"/>
      <c r="F109" s="159"/>
      <c r="G109" s="158"/>
      <c r="H109" s="158"/>
      <c r="I109" s="672"/>
      <c r="J109" s="191"/>
      <c r="K109" s="102"/>
      <c r="L109" s="18"/>
    </row>
    <row r="110" spans="1:12" s="16" customFormat="1" ht="24" customHeight="1" x14ac:dyDescent="0.3">
      <c r="A110" s="41"/>
      <c r="B110" s="147"/>
      <c r="C110" s="152">
        <v>10</v>
      </c>
      <c r="D110" s="683" t="s">
        <v>15</v>
      </c>
      <c r="E110" s="152"/>
      <c r="F110" s="153"/>
      <c r="G110" s="152"/>
      <c r="H110" s="152"/>
      <c r="I110" s="668" t="s">
        <v>20</v>
      </c>
      <c r="J110" s="192"/>
      <c r="K110" s="102"/>
      <c r="L110" s="18"/>
    </row>
    <row r="111" spans="1:12" s="16" customFormat="1" ht="24" customHeight="1" x14ac:dyDescent="0.3">
      <c r="A111" s="41"/>
      <c r="B111" s="147"/>
      <c r="C111" s="154">
        <v>11</v>
      </c>
      <c r="D111" s="663"/>
      <c r="E111" s="154"/>
      <c r="F111" s="157"/>
      <c r="G111" s="154"/>
      <c r="H111" s="154"/>
      <c r="I111" s="669"/>
      <c r="J111" s="190"/>
      <c r="K111" s="102"/>
      <c r="L111" s="18"/>
    </row>
    <row r="112" spans="1:12" s="16" customFormat="1" ht="24" customHeight="1" x14ac:dyDescent="0.3">
      <c r="A112" s="41"/>
      <c r="B112" s="147"/>
      <c r="C112" s="162">
        <v>12</v>
      </c>
      <c r="D112" s="684"/>
      <c r="E112" s="162"/>
      <c r="F112" s="164"/>
      <c r="G112" s="162"/>
      <c r="H112" s="162"/>
      <c r="I112" s="670"/>
      <c r="J112" s="193"/>
      <c r="K112" s="102"/>
      <c r="L112" s="18"/>
    </row>
    <row r="113" spans="1:12" s="16" customFormat="1" ht="24" customHeight="1" x14ac:dyDescent="0.3">
      <c r="A113" s="41"/>
      <c r="B113" s="147"/>
      <c r="C113" s="172">
        <v>13</v>
      </c>
      <c r="D113" s="671" t="s">
        <v>20</v>
      </c>
      <c r="E113" s="172"/>
      <c r="F113" s="180"/>
      <c r="G113" s="172"/>
      <c r="H113" s="172"/>
      <c r="I113" s="671" t="s">
        <v>20</v>
      </c>
      <c r="J113" s="195"/>
      <c r="K113" s="102"/>
      <c r="L113" s="18"/>
    </row>
    <row r="114" spans="1:12" s="16" customFormat="1" ht="24" customHeight="1" x14ac:dyDescent="0.3">
      <c r="A114" s="41"/>
      <c r="B114" s="147"/>
      <c r="C114" s="154">
        <v>14</v>
      </c>
      <c r="D114" s="669"/>
      <c r="E114" s="154"/>
      <c r="F114" s="157"/>
      <c r="G114" s="154"/>
      <c r="H114" s="154"/>
      <c r="I114" s="669"/>
      <c r="J114" s="190"/>
      <c r="K114" s="102"/>
      <c r="L114" s="18"/>
    </row>
    <row r="115" spans="1:12" s="16" customFormat="1" ht="24" customHeight="1" x14ac:dyDescent="0.3">
      <c r="A115" s="41"/>
      <c r="B115" s="147"/>
      <c r="C115" s="158">
        <v>15</v>
      </c>
      <c r="D115" s="672"/>
      <c r="E115" s="158"/>
      <c r="F115" s="159"/>
      <c r="G115" s="158"/>
      <c r="H115" s="158"/>
      <c r="I115" s="672"/>
      <c r="J115" s="191"/>
      <c r="K115" s="102"/>
      <c r="L115" s="18"/>
    </row>
    <row r="116" spans="1:12" s="16" customFormat="1" ht="24" customHeight="1" x14ac:dyDescent="0.3">
      <c r="A116" s="41"/>
      <c r="B116" s="147"/>
      <c r="C116" s="152">
        <v>16</v>
      </c>
      <c r="D116" s="668" t="s">
        <v>20</v>
      </c>
      <c r="E116" s="152"/>
      <c r="F116" s="153" t="s">
        <v>93</v>
      </c>
      <c r="G116" s="152"/>
      <c r="H116" s="152" t="s">
        <v>192</v>
      </c>
      <c r="I116" s="683" t="s">
        <v>15</v>
      </c>
      <c r="J116" s="154" t="str">
        <f>본부통신실!J66</f>
        <v>본부-20(C-MUX)-춘천-18(통합단말)11-북춘천-16(P32T)-춘천HP</v>
      </c>
      <c r="K116" s="102"/>
      <c r="L116" s="18"/>
    </row>
    <row r="117" spans="1:12" s="16" customFormat="1" ht="24" customHeight="1" x14ac:dyDescent="0.3">
      <c r="A117" s="41"/>
      <c r="B117" s="147"/>
      <c r="C117" s="154">
        <v>17</v>
      </c>
      <c r="D117" s="669"/>
      <c r="E117" s="154"/>
      <c r="F117" s="157"/>
      <c r="G117" s="154"/>
      <c r="H117" s="154"/>
      <c r="I117" s="663"/>
      <c r="J117" s="190"/>
      <c r="K117" s="102"/>
      <c r="L117" s="18"/>
    </row>
    <row r="118" spans="1:12" s="16" customFormat="1" ht="24" customHeight="1" x14ac:dyDescent="0.3">
      <c r="A118" s="41"/>
      <c r="B118" s="147"/>
      <c r="C118" s="162">
        <v>18</v>
      </c>
      <c r="D118" s="670"/>
      <c r="E118" s="162"/>
      <c r="F118" s="164"/>
      <c r="G118" s="162"/>
      <c r="H118" s="162"/>
      <c r="I118" s="684"/>
      <c r="J118" s="193"/>
      <c r="K118" s="102"/>
      <c r="L118" s="18"/>
    </row>
    <row r="119" spans="1:12" s="16" customFormat="1" ht="24" customHeight="1" x14ac:dyDescent="0.3">
      <c r="A119" s="41"/>
      <c r="B119" s="147"/>
      <c r="C119" s="172">
        <v>19</v>
      </c>
      <c r="D119" s="660"/>
      <c r="E119" s="172"/>
      <c r="F119" s="180"/>
      <c r="G119" s="172"/>
      <c r="H119" s="172"/>
      <c r="I119" s="660"/>
      <c r="J119" s="195"/>
      <c r="K119" s="102"/>
      <c r="L119" s="18"/>
    </row>
    <row r="120" spans="1:12" s="16" customFormat="1" ht="24" customHeight="1" x14ac:dyDescent="0.3">
      <c r="A120" s="41"/>
      <c r="B120" s="147"/>
      <c r="C120" s="154">
        <v>20</v>
      </c>
      <c r="D120" s="658"/>
      <c r="E120" s="154"/>
      <c r="F120" s="157"/>
      <c r="G120" s="154"/>
      <c r="H120" s="154"/>
      <c r="I120" s="658"/>
      <c r="J120" s="190"/>
      <c r="K120" s="102"/>
      <c r="L120" s="18"/>
    </row>
    <row r="121" spans="1:12" s="16" customFormat="1" ht="24" customHeight="1" x14ac:dyDescent="0.3">
      <c r="A121" s="41"/>
      <c r="B121" s="147"/>
      <c r="C121" s="158">
        <v>21</v>
      </c>
      <c r="D121" s="661"/>
      <c r="E121" s="158"/>
      <c r="F121" s="159"/>
      <c r="G121" s="158"/>
      <c r="H121" s="158"/>
      <c r="I121" s="661"/>
      <c r="J121" s="191"/>
      <c r="K121" s="102"/>
      <c r="L121" s="18"/>
    </row>
    <row r="122" spans="1:12" s="16" customFormat="1" ht="24" customHeight="1" x14ac:dyDescent="0.3">
      <c r="A122" s="41"/>
      <c r="B122" s="147"/>
      <c r="C122" s="152">
        <v>22</v>
      </c>
      <c r="D122" s="657"/>
      <c r="E122" s="152"/>
      <c r="F122" s="153"/>
      <c r="G122" s="152"/>
      <c r="H122" s="152"/>
      <c r="I122" s="657"/>
      <c r="J122" s="192"/>
      <c r="K122" s="102"/>
      <c r="L122" s="18"/>
    </row>
    <row r="123" spans="1:12" s="16" customFormat="1" ht="24" customHeight="1" x14ac:dyDescent="0.3">
      <c r="A123" s="41"/>
      <c r="B123" s="147"/>
      <c r="C123" s="154">
        <v>23</v>
      </c>
      <c r="D123" s="658"/>
      <c r="E123" s="154"/>
      <c r="F123" s="157"/>
      <c r="G123" s="154"/>
      <c r="H123" s="154"/>
      <c r="I123" s="658"/>
      <c r="J123" s="190"/>
      <c r="K123" s="102"/>
      <c r="L123" s="18"/>
    </row>
    <row r="124" spans="1:12" s="16" customFormat="1" ht="24" customHeight="1" x14ac:dyDescent="0.3">
      <c r="A124" s="41"/>
      <c r="B124" s="147"/>
      <c r="C124" s="162">
        <v>24</v>
      </c>
      <c r="D124" s="659"/>
      <c r="E124" s="162"/>
      <c r="F124" s="164"/>
      <c r="G124" s="162"/>
      <c r="H124" s="162"/>
      <c r="I124" s="659"/>
      <c r="J124" s="193"/>
      <c r="K124" s="102"/>
      <c r="L124" s="18"/>
    </row>
    <row r="125" spans="1:12" s="16" customFormat="1" ht="24" customHeight="1" x14ac:dyDescent="0.3">
      <c r="A125" s="41"/>
      <c r="B125" s="147"/>
      <c r="C125" s="172">
        <v>25</v>
      </c>
      <c r="D125" s="660"/>
      <c r="E125" s="172"/>
      <c r="F125" s="180"/>
      <c r="G125" s="172"/>
      <c r="H125" s="172"/>
      <c r="I125" s="660"/>
      <c r="J125" s="195"/>
      <c r="K125" s="102"/>
      <c r="L125" s="18"/>
    </row>
    <row r="126" spans="1:12" s="16" customFormat="1" ht="24" customHeight="1" x14ac:dyDescent="0.3">
      <c r="A126" s="41"/>
      <c r="B126" s="147"/>
      <c r="C126" s="154">
        <v>26</v>
      </c>
      <c r="D126" s="658"/>
      <c r="E126" s="154"/>
      <c r="F126" s="157"/>
      <c r="G126" s="154"/>
      <c r="H126" s="154"/>
      <c r="I126" s="658"/>
      <c r="J126" s="190"/>
      <c r="K126" s="102"/>
      <c r="L126" s="18"/>
    </row>
    <row r="127" spans="1:12" s="16" customFormat="1" ht="24" customHeight="1" x14ac:dyDescent="0.3">
      <c r="A127" s="41"/>
      <c r="B127" s="147"/>
      <c r="C127" s="158">
        <v>27</v>
      </c>
      <c r="D127" s="661"/>
      <c r="E127" s="158"/>
      <c r="F127" s="159"/>
      <c r="G127" s="158"/>
      <c r="H127" s="158"/>
      <c r="I127" s="661"/>
      <c r="J127" s="191"/>
      <c r="K127" s="102"/>
      <c r="L127" s="51"/>
    </row>
    <row r="128" spans="1:12" s="16" customFormat="1" ht="24" customHeight="1" x14ac:dyDescent="0.3">
      <c r="A128" s="41"/>
      <c r="B128" s="147"/>
      <c r="C128" s="152">
        <v>28</v>
      </c>
      <c r="D128" s="657"/>
      <c r="E128" s="152"/>
      <c r="F128" s="153"/>
      <c r="G128" s="152"/>
      <c r="H128" s="152"/>
      <c r="I128" s="657"/>
      <c r="J128" s="192"/>
      <c r="K128" s="102"/>
      <c r="L128" s="51"/>
    </row>
    <row r="129" spans="1:13" s="16" customFormat="1" ht="24" customHeight="1" x14ac:dyDescent="0.3">
      <c r="A129" s="41"/>
      <c r="B129" s="147"/>
      <c r="C129" s="154">
        <v>29</v>
      </c>
      <c r="D129" s="658"/>
      <c r="E129" s="154"/>
      <c r="F129" s="157"/>
      <c r="G129" s="154"/>
      <c r="H129" s="154"/>
      <c r="I129" s="658"/>
      <c r="J129" s="190"/>
      <c r="K129" s="102"/>
      <c r="L129" s="51"/>
    </row>
    <row r="130" spans="1:13" s="16" customFormat="1" ht="24" customHeight="1" x14ac:dyDescent="0.3">
      <c r="A130" s="139"/>
      <c r="B130" s="148"/>
      <c r="C130" s="162">
        <v>30</v>
      </c>
      <c r="D130" s="659"/>
      <c r="E130" s="162"/>
      <c r="F130" s="164"/>
      <c r="G130" s="162"/>
      <c r="H130" s="162"/>
      <c r="I130" s="659"/>
      <c r="J130" s="193"/>
      <c r="K130" s="102"/>
      <c r="L130" s="51"/>
    </row>
    <row r="131" spans="1:13" s="16" customFormat="1" ht="24" customHeight="1" x14ac:dyDescent="0.3">
      <c r="A131" s="141" t="s">
        <v>353</v>
      </c>
      <c r="B131" s="149" t="s">
        <v>357</v>
      </c>
      <c r="C131" s="152">
        <v>1</v>
      </c>
      <c r="D131" s="657"/>
      <c r="E131" s="152"/>
      <c r="F131" s="153"/>
      <c r="G131" s="152"/>
      <c r="H131" s="152"/>
      <c r="I131" s="668" t="s">
        <v>20</v>
      </c>
      <c r="J131" s="192"/>
      <c r="K131" s="102"/>
      <c r="L131" s="51"/>
    </row>
    <row r="132" spans="1:13" s="16" customFormat="1" ht="24" customHeight="1" x14ac:dyDescent="0.3">
      <c r="A132" s="607" t="s">
        <v>356</v>
      </c>
      <c r="B132" s="608"/>
      <c r="C132" s="154">
        <v>2</v>
      </c>
      <c r="D132" s="658"/>
      <c r="E132" s="154"/>
      <c r="F132" s="157"/>
      <c r="G132" s="154"/>
      <c r="H132" s="154"/>
      <c r="I132" s="669"/>
      <c r="J132" s="190"/>
      <c r="K132" s="102"/>
      <c r="L132" s="51"/>
    </row>
    <row r="133" spans="1:13" s="16" customFormat="1" ht="24" customHeight="1" x14ac:dyDescent="0.3">
      <c r="A133" s="613" t="s">
        <v>288</v>
      </c>
      <c r="B133" s="614"/>
      <c r="C133" s="158">
        <v>3</v>
      </c>
      <c r="D133" s="661"/>
      <c r="E133" s="158"/>
      <c r="F133" s="159"/>
      <c r="G133" s="158"/>
      <c r="H133" s="158"/>
      <c r="I133" s="672"/>
      <c r="J133" s="191"/>
      <c r="K133" s="102"/>
      <c r="L133" s="51"/>
    </row>
    <row r="134" spans="1:13" s="16" customFormat="1" ht="24" customHeight="1" x14ac:dyDescent="0.3">
      <c r="A134" s="41"/>
      <c r="B134" s="147"/>
      <c r="C134" s="152">
        <v>4</v>
      </c>
      <c r="D134" s="683" t="s">
        <v>358</v>
      </c>
      <c r="E134" s="152"/>
      <c r="F134" s="153"/>
      <c r="G134" s="152"/>
      <c r="H134" s="152"/>
      <c r="I134" s="668" t="s">
        <v>20</v>
      </c>
      <c r="J134" s="192"/>
      <c r="K134" s="102"/>
      <c r="L134" s="51"/>
    </row>
    <row r="135" spans="1:13" s="16" customFormat="1" ht="24" customHeight="1" x14ac:dyDescent="0.3">
      <c r="A135" s="41"/>
      <c r="B135" s="147"/>
      <c r="C135" s="154">
        <v>5</v>
      </c>
      <c r="D135" s="663"/>
      <c r="E135" s="154"/>
      <c r="F135" s="157"/>
      <c r="G135" s="154"/>
      <c r="H135" s="154"/>
      <c r="I135" s="669"/>
      <c r="J135" s="190"/>
      <c r="K135" s="102"/>
      <c r="L135" s="51"/>
    </row>
    <row r="136" spans="1:13" s="16" customFormat="1" ht="24" customHeight="1" x14ac:dyDescent="0.3">
      <c r="A136" s="41"/>
      <c r="B136" s="147"/>
      <c r="C136" s="162">
        <v>6</v>
      </c>
      <c r="D136" s="684"/>
      <c r="E136" s="162"/>
      <c r="F136" s="164"/>
      <c r="G136" s="162"/>
      <c r="H136" s="162"/>
      <c r="I136" s="670"/>
      <c r="J136" s="193"/>
      <c r="K136" s="102"/>
      <c r="L136" s="53"/>
    </row>
    <row r="137" spans="1:13" s="16" customFormat="1" ht="24" customHeight="1" x14ac:dyDescent="0.3">
      <c r="A137" s="41"/>
      <c r="B137" s="147"/>
      <c r="C137" s="172">
        <v>7</v>
      </c>
      <c r="D137" s="671" t="s">
        <v>20</v>
      </c>
      <c r="E137" s="235"/>
      <c r="F137" s="236"/>
      <c r="G137" s="235"/>
      <c r="H137" s="235" t="s">
        <v>222</v>
      </c>
      <c r="I137" s="662" t="s">
        <v>358</v>
      </c>
      <c r="J137" s="237" t="s">
        <v>739</v>
      </c>
      <c r="K137" s="136" t="s">
        <v>476</v>
      </c>
      <c r="L137" s="53"/>
      <c r="M137" s="6"/>
    </row>
    <row r="138" spans="1:13" s="16" customFormat="1" ht="24" customHeight="1" x14ac:dyDescent="0.3">
      <c r="A138" s="41"/>
      <c r="B138" s="147"/>
      <c r="C138" s="154">
        <v>8</v>
      </c>
      <c r="D138" s="669"/>
      <c r="E138" s="154"/>
      <c r="F138" s="157"/>
      <c r="G138" s="154"/>
      <c r="H138" s="154"/>
      <c r="I138" s="663"/>
      <c r="J138" s="190"/>
      <c r="K138" s="102"/>
      <c r="L138" s="53"/>
      <c r="M138" s="6"/>
    </row>
    <row r="139" spans="1:13" s="16" customFormat="1" ht="24" customHeight="1" x14ac:dyDescent="0.3">
      <c r="A139" s="41"/>
      <c r="B139" s="147"/>
      <c r="C139" s="158">
        <v>9</v>
      </c>
      <c r="D139" s="672"/>
      <c r="E139" s="158"/>
      <c r="F139" s="159"/>
      <c r="G139" s="158"/>
      <c r="H139" s="158"/>
      <c r="I139" s="664"/>
      <c r="J139" s="191"/>
      <c r="K139" s="102"/>
      <c r="L139" s="53"/>
    </row>
    <row r="140" spans="1:13" s="16" customFormat="1" ht="24" customHeight="1" x14ac:dyDescent="0.3">
      <c r="A140" s="41"/>
      <c r="B140" s="147"/>
      <c r="C140" s="152">
        <v>10</v>
      </c>
      <c r="D140" s="683" t="s">
        <v>358</v>
      </c>
      <c r="E140" s="152"/>
      <c r="F140" s="153"/>
      <c r="G140" s="152"/>
      <c r="H140" s="152"/>
      <c r="I140" s="668" t="s">
        <v>20</v>
      </c>
      <c r="J140" s="192"/>
      <c r="K140" s="102"/>
      <c r="L140" s="18"/>
    </row>
    <row r="141" spans="1:13" s="16" customFormat="1" ht="24" customHeight="1" x14ac:dyDescent="0.3">
      <c r="A141" s="41"/>
      <c r="B141" s="147"/>
      <c r="C141" s="154">
        <v>11</v>
      </c>
      <c r="D141" s="663"/>
      <c r="E141" s="154"/>
      <c r="F141" s="157"/>
      <c r="G141" s="154"/>
      <c r="H141" s="154"/>
      <c r="I141" s="669"/>
      <c r="J141" s="190"/>
      <c r="K141" s="102"/>
      <c r="L141" s="53"/>
    </row>
    <row r="142" spans="1:13" s="16" customFormat="1" ht="24" customHeight="1" x14ac:dyDescent="0.3">
      <c r="A142" s="41"/>
      <c r="B142" s="147"/>
      <c r="C142" s="162">
        <v>12</v>
      </c>
      <c r="D142" s="684"/>
      <c r="E142" s="162"/>
      <c r="F142" s="164"/>
      <c r="G142" s="162"/>
      <c r="H142" s="162"/>
      <c r="I142" s="670"/>
      <c r="J142" s="193"/>
      <c r="K142" s="102"/>
      <c r="L142" s="53"/>
    </row>
    <row r="143" spans="1:13" s="16" customFormat="1" ht="24" customHeight="1" x14ac:dyDescent="0.3">
      <c r="A143" s="41"/>
      <c r="B143" s="147"/>
      <c r="C143" s="172">
        <v>13</v>
      </c>
      <c r="D143" s="671" t="s">
        <v>20</v>
      </c>
      <c r="E143" s="172"/>
      <c r="F143" s="180"/>
      <c r="G143" s="172"/>
      <c r="H143" s="172"/>
      <c r="I143" s="662" t="s">
        <v>358</v>
      </c>
      <c r="J143" s="195"/>
      <c r="K143" s="102"/>
      <c r="L143" s="18"/>
    </row>
    <row r="144" spans="1:13" s="16" customFormat="1" ht="24" customHeight="1" x14ac:dyDescent="0.3">
      <c r="A144" s="41"/>
      <c r="B144" s="147"/>
      <c r="C144" s="154">
        <v>14</v>
      </c>
      <c r="D144" s="669"/>
      <c r="E144" s="154"/>
      <c r="F144" s="157"/>
      <c r="G144" s="154"/>
      <c r="H144" s="154"/>
      <c r="I144" s="663"/>
      <c r="J144" s="190"/>
      <c r="K144" s="102"/>
      <c r="L144" s="18"/>
    </row>
    <row r="145" spans="1:12" s="16" customFormat="1" ht="24" customHeight="1" x14ac:dyDescent="0.3">
      <c r="A145" s="41"/>
      <c r="B145" s="147"/>
      <c r="C145" s="158">
        <v>15</v>
      </c>
      <c r="D145" s="672"/>
      <c r="E145" s="158"/>
      <c r="F145" s="159"/>
      <c r="G145" s="158"/>
      <c r="H145" s="158"/>
      <c r="I145" s="664"/>
      <c r="J145" s="191"/>
      <c r="K145" s="102"/>
      <c r="L145" s="53"/>
    </row>
    <row r="146" spans="1:12" s="16" customFormat="1" ht="24" customHeight="1" x14ac:dyDescent="0.3">
      <c r="A146" s="41"/>
      <c r="B146" s="147"/>
      <c r="C146" s="152">
        <v>16</v>
      </c>
      <c r="D146" s="657"/>
      <c r="E146" s="152"/>
      <c r="F146" s="153"/>
      <c r="G146" s="152"/>
      <c r="H146" s="152"/>
      <c r="I146" s="657"/>
      <c r="J146" s="192"/>
      <c r="K146" s="102"/>
      <c r="L146" s="53"/>
    </row>
    <row r="147" spans="1:12" s="16" customFormat="1" ht="24" customHeight="1" x14ac:dyDescent="0.3">
      <c r="A147" s="41"/>
      <c r="B147" s="147"/>
      <c r="C147" s="154">
        <v>17</v>
      </c>
      <c r="D147" s="658"/>
      <c r="E147" s="154"/>
      <c r="F147" s="157"/>
      <c r="G147" s="154"/>
      <c r="H147" s="154"/>
      <c r="I147" s="658"/>
      <c r="J147" s="190"/>
      <c r="K147" s="102"/>
      <c r="L147" s="51"/>
    </row>
    <row r="148" spans="1:12" s="16" customFormat="1" ht="24" customHeight="1" x14ac:dyDescent="0.3">
      <c r="A148" s="41"/>
      <c r="B148" s="147"/>
      <c r="C148" s="162">
        <v>18</v>
      </c>
      <c r="D148" s="659"/>
      <c r="E148" s="162"/>
      <c r="F148" s="164"/>
      <c r="G148" s="162"/>
      <c r="H148" s="162"/>
      <c r="I148" s="659"/>
      <c r="J148" s="193"/>
      <c r="K148" s="101"/>
      <c r="L148" s="51"/>
    </row>
    <row r="149" spans="1:12" s="16" customFormat="1" ht="24" customHeight="1" x14ac:dyDescent="0.3">
      <c r="A149" s="41"/>
      <c r="B149" s="147"/>
      <c r="C149" s="172">
        <v>19</v>
      </c>
      <c r="D149" s="660"/>
      <c r="E149" s="172"/>
      <c r="F149" s="180"/>
      <c r="G149" s="172"/>
      <c r="H149" s="172"/>
      <c r="I149" s="660"/>
      <c r="J149" s="195"/>
      <c r="K149" s="101"/>
      <c r="L149" s="51"/>
    </row>
    <row r="150" spans="1:12" s="16" customFormat="1" ht="24" customHeight="1" x14ac:dyDescent="0.3">
      <c r="A150" s="41"/>
      <c r="B150" s="147"/>
      <c r="C150" s="154">
        <v>20</v>
      </c>
      <c r="D150" s="658"/>
      <c r="E150" s="154"/>
      <c r="F150" s="157"/>
      <c r="G150" s="154"/>
      <c r="H150" s="154"/>
      <c r="I150" s="658"/>
      <c r="J150" s="190"/>
      <c r="K150" s="101"/>
      <c r="L150" s="51"/>
    </row>
    <row r="151" spans="1:12" s="16" customFormat="1" ht="24" customHeight="1" x14ac:dyDescent="0.3">
      <c r="A151" s="41"/>
      <c r="B151" s="147"/>
      <c r="C151" s="158">
        <v>21</v>
      </c>
      <c r="D151" s="661"/>
      <c r="E151" s="158"/>
      <c r="F151" s="159"/>
      <c r="G151" s="158"/>
      <c r="H151" s="158"/>
      <c r="I151" s="661"/>
      <c r="J151" s="191"/>
      <c r="K151" s="102"/>
      <c r="L151" s="51"/>
    </row>
    <row r="152" spans="1:12" s="16" customFormat="1" ht="24" customHeight="1" x14ac:dyDescent="0.3">
      <c r="A152" s="41"/>
      <c r="B152" s="147"/>
      <c r="C152" s="152">
        <v>22</v>
      </c>
      <c r="D152" s="657"/>
      <c r="E152" s="152"/>
      <c r="F152" s="153"/>
      <c r="G152" s="152"/>
      <c r="H152" s="152"/>
      <c r="I152" s="657"/>
      <c r="J152" s="192"/>
      <c r="K152" s="102"/>
      <c r="L152" s="51"/>
    </row>
    <row r="153" spans="1:12" s="16" customFormat="1" ht="24" customHeight="1" x14ac:dyDescent="0.3">
      <c r="A153" s="41"/>
      <c r="B153" s="147"/>
      <c r="C153" s="154">
        <v>23</v>
      </c>
      <c r="D153" s="658"/>
      <c r="E153" s="154"/>
      <c r="F153" s="157"/>
      <c r="G153" s="154"/>
      <c r="H153" s="154"/>
      <c r="I153" s="658"/>
      <c r="J153" s="190"/>
      <c r="K153" s="102"/>
      <c r="L153" s="51"/>
    </row>
    <row r="154" spans="1:12" s="16" customFormat="1" ht="24" customHeight="1" x14ac:dyDescent="0.3">
      <c r="A154" s="41"/>
      <c r="B154" s="147"/>
      <c r="C154" s="162">
        <v>24</v>
      </c>
      <c r="D154" s="659"/>
      <c r="E154" s="162"/>
      <c r="F154" s="164"/>
      <c r="G154" s="162"/>
      <c r="H154" s="162"/>
      <c r="I154" s="659"/>
      <c r="J154" s="193"/>
      <c r="K154" s="101"/>
      <c r="L154" s="51"/>
    </row>
    <row r="155" spans="1:12" s="16" customFormat="1" ht="24" customHeight="1" x14ac:dyDescent="0.3">
      <c r="A155" s="41"/>
      <c r="B155" s="147"/>
      <c r="C155" s="172">
        <v>25</v>
      </c>
      <c r="D155" s="660"/>
      <c r="E155" s="172"/>
      <c r="F155" s="180"/>
      <c r="G155" s="172"/>
      <c r="H155" s="172"/>
      <c r="I155" s="660"/>
      <c r="J155" s="195"/>
      <c r="K155" s="101"/>
      <c r="L155" s="51"/>
    </row>
    <row r="156" spans="1:12" s="16" customFormat="1" ht="24" customHeight="1" x14ac:dyDescent="0.3">
      <c r="A156" s="41"/>
      <c r="B156" s="147"/>
      <c r="C156" s="154">
        <v>26</v>
      </c>
      <c r="D156" s="658"/>
      <c r="E156" s="154"/>
      <c r="F156" s="157"/>
      <c r="G156" s="154"/>
      <c r="H156" s="154"/>
      <c r="I156" s="658"/>
      <c r="J156" s="190"/>
      <c r="K156" s="102"/>
      <c r="L156" s="51"/>
    </row>
    <row r="157" spans="1:12" s="16" customFormat="1" ht="24" customHeight="1" x14ac:dyDescent="0.3">
      <c r="A157" s="41"/>
      <c r="B157" s="147"/>
      <c r="C157" s="158">
        <v>27</v>
      </c>
      <c r="D157" s="661"/>
      <c r="E157" s="158"/>
      <c r="F157" s="159"/>
      <c r="G157" s="158"/>
      <c r="H157" s="158"/>
      <c r="I157" s="661"/>
      <c r="J157" s="191"/>
      <c r="K157" s="102"/>
      <c r="L157" s="51"/>
    </row>
    <row r="158" spans="1:12" s="16" customFormat="1" ht="24" customHeight="1" x14ac:dyDescent="0.3">
      <c r="A158" s="41"/>
      <c r="B158" s="31"/>
      <c r="C158" s="152">
        <v>28</v>
      </c>
      <c r="D158" s="657"/>
      <c r="E158" s="152"/>
      <c r="F158" s="153"/>
      <c r="G158" s="152"/>
      <c r="H158" s="152"/>
      <c r="I158" s="657"/>
      <c r="J158" s="192"/>
      <c r="K158" s="102"/>
      <c r="L158" s="51"/>
    </row>
    <row r="159" spans="1:12" s="16" customFormat="1" ht="24" customHeight="1" x14ac:dyDescent="0.3">
      <c r="A159" s="41"/>
      <c r="B159" s="31"/>
      <c r="C159" s="154">
        <v>29</v>
      </c>
      <c r="D159" s="658"/>
      <c r="E159" s="154"/>
      <c r="F159" s="157"/>
      <c r="G159" s="154"/>
      <c r="H159" s="154"/>
      <c r="I159" s="658"/>
      <c r="J159" s="190"/>
      <c r="K159" s="102"/>
      <c r="L159" s="51"/>
    </row>
    <row r="160" spans="1:12" s="16" customFormat="1" ht="24" customHeight="1" x14ac:dyDescent="0.3">
      <c r="A160" s="144"/>
      <c r="B160" s="142"/>
      <c r="C160" s="162">
        <v>30</v>
      </c>
      <c r="D160" s="659"/>
      <c r="E160" s="162"/>
      <c r="F160" s="164"/>
      <c r="G160" s="162"/>
      <c r="H160" s="162"/>
      <c r="I160" s="659"/>
      <c r="J160" s="193"/>
      <c r="K160" s="102"/>
      <c r="L160" s="51"/>
    </row>
  </sheetData>
  <mergeCells count="96">
    <mergeCell ref="A132:B132"/>
    <mergeCell ref="D134:D136"/>
    <mergeCell ref="I134:I136"/>
    <mergeCell ref="D137:D139"/>
    <mergeCell ref="I137:I139"/>
    <mergeCell ref="A133:B133"/>
    <mergeCell ref="D125:D127"/>
    <mergeCell ref="I125:I127"/>
    <mergeCell ref="D128:D130"/>
    <mergeCell ref="I128:I130"/>
    <mergeCell ref="D131:D133"/>
    <mergeCell ref="I131:I133"/>
    <mergeCell ref="D116:D118"/>
    <mergeCell ref="I116:I118"/>
    <mergeCell ref="D119:D121"/>
    <mergeCell ref="I119:I121"/>
    <mergeCell ref="D122:D124"/>
    <mergeCell ref="I122:I124"/>
    <mergeCell ref="D110:D112"/>
    <mergeCell ref="I110:I112"/>
    <mergeCell ref="A103:B103"/>
    <mergeCell ref="D113:D115"/>
    <mergeCell ref="I113:I115"/>
    <mergeCell ref="A102:B102"/>
    <mergeCell ref="D104:D106"/>
    <mergeCell ref="I104:I106"/>
    <mergeCell ref="D107:D109"/>
    <mergeCell ref="I107:I109"/>
    <mergeCell ref="D95:D97"/>
    <mergeCell ref="I95:I97"/>
    <mergeCell ref="D98:D100"/>
    <mergeCell ref="I98:I100"/>
    <mergeCell ref="D101:D103"/>
    <mergeCell ref="I101:I103"/>
    <mergeCell ref="D86:D88"/>
    <mergeCell ref="I86:I88"/>
    <mergeCell ref="D89:D91"/>
    <mergeCell ref="I89:I91"/>
    <mergeCell ref="D92:D94"/>
    <mergeCell ref="I92:I94"/>
    <mergeCell ref="D77:D79"/>
    <mergeCell ref="I77:I79"/>
    <mergeCell ref="D80:D82"/>
    <mergeCell ref="I80:I82"/>
    <mergeCell ref="D83:D85"/>
    <mergeCell ref="I83:I85"/>
    <mergeCell ref="D71:D73"/>
    <mergeCell ref="I71:I73"/>
    <mergeCell ref="A72:B72"/>
    <mergeCell ref="D74:D76"/>
    <mergeCell ref="I74:I76"/>
    <mergeCell ref="A73:B73"/>
    <mergeCell ref="D49:D52"/>
    <mergeCell ref="I49:I52"/>
    <mergeCell ref="A68:B68"/>
    <mergeCell ref="A69:B69"/>
    <mergeCell ref="D67:D70"/>
    <mergeCell ref="I67:I70"/>
    <mergeCell ref="D53:D64"/>
    <mergeCell ref="I53:I64"/>
    <mergeCell ref="A54:B54"/>
    <mergeCell ref="A55:B55"/>
    <mergeCell ref="D65:D66"/>
    <mergeCell ref="I65:I66"/>
    <mergeCell ref="A23:B23"/>
    <mergeCell ref="D17:D20"/>
    <mergeCell ref="I17:I20"/>
    <mergeCell ref="A7:B7"/>
    <mergeCell ref="D37:D48"/>
    <mergeCell ref="I37:I48"/>
    <mergeCell ref="A38:B38"/>
    <mergeCell ref="A39:B39"/>
    <mergeCell ref="D21:D32"/>
    <mergeCell ref="I21:I32"/>
    <mergeCell ref="A22:B22"/>
    <mergeCell ref="D33:D36"/>
    <mergeCell ref="I33:I36"/>
    <mergeCell ref="A1:J1"/>
    <mergeCell ref="E4:H4"/>
    <mergeCell ref="A6:B6"/>
    <mergeCell ref="D5:D16"/>
    <mergeCell ref="I5:I16"/>
    <mergeCell ref="D140:D142"/>
    <mergeCell ref="I140:I142"/>
    <mergeCell ref="D143:D145"/>
    <mergeCell ref="I143:I145"/>
    <mergeCell ref="D146:D148"/>
    <mergeCell ref="I146:I148"/>
    <mergeCell ref="D158:D160"/>
    <mergeCell ref="I158:I160"/>
    <mergeCell ref="D149:D151"/>
    <mergeCell ref="I149:I151"/>
    <mergeCell ref="D152:D154"/>
    <mergeCell ref="I152:I154"/>
    <mergeCell ref="D155:D157"/>
    <mergeCell ref="I155:I157"/>
  </mergeCells>
  <phoneticPr fontId="2" type="noConversion"/>
  <pageMargins left="0.7" right="0.7" top="0.75" bottom="0.75" header="0.3" footer="0.3"/>
  <pageSetup paperSize="9" scale="49" fitToHeight="0" orientation="portrait" r:id="rId1"/>
  <rowBreaks count="2" manualBreakCount="2">
    <brk id="60" max="9" man="1"/>
    <brk id="10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6"/>
  <sheetViews>
    <sheetView view="pageBreakPreview" zoomScale="85" zoomScaleNormal="85" zoomScaleSheetLayoutView="85" workbookViewId="0">
      <selection activeCell="H50" sqref="H50"/>
    </sheetView>
  </sheetViews>
  <sheetFormatPr defaultRowHeight="16.5" x14ac:dyDescent="0.3"/>
  <cols>
    <col min="1" max="1" width="12.625" style="6" customWidth="1"/>
    <col min="2" max="2" width="17.125" style="6" bestFit="1" customWidth="1"/>
    <col min="3" max="4" width="7.625" style="6" customWidth="1"/>
    <col min="5" max="5" width="5.625" style="18" customWidth="1"/>
    <col min="6" max="6" width="12.625" style="19" customWidth="1"/>
    <col min="7" max="7" width="5.625" style="18" customWidth="1"/>
    <col min="8" max="8" width="28.75" style="18" bestFit="1" customWidth="1"/>
    <col min="9" max="9" width="7.625" style="6" customWidth="1"/>
    <col min="10" max="10" width="70.625" style="6" customWidth="1"/>
    <col min="11" max="16384" width="9" style="6"/>
  </cols>
  <sheetData>
    <row r="1" spans="1:10" ht="38.25" x14ac:dyDescent="0.3">
      <c r="A1" s="626" t="s">
        <v>811</v>
      </c>
      <c r="B1" s="626"/>
      <c r="C1" s="626"/>
      <c r="D1" s="626"/>
      <c r="E1" s="626"/>
      <c r="F1" s="626"/>
      <c r="G1" s="626"/>
      <c r="H1" s="626"/>
      <c r="I1" s="626"/>
      <c r="J1" s="626"/>
    </row>
    <row r="3" spans="1:10" x14ac:dyDescent="0.3">
      <c r="J3" s="59"/>
    </row>
    <row r="4" spans="1:10" ht="30" customHeight="1" x14ac:dyDescent="0.3">
      <c r="A4" s="181" t="s">
        <v>0</v>
      </c>
      <c r="B4" s="182" t="s">
        <v>1</v>
      </c>
      <c r="C4" s="182" t="s">
        <v>2</v>
      </c>
      <c r="D4" s="182" t="s">
        <v>3</v>
      </c>
      <c r="E4" s="627" t="s">
        <v>4</v>
      </c>
      <c r="F4" s="627"/>
      <c r="G4" s="627"/>
      <c r="H4" s="627"/>
      <c r="I4" s="182" t="s">
        <v>3</v>
      </c>
      <c r="J4" s="183" t="s">
        <v>5</v>
      </c>
    </row>
    <row r="5" spans="1:10" s="16" customFormat="1" ht="24" customHeight="1" x14ac:dyDescent="0.3">
      <c r="A5" s="30" t="s">
        <v>341</v>
      </c>
      <c r="B5" s="146" t="s">
        <v>98</v>
      </c>
      <c r="C5" s="152">
        <v>1</v>
      </c>
      <c r="D5" s="628" t="s">
        <v>293</v>
      </c>
      <c r="E5" s="152" t="s">
        <v>362</v>
      </c>
      <c r="F5" s="153" t="s">
        <v>26</v>
      </c>
      <c r="G5" s="152" t="s">
        <v>429</v>
      </c>
      <c r="H5" s="152" t="s">
        <v>497</v>
      </c>
      <c r="I5" s="628" t="s">
        <v>293</v>
      </c>
      <c r="J5" s="190" t="s">
        <v>837</v>
      </c>
    </row>
    <row r="6" spans="1:10" s="16" customFormat="1" ht="24" customHeight="1" x14ac:dyDescent="0.3">
      <c r="A6" s="620" t="s">
        <v>824</v>
      </c>
      <c r="B6" s="691"/>
      <c r="C6" s="154">
        <v>2</v>
      </c>
      <c r="D6" s="628"/>
      <c r="E6" s="154" t="s">
        <v>362</v>
      </c>
      <c r="F6" s="157" t="s">
        <v>26</v>
      </c>
      <c r="G6" s="154" t="s">
        <v>429</v>
      </c>
      <c r="H6" s="154" t="s">
        <v>494</v>
      </c>
      <c r="I6" s="628"/>
      <c r="J6" s="190" t="s">
        <v>838</v>
      </c>
    </row>
    <row r="7" spans="1:10" s="16" customFormat="1" ht="24" customHeight="1" x14ac:dyDescent="0.3">
      <c r="A7" s="613" t="s">
        <v>836</v>
      </c>
      <c r="B7" s="614"/>
      <c r="C7" s="154">
        <v>3</v>
      </c>
      <c r="D7" s="628"/>
      <c r="E7" s="154" t="s">
        <v>361</v>
      </c>
      <c r="F7" s="157" t="s">
        <v>26</v>
      </c>
      <c r="G7" s="154" t="s">
        <v>429</v>
      </c>
      <c r="H7" s="154" t="s">
        <v>495</v>
      </c>
      <c r="I7" s="628"/>
      <c r="J7" s="190" t="s">
        <v>839</v>
      </c>
    </row>
    <row r="8" spans="1:10" s="16" customFormat="1" ht="24" customHeight="1" x14ac:dyDescent="0.3">
      <c r="A8" s="41"/>
      <c r="B8" s="147"/>
      <c r="C8" s="158">
        <v>4</v>
      </c>
      <c r="D8" s="628"/>
      <c r="E8" s="398" t="s">
        <v>680</v>
      </c>
      <c r="F8" s="399" t="s">
        <v>680</v>
      </c>
      <c r="G8" s="418" t="s">
        <v>680</v>
      </c>
      <c r="H8" s="398" t="s">
        <v>680</v>
      </c>
      <c r="I8" s="628"/>
      <c r="J8" s="411" t="s">
        <v>680</v>
      </c>
    </row>
    <row r="9" spans="1:10" s="16" customFormat="1" ht="24" customHeight="1" x14ac:dyDescent="0.3">
      <c r="A9" s="41"/>
      <c r="B9" s="147"/>
      <c r="C9" s="152">
        <v>5</v>
      </c>
      <c r="D9" s="628" t="s">
        <v>293</v>
      </c>
      <c r="E9" s="152" t="s">
        <v>25</v>
      </c>
      <c r="F9" s="153" t="s">
        <v>336</v>
      </c>
      <c r="G9" s="152" t="s">
        <v>498</v>
      </c>
      <c r="H9" s="152" t="s">
        <v>496</v>
      </c>
      <c r="I9" s="628" t="s">
        <v>293</v>
      </c>
      <c r="J9" s="192" t="s">
        <v>840</v>
      </c>
    </row>
    <row r="10" spans="1:10" s="16" customFormat="1" ht="24" customHeight="1" x14ac:dyDescent="0.3">
      <c r="A10" s="41"/>
      <c r="B10" s="147"/>
      <c r="C10" s="154">
        <v>6</v>
      </c>
      <c r="D10" s="628"/>
      <c r="E10" s="154" t="s">
        <v>28</v>
      </c>
      <c r="F10" s="157" t="s">
        <v>597</v>
      </c>
      <c r="G10" s="154" t="s">
        <v>498</v>
      </c>
      <c r="H10" s="154" t="s">
        <v>606</v>
      </c>
      <c r="I10" s="628"/>
      <c r="J10" s="190" t="s">
        <v>841</v>
      </c>
    </row>
    <row r="11" spans="1:10" s="16" customFormat="1" ht="24" customHeight="1" x14ac:dyDescent="0.3">
      <c r="A11" s="41"/>
      <c r="B11" s="147"/>
      <c r="C11" s="154">
        <v>7</v>
      </c>
      <c r="D11" s="628"/>
      <c r="E11" s="394" t="s">
        <v>680</v>
      </c>
      <c r="F11" s="397" t="s">
        <v>680</v>
      </c>
      <c r="G11" s="394" t="s">
        <v>680</v>
      </c>
      <c r="H11" s="394" t="s">
        <v>680</v>
      </c>
      <c r="I11" s="628"/>
      <c r="J11" s="410" t="s">
        <v>680</v>
      </c>
    </row>
    <row r="12" spans="1:10" s="16" customFormat="1" ht="24" customHeight="1" x14ac:dyDescent="0.3">
      <c r="A12" s="41"/>
      <c r="B12" s="147"/>
      <c r="C12" s="162">
        <v>8</v>
      </c>
      <c r="D12" s="628"/>
      <c r="E12" s="395" t="s">
        <v>680</v>
      </c>
      <c r="F12" s="405" t="s">
        <v>680</v>
      </c>
      <c r="G12" s="395" t="s">
        <v>680</v>
      </c>
      <c r="H12" s="395" t="s">
        <v>680</v>
      </c>
      <c r="I12" s="628"/>
      <c r="J12" s="415" t="s">
        <v>680</v>
      </c>
    </row>
    <row r="13" spans="1:10" s="16" customFormat="1" ht="24" customHeight="1" x14ac:dyDescent="0.3">
      <c r="A13" s="41"/>
      <c r="B13" s="147"/>
      <c r="C13" s="172">
        <v>9</v>
      </c>
      <c r="D13" s="628" t="s">
        <v>293</v>
      </c>
      <c r="E13" s="409" t="s">
        <v>680</v>
      </c>
      <c r="F13" s="414" t="s">
        <v>680</v>
      </c>
      <c r="G13" s="172" t="s">
        <v>680</v>
      </c>
      <c r="H13" s="172" t="s">
        <v>680</v>
      </c>
      <c r="I13" s="628" t="s">
        <v>293</v>
      </c>
      <c r="J13" s="195" t="s">
        <v>680</v>
      </c>
    </row>
    <row r="14" spans="1:10" s="16" customFormat="1" ht="24" customHeight="1" x14ac:dyDescent="0.3">
      <c r="A14" s="41"/>
      <c r="B14" s="147"/>
      <c r="C14" s="154">
        <v>10</v>
      </c>
      <c r="D14" s="628"/>
      <c r="E14" s="394" t="s">
        <v>680</v>
      </c>
      <c r="F14" s="397" t="s">
        <v>680</v>
      </c>
      <c r="G14" s="154" t="s">
        <v>680</v>
      </c>
      <c r="H14" s="154" t="s">
        <v>680</v>
      </c>
      <c r="I14" s="628"/>
      <c r="J14" s="190" t="s">
        <v>680</v>
      </c>
    </row>
    <row r="15" spans="1:10" s="16" customFormat="1" ht="24" customHeight="1" x14ac:dyDescent="0.3">
      <c r="A15" s="41"/>
      <c r="B15" s="147"/>
      <c r="C15" s="154">
        <v>11</v>
      </c>
      <c r="D15" s="628"/>
      <c r="E15" s="394" t="s">
        <v>680</v>
      </c>
      <c r="F15" s="397" t="s">
        <v>680</v>
      </c>
      <c r="G15" s="154" t="s">
        <v>680</v>
      </c>
      <c r="H15" s="154" t="s">
        <v>680</v>
      </c>
      <c r="I15" s="628"/>
      <c r="J15" s="190" t="s">
        <v>680</v>
      </c>
    </row>
    <row r="16" spans="1:10" s="16" customFormat="1" ht="24" customHeight="1" x14ac:dyDescent="0.3">
      <c r="A16" s="41"/>
      <c r="B16" s="147"/>
      <c r="C16" s="158">
        <v>12</v>
      </c>
      <c r="D16" s="628"/>
      <c r="E16" s="398" t="s">
        <v>680</v>
      </c>
      <c r="F16" s="399" t="s">
        <v>680</v>
      </c>
      <c r="G16" s="158" t="s">
        <v>680</v>
      </c>
      <c r="H16" s="158" t="s">
        <v>680</v>
      </c>
      <c r="I16" s="628"/>
      <c r="J16" s="191" t="s">
        <v>680</v>
      </c>
    </row>
    <row r="17" spans="1:10" s="16" customFormat="1" ht="24" customHeight="1" x14ac:dyDescent="0.3">
      <c r="A17" s="141" t="s">
        <v>341</v>
      </c>
      <c r="B17" s="280" t="s">
        <v>43</v>
      </c>
      <c r="C17" s="152">
        <v>1</v>
      </c>
      <c r="D17" s="606" t="s">
        <v>338</v>
      </c>
      <c r="E17" s="152" t="str">
        <f>남춘천SS!E41</f>
        <v>E1</v>
      </c>
      <c r="F17" s="152" t="str">
        <f>남춘천SS!F41</f>
        <v>PITR</v>
      </c>
      <c r="G17" s="152" t="str">
        <f>남춘천SS!G41</f>
        <v>주</v>
      </c>
      <c r="H17" s="152" t="str">
        <f>남춘천SS!H41</f>
        <v>남춘천-열병합#2 PITR</v>
      </c>
      <c r="I17" s="606" t="s">
        <v>338</v>
      </c>
      <c r="J17" s="152" t="str">
        <f>남춘천SS!J41</f>
        <v>남춘천-1(PTP)-열병합</v>
      </c>
    </row>
    <row r="18" spans="1:10" s="16" customFormat="1" ht="24" customHeight="1" x14ac:dyDescent="0.3">
      <c r="A18" s="607" t="s">
        <v>342</v>
      </c>
      <c r="B18" s="608"/>
      <c r="C18" s="154">
        <v>2</v>
      </c>
      <c r="D18" s="644"/>
      <c r="E18" s="154" t="str">
        <f>남춘천SS!E42</f>
        <v>E1</v>
      </c>
      <c r="F18" s="154" t="str">
        <f>남춘천SS!F42</f>
        <v>PITR</v>
      </c>
      <c r="G18" s="154" t="str">
        <f>남춘천SS!G42</f>
        <v>주</v>
      </c>
      <c r="H18" s="154" t="str">
        <f>남춘천SS!H42</f>
        <v>남춘천-열병합#1 PITR</v>
      </c>
      <c r="I18" s="644"/>
      <c r="J18" s="190" t="str">
        <f>남춘천SS!J42</f>
        <v>남춘천-2(PTP)-열병합</v>
      </c>
    </row>
    <row r="19" spans="1:10" s="16" customFormat="1" ht="24" customHeight="1" x14ac:dyDescent="0.3">
      <c r="A19" s="613" t="s">
        <v>501</v>
      </c>
      <c r="B19" s="614"/>
      <c r="C19" s="154">
        <v>3</v>
      </c>
      <c r="D19" s="644"/>
      <c r="E19" s="154" t="str">
        <f>남춘천SS!E43</f>
        <v>T1</v>
      </c>
      <c r="F19" s="154" t="str">
        <f>남춘천SS!F43</f>
        <v>PITR</v>
      </c>
      <c r="G19" s="154" t="str">
        <f>남춘천SS!G43</f>
        <v>주</v>
      </c>
      <c r="H19" s="154" t="str">
        <f>남춘천SS!H43</f>
        <v>남춘천-열병합 SPS PITR</v>
      </c>
      <c r="I19" s="644"/>
      <c r="J19" s="190" t="str">
        <f>남춘천SS!J43</f>
        <v>남춘천-3(PTP)-열병합</v>
      </c>
    </row>
    <row r="20" spans="1:10" s="16" customFormat="1" ht="24" customHeight="1" x14ac:dyDescent="0.3">
      <c r="A20" s="41"/>
      <c r="B20" s="147"/>
      <c r="C20" s="154">
        <v>4</v>
      </c>
      <c r="D20" s="644"/>
      <c r="E20" s="154" t="str">
        <f>남춘천SS!E44</f>
        <v>E1</v>
      </c>
      <c r="F20" s="154" t="str">
        <f>남춘천SS!F44</f>
        <v>차세대SCADA</v>
      </c>
      <c r="G20" s="154" t="str">
        <f>남춘천SS!G44</f>
        <v>주</v>
      </c>
      <c r="H20" s="154" t="str">
        <f>남춘천SS!H44</f>
        <v>열병합 D-SCADA</v>
      </c>
      <c r="I20" s="644"/>
      <c r="J20" s="190" t="str">
        <f>남춘천SS!J44</f>
        <v>열병합-(PTP:4)-남춘천-(PTP:2)-춘천(구)</v>
      </c>
    </row>
    <row r="21" spans="1:10" s="16" customFormat="1" ht="24" customHeight="1" x14ac:dyDescent="0.3">
      <c r="A21" s="41"/>
      <c r="B21" s="147"/>
      <c r="C21" s="154">
        <v>5</v>
      </c>
      <c r="D21" s="644"/>
      <c r="E21" s="154" t="str">
        <f>남춘천SS!E45</f>
        <v>E1</v>
      </c>
      <c r="F21" s="154" t="str">
        <f>남춘천SS!F45</f>
        <v>차세대SCADA</v>
      </c>
      <c r="G21" s="154" t="str">
        <f>남춘천SS!G45</f>
        <v>주</v>
      </c>
      <c r="H21" s="154" t="str">
        <f>남춘천SS!H45</f>
        <v>서홍천 D-SCADA</v>
      </c>
      <c r="I21" s="644"/>
      <c r="J21" s="190" t="str">
        <f>남춘천SS!J45</f>
        <v>서홍천-(OMS:6)-열병합-(PTP:5)-남춘천-(PTP:3)-춘천(구)</v>
      </c>
    </row>
    <row r="22" spans="1:10" s="16" customFormat="1" ht="24" customHeight="1" x14ac:dyDescent="0.3">
      <c r="A22" s="41"/>
      <c r="B22" s="147"/>
      <c r="C22" s="154">
        <v>6</v>
      </c>
      <c r="D22" s="644"/>
      <c r="E22" s="154" t="str">
        <f>남춘천SS!E46</f>
        <v/>
      </c>
      <c r="F22" s="154" t="str">
        <f>남춘천SS!F46</f>
        <v/>
      </c>
      <c r="G22" s="154" t="str">
        <f>남춘천SS!G46</f>
        <v/>
      </c>
      <c r="H22" s="154" t="str">
        <f>남춘천SS!H46</f>
        <v/>
      </c>
      <c r="I22" s="644"/>
      <c r="J22" s="190" t="str">
        <f>남춘천SS!J46</f>
        <v/>
      </c>
    </row>
    <row r="23" spans="1:10" s="16" customFormat="1" ht="24" customHeight="1" x14ac:dyDescent="0.3">
      <c r="A23" s="41"/>
      <c r="B23" s="147"/>
      <c r="C23" s="154">
        <v>7</v>
      </c>
      <c r="D23" s="644"/>
      <c r="E23" s="154" t="str">
        <f>남춘천SS!E47</f>
        <v/>
      </c>
      <c r="F23" s="154" t="str">
        <f>남춘천SS!F47</f>
        <v/>
      </c>
      <c r="G23" s="154" t="str">
        <f>남춘천SS!G47</f>
        <v/>
      </c>
      <c r="H23" s="154" t="str">
        <f>남춘천SS!H47</f>
        <v/>
      </c>
      <c r="I23" s="644"/>
      <c r="J23" s="190" t="str">
        <f>남춘천SS!J47</f>
        <v/>
      </c>
    </row>
    <row r="24" spans="1:10" s="16" customFormat="1" ht="24" customHeight="1" x14ac:dyDescent="0.3">
      <c r="A24" s="41"/>
      <c r="B24" s="147"/>
      <c r="C24" s="154">
        <v>8</v>
      </c>
      <c r="D24" s="644"/>
      <c r="E24" s="154" t="str">
        <f>남춘천SS!E48</f>
        <v/>
      </c>
      <c r="F24" s="154" t="str">
        <f>남춘천SS!F48</f>
        <v/>
      </c>
      <c r="G24" s="154" t="str">
        <f>남춘천SS!G48</f>
        <v/>
      </c>
      <c r="H24" s="154" t="str">
        <f>남춘천SS!H48</f>
        <v/>
      </c>
      <c r="I24" s="644"/>
      <c r="J24" s="190" t="str">
        <f>남춘천SS!J48</f>
        <v/>
      </c>
    </row>
    <row r="25" spans="1:10" s="16" customFormat="1" ht="24" customHeight="1" x14ac:dyDescent="0.3">
      <c r="A25" s="41"/>
      <c r="B25" s="147"/>
      <c r="C25" s="154">
        <v>9</v>
      </c>
      <c r="D25" s="644"/>
      <c r="E25" s="154" t="str">
        <f>남춘천SS!E49</f>
        <v/>
      </c>
      <c r="F25" s="154" t="str">
        <f>남춘천SS!F49</f>
        <v/>
      </c>
      <c r="G25" s="154" t="str">
        <f>남춘천SS!G49</f>
        <v/>
      </c>
      <c r="H25" s="154" t="str">
        <f>남춘천SS!H49</f>
        <v/>
      </c>
      <c r="I25" s="644"/>
      <c r="J25" s="190" t="str">
        <f>남춘천SS!J49</f>
        <v/>
      </c>
    </row>
    <row r="26" spans="1:10" s="16" customFormat="1" ht="24" customHeight="1" x14ac:dyDescent="0.3">
      <c r="A26" s="41"/>
      <c r="B26" s="147"/>
      <c r="C26" s="154">
        <v>10</v>
      </c>
      <c r="D26" s="644"/>
      <c r="E26" s="154" t="str">
        <f>남춘천SS!E50</f>
        <v/>
      </c>
      <c r="F26" s="154" t="str">
        <f>남춘천SS!F50</f>
        <v/>
      </c>
      <c r="G26" s="154" t="str">
        <f>남춘천SS!G50</f>
        <v/>
      </c>
      <c r="H26" s="154" t="str">
        <f>남춘천SS!H50</f>
        <v/>
      </c>
      <c r="I26" s="644"/>
      <c r="J26" s="190" t="str">
        <f>남춘천SS!J50</f>
        <v/>
      </c>
    </row>
    <row r="27" spans="1:10" s="16" customFormat="1" ht="24" customHeight="1" x14ac:dyDescent="0.3">
      <c r="A27" s="41"/>
      <c r="B27" s="147"/>
      <c r="C27" s="154">
        <v>11</v>
      </c>
      <c r="D27" s="644"/>
      <c r="E27" s="154" t="str">
        <f>남춘천SS!E51</f>
        <v/>
      </c>
      <c r="F27" s="154" t="str">
        <f>남춘천SS!F51</f>
        <v/>
      </c>
      <c r="G27" s="154" t="str">
        <f>남춘천SS!G51</f>
        <v/>
      </c>
      <c r="H27" s="154" t="str">
        <f>남춘천SS!H51</f>
        <v/>
      </c>
      <c r="I27" s="644"/>
      <c r="J27" s="190" t="str">
        <f>남춘천SS!J51</f>
        <v/>
      </c>
    </row>
    <row r="28" spans="1:10" s="16" customFormat="1" ht="24" customHeight="1" x14ac:dyDescent="0.3">
      <c r="A28" s="41"/>
      <c r="B28" s="147"/>
      <c r="C28" s="158">
        <v>12</v>
      </c>
      <c r="D28" s="644"/>
      <c r="E28" s="158" t="str">
        <f>남춘천SS!E52</f>
        <v/>
      </c>
      <c r="F28" s="158" t="str">
        <f>남춘천SS!F52</f>
        <v/>
      </c>
      <c r="G28" s="158" t="str">
        <f>남춘천SS!G52</f>
        <v/>
      </c>
      <c r="H28" s="158" t="str">
        <f>남춘천SS!H52</f>
        <v/>
      </c>
      <c r="I28" s="644"/>
      <c r="J28" s="191" t="str">
        <f>남춘천SS!J52</f>
        <v/>
      </c>
    </row>
    <row r="29" spans="1:10" s="16" customFormat="1" ht="24" customHeight="1" x14ac:dyDescent="0.3">
      <c r="A29" s="41"/>
      <c r="B29" s="147"/>
      <c r="C29" s="152">
        <v>1</v>
      </c>
      <c r="D29" s="651" t="s">
        <v>340</v>
      </c>
      <c r="E29" s="152" t="str">
        <f>남춘천SS!E53</f>
        <v/>
      </c>
      <c r="F29" s="152" t="str">
        <f>남춘천SS!F53</f>
        <v/>
      </c>
      <c r="G29" s="152" t="str">
        <f>남춘천SS!G53</f>
        <v/>
      </c>
      <c r="H29" s="152" t="str">
        <f>남춘천SS!H53</f>
        <v/>
      </c>
      <c r="I29" s="651" t="s">
        <v>340</v>
      </c>
      <c r="J29" s="192" t="str">
        <f>남춘천SS!J53</f>
        <v/>
      </c>
    </row>
    <row r="30" spans="1:10" s="16" customFormat="1" ht="24" customHeight="1" x14ac:dyDescent="0.3">
      <c r="A30" s="41"/>
      <c r="B30" s="147"/>
      <c r="C30" s="154">
        <v>2</v>
      </c>
      <c r="D30" s="649"/>
      <c r="E30" s="154" t="str">
        <f>남춘천SS!E54</f>
        <v/>
      </c>
      <c r="F30" s="154" t="str">
        <f>남춘천SS!F54</f>
        <v/>
      </c>
      <c r="G30" s="154" t="str">
        <f>남춘천SS!G54</f>
        <v/>
      </c>
      <c r="H30" s="154" t="str">
        <f>남춘천SS!H54</f>
        <v/>
      </c>
      <c r="I30" s="649"/>
      <c r="J30" s="190" t="str">
        <f>남춘천SS!J54</f>
        <v/>
      </c>
    </row>
    <row r="31" spans="1:10" s="16" customFormat="1" ht="24" customHeight="1" x14ac:dyDescent="0.3">
      <c r="A31" s="41"/>
      <c r="B31" s="147"/>
      <c r="C31" s="154">
        <v>3</v>
      </c>
      <c r="D31" s="649"/>
      <c r="E31" s="154" t="str">
        <f>남춘천SS!E55</f>
        <v/>
      </c>
      <c r="F31" s="154" t="str">
        <f>남춘천SS!F55</f>
        <v/>
      </c>
      <c r="G31" s="154" t="str">
        <f>남춘천SS!G55</f>
        <v/>
      </c>
      <c r="H31" s="154" t="str">
        <f>남춘천SS!H55</f>
        <v/>
      </c>
      <c r="I31" s="649"/>
      <c r="J31" s="190" t="str">
        <f>남춘천SS!J55</f>
        <v/>
      </c>
    </row>
    <row r="32" spans="1:10" s="16" customFormat="1" ht="24" customHeight="1" x14ac:dyDescent="0.3">
      <c r="A32" s="144"/>
      <c r="B32" s="151"/>
      <c r="C32" s="162">
        <v>4</v>
      </c>
      <c r="D32" s="650"/>
      <c r="E32" s="162" t="str">
        <f>남춘천SS!E56</f>
        <v/>
      </c>
      <c r="F32" s="162" t="str">
        <f>남춘천SS!F56</f>
        <v/>
      </c>
      <c r="G32" s="162" t="str">
        <f>남춘천SS!G56</f>
        <v/>
      </c>
      <c r="H32" s="162" t="str">
        <f>남춘천SS!H56</f>
        <v/>
      </c>
      <c r="I32" s="650"/>
      <c r="J32" s="193" t="str">
        <f>남춘천SS!J56</f>
        <v/>
      </c>
    </row>
    <row r="33" spans="1:10" s="16" customFormat="1" ht="24" customHeight="1" x14ac:dyDescent="0.3">
      <c r="A33" s="141" t="s">
        <v>341</v>
      </c>
      <c r="B33" s="280" t="s">
        <v>98</v>
      </c>
      <c r="C33" s="152">
        <v>1</v>
      </c>
      <c r="D33" s="652" t="s">
        <v>302</v>
      </c>
      <c r="E33" s="172"/>
      <c r="F33" s="180"/>
      <c r="G33" s="172"/>
      <c r="H33" s="172"/>
      <c r="I33" s="644" t="s">
        <v>302</v>
      </c>
      <c r="J33" s="195"/>
    </row>
    <row r="34" spans="1:10" s="16" customFormat="1" ht="24" customHeight="1" x14ac:dyDescent="0.3">
      <c r="A34" s="607" t="s">
        <v>343</v>
      </c>
      <c r="B34" s="608"/>
      <c r="C34" s="154">
        <v>2</v>
      </c>
      <c r="D34" s="652"/>
      <c r="E34" s="154"/>
      <c r="F34" s="157"/>
      <c r="G34" s="154"/>
      <c r="H34" s="154"/>
      <c r="I34" s="644"/>
      <c r="J34" s="190"/>
    </row>
    <row r="35" spans="1:10" s="16" customFormat="1" ht="24" customHeight="1" x14ac:dyDescent="0.3">
      <c r="A35" s="613" t="s">
        <v>501</v>
      </c>
      <c r="B35" s="614"/>
      <c r="C35" s="154">
        <v>3</v>
      </c>
      <c r="D35" s="652"/>
      <c r="E35" s="154"/>
      <c r="F35" s="157"/>
      <c r="G35" s="154"/>
      <c r="H35" s="154"/>
      <c r="I35" s="644"/>
      <c r="J35" s="190"/>
    </row>
    <row r="36" spans="1:10" s="16" customFormat="1" ht="24" customHeight="1" x14ac:dyDescent="0.3">
      <c r="A36" s="689" t="s">
        <v>610</v>
      </c>
      <c r="B36" s="690"/>
      <c r="C36" s="154">
        <v>4</v>
      </c>
      <c r="D36" s="652"/>
      <c r="E36" s="154"/>
      <c r="F36" s="157"/>
      <c r="G36" s="154"/>
      <c r="H36" s="154"/>
      <c r="I36" s="644"/>
      <c r="J36" s="190"/>
    </row>
    <row r="37" spans="1:10" s="16" customFormat="1" ht="24" customHeight="1" x14ac:dyDescent="0.3">
      <c r="A37" s="41"/>
      <c r="B37" s="147"/>
      <c r="C37" s="154">
        <v>5</v>
      </c>
      <c r="D37" s="652"/>
      <c r="E37" s="154"/>
      <c r="F37" s="157"/>
      <c r="G37" s="154"/>
      <c r="H37" s="154"/>
      <c r="I37" s="644"/>
      <c r="J37" s="190"/>
    </row>
    <row r="38" spans="1:10" s="16" customFormat="1" ht="24" customHeight="1" x14ac:dyDescent="0.3">
      <c r="A38" s="41"/>
      <c r="B38" s="147"/>
      <c r="C38" s="154">
        <v>6</v>
      </c>
      <c r="D38" s="652"/>
      <c r="E38" s="154"/>
      <c r="F38" s="157"/>
      <c r="G38" s="154"/>
      <c r="H38" s="154"/>
      <c r="I38" s="644"/>
      <c r="J38" s="190"/>
    </row>
    <row r="39" spans="1:10" s="16" customFormat="1" ht="24" customHeight="1" x14ac:dyDescent="0.3">
      <c r="A39" s="41"/>
      <c r="B39" s="147"/>
      <c r="C39" s="154">
        <v>7</v>
      </c>
      <c r="D39" s="652"/>
      <c r="E39" s="154"/>
      <c r="F39" s="157"/>
      <c r="G39" s="154"/>
      <c r="H39" s="154"/>
      <c r="I39" s="644"/>
      <c r="J39" s="190"/>
    </row>
    <row r="40" spans="1:10" s="16" customFormat="1" ht="24" customHeight="1" x14ac:dyDescent="0.3">
      <c r="A40" s="41"/>
      <c r="B40" s="147"/>
      <c r="C40" s="154">
        <v>8</v>
      </c>
      <c r="D40" s="652"/>
      <c r="E40" s="154"/>
      <c r="F40" s="157"/>
      <c r="G40" s="154"/>
      <c r="H40" s="154"/>
      <c r="I40" s="644"/>
      <c r="J40" s="190"/>
    </row>
    <row r="41" spans="1:10" s="16" customFormat="1" ht="24" customHeight="1" x14ac:dyDescent="0.3">
      <c r="A41" s="41"/>
      <c r="B41" s="147"/>
      <c r="C41" s="154">
        <v>9</v>
      </c>
      <c r="D41" s="652"/>
      <c r="E41" s="154"/>
      <c r="F41" s="157"/>
      <c r="G41" s="154"/>
      <c r="H41" s="154"/>
      <c r="I41" s="644"/>
      <c r="J41" s="190"/>
    </row>
    <row r="42" spans="1:10" s="16" customFormat="1" ht="24" customHeight="1" x14ac:dyDescent="0.3">
      <c r="A42" s="41"/>
      <c r="B42" s="147"/>
      <c r="C42" s="154">
        <v>10</v>
      </c>
      <c r="D42" s="652"/>
      <c r="E42" s="154"/>
      <c r="F42" s="157"/>
      <c r="G42" s="154"/>
      <c r="H42" s="154"/>
      <c r="I42" s="644"/>
      <c r="J42" s="190"/>
    </row>
    <row r="43" spans="1:10" s="16" customFormat="1" ht="24" customHeight="1" x14ac:dyDescent="0.3">
      <c r="A43" s="41"/>
      <c r="B43" s="147"/>
      <c r="C43" s="154">
        <v>11</v>
      </c>
      <c r="D43" s="652"/>
      <c r="E43" s="154"/>
      <c r="F43" s="157"/>
      <c r="G43" s="154"/>
      <c r="H43" s="154"/>
      <c r="I43" s="644"/>
      <c r="J43" s="190"/>
    </row>
    <row r="44" spans="1:10" s="16" customFormat="1" ht="24" customHeight="1" x14ac:dyDescent="0.3">
      <c r="A44" s="41"/>
      <c r="B44" s="147"/>
      <c r="C44" s="158">
        <v>12</v>
      </c>
      <c r="D44" s="652"/>
      <c r="E44" s="158"/>
      <c r="F44" s="159"/>
      <c r="G44" s="158"/>
      <c r="H44" s="158"/>
      <c r="I44" s="644"/>
      <c r="J44" s="191"/>
    </row>
    <row r="45" spans="1:10" s="16" customFormat="1" ht="24" customHeight="1" x14ac:dyDescent="0.3">
      <c r="A45" s="41"/>
      <c r="B45" s="147"/>
      <c r="C45" s="152">
        <v>1</v>
      </c>
      <c r="D45" s="653" t="s">
        <v>73</v>
      </c>
      <c r="E45" s="167"/>
      <c r="F45" s="153"/>
      <c r="G45" s="152"/>
      <c r="H45" s="152"/>
      <c r="I45" s="651" t="s">
        <v>73</v>
      </c>
      <c r="J45" s="192"/>
    </row>
    <row r="46" spans="1:10" s="16" customFormat="1" ht="24" customHeight="1" x14ac:dyDescent="0.3">
      <c r="A46" s="41"/>
      <c r="B46" s="147"/>
      <c r="C46" s="154">
        <v>2</v>
      </c>
      <c r="D46" s="654"/>
      <c r="E46" s="160"/>
      <c r="F46" s="157"/>
      <c r="G46" s="160"/>
      <c r="H46" s="154"/>
      <c r="I46" s="649"/>
      <c r="J46" s="190"/>
    </row>
    <row r="47" spans="1:10" s="16" customFormat="1" ht="24" customHeight="1" x14ac:dyDescent="0.3">
      <c r="A47" s="41"/>
      <c r="B47" s="147"/>
      <c r="C47" s="154">
        <v>3</v>
      </c>
      <c r="D47" s="654"/>
      <c r="E47" s="160"/>
      <c r="F47" s="157"/>
      <c r="G47" s="154"/>
      <c r="H47" s="154"/>
      <c r="I47" s="649"/>
      <c r="J47" s="190"/>
    </row>
    <row r="48" spans="1:10" s="16" customFormat="1" ht="24" customHeight="1" x14ac:dyDescent="0.3">
      <c r="A48" s="144"/>
      <c r="B48" s="151"/>
      <c r="C48" s="162">
        <v>4</v>
      </c>
      <c r="D48" s="655"/>
      <c r="E48" s="163"/>
      <c r="F48" s="164"/>
      <c r="G48" s="162"/>
      <c r="H48" s="162"/>
      <c r="I48" s="650"/>
      <c r="J48" s="193"/>
    </row>
    <row r="49" spans="1:10" s="16" customFormat="1" ht="24" customHeight="1" x14ac:dyDescent="0.3">
      <c r="A49" s="141" t="s">
        <v>341</v>
      </c>
      <c r="B49" s="149" t="s">
        <v>165</v>
      </c>
      <c r="C49" s="152">
        <v>1</v>
      </c>
      <c r="D49" s="652" t="s">
        <v>302</v>
      </c>
      <c r="E49" s="172" t="s">
        <v>362</v>
      </c>
      <c r="F49" s="180" t="s">
        <v>26</v>
      </c>
      <c r="G49" s="172" t="s">
        <v>498</v>
      </c>
      <c r="H49" s="172" t="s">
        <v>497</v>
      </c>
      <c r="I49" s="644" t="s">
        <v>302</v>
      </c>
      <c r="J49" s="152" t="s">
        <v>505</v>
      </c>
    </row>
    <row r="50" spans="1:10" s="16" customFormat="1" ht="24" customHeight="1" x14ac:dyDescent="0.3">
      <c r="A50" s="607" t="s">
        <v>343</v>
      </c>
      <c r="B50" s="608"/>
      <c r="C50" s="154">
        <v>2</v>
      </c>
      <c r="D50" s="652"/>
      <c r="E50" s="154" t="s">
        <v>361</v>
      </c>
      <c r="F50" s="157" t="s">
        <v>26</v>
      </c>
      <c r="G50" s="154" t="s">
        <v>429</v>
      </c>
      <c r="H50" s="154" t="s">
        <v>494</v>
      </c>
      <c r="I50" s="644"/>
      <c r="J50" s="190" t="s">
        <v>504</v>
      </c>
    </row>
    <row r="51" spans="1:10" s="16" customFormat="1" ht="24" customHeight="1" x14ac:dyDescent="0.3">
      <c r="A51" s="613" t="s">
        <v>501</v>
      </c>
      <c r="B51" s="614"/>
      <c r="C51" s="154">
        <v>3</v>
      </c>
      <c r="D51" s="652"/>
      <c r="E51" s="154" t="s">
        <v>361</v>
      </c>
      <c r="F51" s="157" t="s">
        <v>26</v>
      </c>
      <c r="G51" s="154" t="s">
        <v>498</v>
      </c>
      <c r="H51" s="154" t="s">
        <v>495</v>
      </c>
      <c r="I51" s="644"/>
      <c r="J51" s="154" t="s">
        <v>804</v>
      </c>
    </row>
    <row r="52" spans="1:10" s="16" customFormat="1" ht="24" customHeight="1" x14ac:dyDescent="0.3">
      <c r="A52" s="41"/>
      <c r="B52" s="147"/>
      <c r="C52" s="154">
        <v>4</v>
      </c>
      <c r="D52" s="652"/>
      <c r="E52" s="154"/>
      <c r="F52" s="157"/>
      <c r="G52" s="154"/>
      <c r="H52" s="154"/>
      <c r="I52" s="644"/>
      <c r="J52" s="154"/>
    </row>
    <row r="53" spans="1:10" s="16" customFormat="1" ht="24" customHeight="1" x14ac:dyDescent="0.3">
      <c r="A53" s="41"/>
      <c r="B53" s="147"/>
      <c r="C53" s="154">
        <v>5</v>
      </c>
      <c r="D53" s="652"/>
      <c r="E53" s="154"/>
      <c r="F53" s="157"/>
      <c r="G53" s="154"/>
      <c r="H53" s="154"/>
      <c r="I53" s="644"/>
      <c r="J53" s="190"/>
    </row>
    <row r="54" spans="1:10" s="16" customFormat="1" ht="24" customHeight="1" x14ac:dyDescent="0.3">
      <c r="A54" s="41"/>
      <c r="B54" s="147"/>
      <c r="C54" s="154">
        <v>6</v>
      </c>
      <c r="D54" s="652"/>
      <c r="E54" s="154"/>
      <c r="F54" s="157"/>
      <c r="G54" s="154"/>
      <c r="H54" s="154"/>
      <c r="I54" s="644"/>
      <c r="J54" s="190"/>
    </row>
    <row r="55" spans="1:10" s="16" customFormat="1" ht="24" customHeight="1" x14ac:dyDescent="0.3">
      <c r="A55" s="41"/>
      <c r="B55" s="147"/>
      <c r="C55" s="154">
        <v>7</v>
      </c>
      <c r="D55" s="652"/>
      <c r="E55" s="154"/>
      <c r="F55" s="157"/>
      <c r="G55" s="154"/>
      <c r="H55" s="154"/>
      <c r="I55" s="644"/>
      <c r="J55" s="190"/>
    </row>
    <row r="56" spans="1:10" s="16" customFormat="1" ht="24" customHeight="1" x14ac:dyDescent="0.3">
      <c r="A56" s="41"/>
      <c r="B56" s="147"/>
      <c r="C56" s="154">
        <v>8</v>
      </c>
      <c r="D56" s="652"/>
      <c r="E56" s="154"/>
      <c r="F56" s="157"/>
      <c r="G56" s="154"/>
      <c r="H56" s="154"/>
      <c r="I56" s="644"/>
      <c r="J56" s="190"/>
    </row>
    <row r="57" spans="1:10" s="16" customFormat="1" ht="24" customHeight="1" x14ac:dyDescent="0.3">
      <c r="A57" s="41"/>
      <c r="B57" s="147"/>
      <c r="C57" s="154">
        <v>9</v>
      </c>
      <c r="D57" s="652"/>
      <c r="E57" s="154"/>
      <c r="F57" s="157"/>
      <c r="G57" s="154"/>
      <c r="H57" s="154"/>
      <c r="I57" s="644"/>
      <c r="J57" s="190"/>
    </row>
    <row r="58" spans="1:10" s="16" customFormat="1" ht="24" customHeight="1" x14ac:dyDescent="0.3">
      <c r="A58" s="41"/>
      <c r="B58" s="147"/>
      <c r="C58" s="154">
        <v>10</v>
      </c>
      <c r="D58" s="652"/>
      <c r="E58" s="154"/>
      <c r="F58" s="157"/>
      <c r="G58" s="154"/>
      <c r="H58" s="154"/>
      <c r="I58" s="644"/>
      <c r="J58" s="190"/>
    </row>
    <row r="59" spans="1:10" s="16" customFormat="1" ht="24" customHeight="1" x14ac:dyDescent="0.3">
      <c r="A59" s="41"/>
      <c r="B59" s="147"/>
      <c r="C59" s="154">
        <v>11</v>
      </c>
      <c r="D59" s="652"/>
      <c r="E59" s="154"/>
      <c r="F59" s="157"/>
      <c r="G59" s="154"/>
      <c r="H59" s="154"/>
      <c r="I59" s="644"/>
      <c r="J59" s="190"/>
    </row>
    <row r="60" spans="1:10" s="16" customFormat="1" ht="24" customHeight="1" x14ac:dyDescent="0.3">
      <c r="A60" s="41"/>
      <c r="B60" s="147"/>
      <c r="C60" s="158">
        <v>12</v>
      </c>
      <c r="D60" s="652"/>
      <c r="E60" s="158"/>
      <c r="F60" s="159"/>
      <c r="G60" s="158"/>
      <c r="H60" s="158"/>
      <c r="I60" s="645"/>
      <c r="J60" s="191"/>
    </row>
    <row r="61" spans="1:10" s="16" customFormat="1" ht="24" customHeight="1" x14ac:dyDescent="0.3">
      <c r="A61" s="41"/>
      <c r="B61" s="147"/>
      <c r="C61" s="152">
        <v>1</v>
      </c>
      <c r="D61" s="653" t="s">
        <v>73</v>
      </c>
      <c r="E61" s="167"/>
      <c r="F61" s="153"/>
      <c r="G61" s="152"/>
      <c r="H61" s="152"/>
      <c r="I61" s="651" t="s">
        <v>73</v>
      </c>
      <c r="J61" s="192"/>
    </row>
    <row r="62" spans="1:10" s="16" customFormat="1" ht="24" customHeight="1" x14ac:dyDescent="0.3">
      <c r="A62" s="41"/>
      <c r="B62" s="147"/>
      <c r="C62" s="154">
        <v>2</v>
      </c>
      <c r="D62" s="654"/>
      <c r="E62" s="160"/>
      <c r="F62" s="157"/>
      <c r="G62" s="160"/>
      <c r="H62" s="154"/>
      <c r="I62" s="649"/>
      <c r="J62" s="190"/>
    </row>
    <row r="63" spans="1:10" s="16" customFormat="1" ht="24" customHeight="1" x14ac:dyDescent="0.3">
      <c r="A63" s="41"/>
      <c r="B63" s="147"/>
      <c r="C63" s="154">
        <v>3</v>
      </c>
      <c r="D63" s="654"/>
      <c r="E63" s="160"/>
      <c r="F63" s="157"/>
      <c r="G63" s="154"/>
      <c r="H63" s="154"/>
      <c r="I63" s="649"/>
      <c r="J63" s="190"/>
    </row>
    <row r="64" spans="1:10" s="16" customFormat="1" ht="24" customHeight="1" x14ac:dyDescent="0.3">
      <c r="A64" s="144"/>
      <c r="B64" s="151"/>
      <c r="C64" s="162">
        <v>4</v>
      </c>
      <c r="D64" s="655"/>
      <c r="E64" s="163"/>
      <c r="F64" s="164"/>
      <c r="G64" s="162"/>
      <c r="H64" s="162"/>
      <c r="I64" s="650"/>
      <c r="J64" s="193"/>
    </row>
    <row r="65" spans="1:10" ht="20.25" x14ac:dyDescent="0.3">
      <c r="A65" s="141" t="s">
        <v>341</v>
      </c>
      <c r="B65" s="149" t="s">
        <v>800</v>
      </c>
      <c r="C65" s="152">
        <v>1</v>
      </c>
      <c r="D65" s="652" t="s">
        <v>302</v>
      </c>
      <c r="E65" s="172" t="s">
        <v>361</v>
      </c>
      <c r="F65" s="180" t="s">
        <v>26</v>
      </c>
      <c r="G65" s="172" t="s">
        <v>498</v>
      </c>
      <c r="H65" s="172" t="s">
        <v>802</v>
      </c>
      <c r="I65" s="644" t="s">
        <v>302</v>
      </c>
      <c r="J65" s="152"/>
    </row>
    <row r="66" spans="1:10" ht="20.25" x14ac:dyDescent="0.3">
      <c r="A66" s="607" t="s">
        <v>343</v>
      </c>
      <c r="B66" s="608"/>
      <c r="C66" s="154">
        <v>2</v>
      </c>
      <c r="D66" s="652"/>
      <c r="E66" s="172" t="s">
        <v>361</v>
      </c>
      <c r="F66" s="180" t="s">
        <v>26</v>
      </c>
      <c r="G66" s="154" t="s">
        <v>429</v>
      </c>
      <c r="H66" s="154" t="s">
        <v>495</v>
      </c>
      <c r="I66" s="644"/>
      <c r="J66" s="190" t="s">
        <v>803</v>
      </c>
    </row>
    <row r="67" spans="1:10" x14ac:dyDescent="0.3">
      <c r="A67" s="613" t="s">
        <v>805</v>
      </c>
      <c r="B67" s="614"/>
      <c r="C67" s="154">
        <v>3</v>
      </c>
      <c r="D67" s="652"/>
      <c r="E67" s="154"/>
      <c r="F67" s="157"/>
      <c r="G67" s="154"/>
      <c r="H67" s="154"/>
      <c r="I67" s="644"/>
      <c r="J67" s="154"/>
    </row>
    <row r="68" spans="1:10" x14ac:dyDescent="0.3">
      <c r="A68" s="41"/>
      <c r="B68" s="147"/>
      <c r="C68" s="154">
        <v>4</v>
      </c>
      <c r="D68" s="652"/>
      <c r="E68" s="154"/>
      <c r="F68" s="157"/>
      <c r="G68" s="154"/>
      <c r="H68" s="154"/>
      <c r="I68" s="644"/>
      <c r="J68" s="154"/>
    </row>
    <row r="69" spans="1:10" x14ac:dyDescent="0.3">
      <c r="A69" s="41"/>
      <c r="B69" s="147"/>
      <c r="C69" s="154">
        <v>5</v>
      </c>
      <c r="D69" s="652"/>
      <c r="E69" s="154"/>
      <c r="F69" s="157"/>
      <c r="G69" s="154"/>
      <c r="H69" s="154"/>
      <c r="I69" s="644"/>
      <c r="J69" s="190"/>
    </row>
    <row r="70" spans="1:10" x14ac:dyDescent="0.3">
      <c r="A70" s="41"/>
      <c r="B70" s="147"/>
      <c r="C70" s="154">
        <v>6</v>
      </c>
      <c r="D70" s="652"/>
      <c r="E70" s="154"/>
      <c r="F70" s="157"/>
      <c r="G70" s="154"/>
      <c r="H70" s="154"/>
      <c r="I70" s="644"/>
      <c r="J70" s="190"/>
    </row>
    <row r="71" spans="1:10" x14ac:dyDescent="0.3">
      <c r="A71" s="41"/>
      <c r="B71" s="147"/>
      <c r="C71" s="154">
        <v>7</v>
      </c>
      <c r="D71" s="652"/>
      <c r="E71" s="154"/>
      <c r="F71" s="157"/>
      <c r="G71" s="154"/>
      <c r="H71" s="154"/>
      <c r="I71" s="644"/>
      <c r="J71" s="190"/>
    </row>
    <row r="72" spans="1:10" x14ac:dyDescent="0.3">
      <c r="A72" s="41"/>
      <c r="B72" s="147"/>
      <c r="C72" s="154">
        <v>8</v>
      </c>
      <c r="D72" s="652"/>
      <c r="E72" s="154"/>
      <c r="F72" s="157"/>
      <c r="G72" s="154"/>
      <c r="H72" s="154"/>
      <c r="I72" s="644"/>
      <c r="J72" s="190"/>
    </row>
    <row r="73" spans="1:10" x14ac:dyDescent="0.3">
      <c r="A73" s="41"/>
      <c r="B73" s="147"/>
      <c r="C73" s="154">
        <v>9</v>
      </c>
      <c r="D73" s="652"/>
      <c r="E73" s="154"/>
      <c r="F73" s="157"/>
      <c r="G73" s="154"/>
      <c r="H73" s="154"/>
      <c r="I73" s="644"/>
      <c r="J73" s="190"/>
    </row>
    <row r="74" spans="1:10" x14ac:dyDescent="0.3">
      <c r="A74" s="41"/>
      <c r="B74" s="147"/>
      <c r="C74" s="154">
        <v>10</v>
      </c>
      <c r="D74" s="652"/>
      <c r="E74" s="154"/>
      <c r="F74" s="157"/>
      <c r="G74" s="154"/>
      <c r="H74" s="154"/>
      <c r="I74" s="644"/>
      <c r="J74" s="190"/>
    </row>
    <row r="75" spans="1:10" x14ac:dyDescent="0.3">
      <c r="A75" s="41"/>
      <c r="B75" s="147"/>
      <c r="C75" s="154">
        <v>11</v>
      </c>
      <c r="D75" s="652"/>
      <c r="E75" s="154"/>
      <c r="F75" s="157"/>
      <c r="G75" s="154"/>
      <c r="H75" s="154"/>
      <c r="I75" s="644"/>
      <c r="J75" s="190"/>
    </row>
    <row r="76" spans="1:10" x14ac:dyDescent="0.3">
      <c r="A76" s="41"/>
      <c r="B76" s="147"/>
      <c r="C76" s="158">
        <v>12</v>
      </c>
      <c r="D76" s="652"/>
      <c r="E76" s="158"/>
      <c r="F76" s="159"/>
      <c r="G76" s="158"/>
      <c r="H76" s="158"/>
      <c r="I76" s="645"/>
      <c r="J76" s="191"/>
    </row>
    <row r="77" spans="1:10" x14ac:dyDescent="0.3">
      <c r="A77" s="41"/>
      <c r="B77" s="147"/>
      <c r="C77" s="152">
        <v>1</v>
      </c>
      <c r="D77" s="653" t="s">
        <v>73</v>
      </c>
      <c r="E77" s="167"/>
      <c r="F77" s="153"/>
      <c r="G77" s="152"/>
      <c r="H77" s="152"/>
      <c r="I77" s="651" t="s">
        <v>73</v>
      </c>
      <c r="J77" s="192"/>
    </row>
    <row r="78" spans="1:10" x14ac:dyDescent="0.3">
      <c r="A78" s="41"/>
      <c r="B78" s="147"/>
      <c r="C78" s="154">
        <v>2</v>
      </c>
      <c r="D78" s="654"/>
      <c r="E78" s="160"/>
      <c r="F78" s="157"/>
      <c r="G78" s="160"/>
      <c r="H78" s="154"/>
      <c r="I78" s="649"/>
      <c r="J78" s="190"/>
    </row>
    <row r="79" spans="1:10" x14ac:dyDescent="0.3">
      <c r="A79" s="41"/>
      <c r="B79" s="147"/>
      <c r="C79" s="154">
        <v>3</v>
      </c>
      <c r="D79" s="654"/>
      <c r="E79" s="160"/>
      <c r="F79" s="157"/>
      <c r="G79" s="154"/>
      <c r="H79" s="154"/>
      <c r="I79" s="649"/>
      <c r="J79" s="190"/>
    </row>
    <row r="80" spans="1:10" x14ac:dyDescent="0.3">
      <c r="A80" s="144"/>
      <c r="B80" s="151"/>
      <c r="C80" s="162">
        <v>4</v>
      </c>
      <c r="D80" s="655"/>
      <c r="E80" s="163"/>
      <c r="F80" s="164"/>
      <c r="G80" s="162"/>
      <c r="H80" s="162"/>
      <c r="I80" s="650"/>
      <c r="J80" s="193"/>
    </row>
    <row r="81" spans="1:10" ht="20.25" x14ac:dyDescent="0.3">
      <c r="A81" s="141" t="s">
        <v>341</v>
      </c>
      <c r="B81" s="149" t="s">
        <v>801</v>
      </c>
      <c r="C81" s="152">
        <v>1</v>
      </c>
      <c r="D81" s="652" t="s">
        <v>302</v>
      </c>
      <c r="E81" s="172" t="s">
        <v>361</v>
      </c>
      <c r="F81" s="180" t="s">
        <v>26</v>
      </c>
      <c r="G81" s="172" t="s">
        <v>498</v>
      </c>
      <c r="H81" s="154" t="s">
        <v>495</v>
      </c>
      <c r="I81" s="644" t="s">
        <v>302</v>
      </c>
      <c r="J81" s="154" t="s">
        <v>804</v>
      </c>
    </row>
    <row r="82" spans="1:10" ht="20.25" x14ac:dyDescent="0.3">
      <c r="A82" s="607" t="s">
        <v>343</v>
      </c>
      <c r="B82" s="608"/>
      <c r="C82" s="154">
        <v>2</v>
      </c>
      <c r="D82" s="652"/>
      <c r="E82" s="172" t="s">
        <v>361</v>
      </c>
      <c r="F82" s="180" t="s">
        <v>26</v>
      </c>
      <c r="G82" s="154" t="s">
        <v>429</v>
      </c>
      <c r="H82" s="172" t="s">
        <v>802</v>
      </c>
      <c r="I82" s="644"/>
      <c r="J82" s="190"/>
    </row>
    <row r="83" spans="1:10" x14ac:dyDescent="0.3">
      <c r="A83" s="613" t="s">
        <v>805</v>
      </c>
      <c r="B83" s="614"/>
      <c r="C83" s="154">
        <v>3</v>
      </c>
      <c r="D83" s="652"/>
      <c r="E83" s="154"/>
      <c r="F83" s="157"/>
      <c r="G83" s="154"/>
      <c r="H83" s="154"/>
      <c r="I83" s="644"/>
      <c r="J83" s="154"/>
    </row>
    <row r="84" spans="1:10" x14ac:dyDescent="0.3">
      <c r="A84" s="41"/>
      <c r="B84" s="147"/>
      <c r="C84" s="154">
        <v>4</v>
      </c>
      <c r="D84" s="652"/>
      <c r="E84" s="154"/>
      <c r="F84" s="157"/>
      <c r="G84" s="154"/>
      <c r="H84" s="154"/>
      <c r="I84" s="644"/>
      <c r="J84" s="154"/>
    </row>
    <row r="85" spans="1:10" x14ac:dyDescent="0.3">
      <c r="A85" s="41"/>
      <c r="B85" s="147"/>
      <c r="C85" s="154">
        <v>5</v>
      </c>
      <c r="D85" s="652"/>
      <c r="E85" s="154"/>
      <c r="F85" s="157"/>
      <c r="G85" s="154"/>
      <c r="H85" s="154"/>
      <c r="I85" s="644"/>
      <c r="J85" s="190"/>
    </row>
    <row r="86" spans="1:10" x14ac:dyDescent="0.3">
      <c r="A86" s="41"/>
      <c r="B86" s="147"/>
      <c r="C86" s="154">
        <v>6</v>
      </c>
      <c r="D86" s="652"/>
      <c r="E86" s="154"/>
      <c r="F86" s="157"/>
      <c r="G86" s="154"/>
      <c r="H86" s="154"/>
      <c r="I86" s="644"/>
      <c r="J86" s="190"/>
    </row>
    <row r="87" spans="1:10" x14ac:dyDescent="0.3">
      <c r="A87" s="41"/>
      <c r="B87" s="147"/>
      <c r="C87" s="154">
        <v>7</v>
      </c>
      <c r="D87" s="652"/>
      <c r="E87" s="154"/>
      <c r="F87" s="157"/>
      <c r="G87" s="154"/>
      <c r="H87" s="154"/>
      <c r="I87" s="644"/>
      <c r="J87" s="190"/>
    </row>
    <row r="88" spans="1:10" x14ac:dyDescent="0.3">
      <c r="A88" s="41"/>
      <c r="B88" s="147"/>
      <c r="C88" s="154">
        <v>8</v>
      </c>
      <c r="D88" s="652"/>
      <c r="E88" s="154"/>
      <c r="F88" s="157"/>
      <c r="G88" s="154"/>
      <c r="H88" s="154"/>
      <c r="I88" s="644"/>
      <c r="J88" s="190"/>
    </row>
    <row r="89" spans="1:10" x14ac:dyDescent="0.3">
      <c r="A89" s="41"/>
      <c r="B89" s="147"/>
      <c r="C89" s="154">
        <v>9</v>
      </c>
      <c r="D89" s="652"/>
      <c r="E89" s="154"/>
      <c r="F89" s="157"/>
      <c r="G89" s="154"/>
      <c r="H89" s="154"/>
      <c r="I89" s="644"/>
      <c r="J89" s="190"/>
    </row>
    <row r="90" spans="1:10" x14ac:dyDescent="0.3">
      <c r="A90" s="41"/>
      <c r="B90" s="147"/>
      <c r="C90" s="154">
        <v>10</v>
      </c>
      <c r="D90" s="652"/>
      <c r="E90" s="154"/>
      <c r="F90" s="157"/>
      <c r="G90" s="154"/>
      <c r="H90" s="154"/>
      <c r="I90" s="644"/>
      <c r="J90" s="190"/>
    </row>
    <row r="91" spans="1:10" x14ac:dyDescent="0.3">
      <c r="A91" s="41"/>
      <c r="B91" s="147"/>
      <c r="C91" s="154">
        <v>11</v>
      </c>
      <c r="D91" s="652"/>
      <c r="E91" s="154"/>
      <c r="F91" s="157"/>
      <c r="G91" s="154"/>
      <c r="H91" s="154"/>
      <c r="I91" s="644"/>
      <c r="J91" s="190"/>
    </row>
    <row r="92" spans="1:10" x14ac:dyDescent="0.3">
      <c r="A92" s="41"/>
      <c r="B92" s="147"/>
      <c r="C92" s="158">
        <v>12</v>
      </c>
      <c r="D92" s="652"/>
      <c r="E92" s="158"/>
      <c r="F92" s="159"/>
      <c r="G92" s="158"/>
      <c r="H92" s="158"/>
      <c r="I92" s="645"/>
      <c r="J92" s="191"/>
    </row>
    <row r="93" spans="1:10" x14ac:dyDescent="0.3">
      <c r="A93" s="41"/>
      <c r="B93" s="147"/>
      <c r="C93" s="152">
        <v>1</v>
      </c>
      <c r="D93" s="653" t="s">
        <v>73</v>
      </c>
      <c r="E93" s="167"/>
      <c r="F93" s="153"/>
      <c r="G93" s="152"/>
      <c r="H93" s="152"/>
      <c r="I93" s="651" t="s">
        <v>73</v>
      </c>
      <c r="J93" s="192"/>
    </row>
    <row r="94" spans="1:10" x14ac:dyDescent="0.3">
      <c r="A94" s="41"/>
      <c r="B94" s="147"/>
      <c r="C94" s="154">
        <v>2</v>
      </c>
      <c r="D94" s="654"/>
      <c r="E94" s="160"/>
      <c r="F94" s="157"/>
      <c r="G94" s="160"/>
      <c r="H94" s="154"/>
      <c r="I94" s="649"/>
      <c r="J94" s="190"/>
    </row>
    <row r="95" spans="1:10" x14ac:dyDescent="0.3">
      <c r="A95" s="41"/>
      <c r="B95" s="147"/>
      <c r="C95" s="154">
        <v>3</v>
      </c>
      <c r="D95" s="654"/>
      <c r="E95" s="160"/>
      <c r="F95" s="157"/>
      <c r="G95" s="154"/>
      <c r="H95" s="154"/>
      <c r="I95" s="649"/>
      <c r="J95" s="190"/>
    </row>
    <row r="96" spans="1:10" x14ac:dyDescent="0.3">
      <c r="A96" s="144"/>
      <c r="B96" s="151"/>
      <c r="C96" s="162">
        <v>4</v>
      </c>
      <c r="D96" s="655"/>
      <c r="E96" s="163"/>
      <c r="F96" s="164"/>
      <c r="G96" s="162"/>
      <c r="H96" s="162"/>
      <c r="I96" s="650"/>
      <c r="J96" s="193"/>
    </row>
  </sheetData>
  <mergeCells count="41">
    <mergeCell ref="I33:I44"/>
    <mergeCell ref="A34:B34"/>
    <mergeCell ref="I5:I8"/>
    <mergeCell ref="A1:J1"/>
    <mergeCell ref="E4:H4"/>
    <mergeCell ref="A6:B6"/>
    <mergeCell ref="A7:B7"/>
    <mergeCell ref="D5:D8"/>
    <mergeCell ref="I9:I12"/>
    <mergeCell ref="D9:D12"/>
    <mergeCell ref="D17:D28"/>
    <mergeCell ref="I17:I28"/>
    <mergeCell ref="A18:B18"/>
    <mergeCell ref="D61:D64"/>
    <mergeCell ref="I61:I64"/>
    <mergeCell ref="A19:B19"/>
    <mergeCell ref="I13:I16"/>
    <mergeCell ref="D13:D16"/>
    <mergeCell ref="D45:D48"/>
    <mergeCell ref="I45:I48"/>
    <mergeCell ref="A35:B35"/>
    <mergeCell ref="A50:B50"/>
    <mergeCell ref="D49:D60"/>
    <mergeCell ref="I49:I60"/>
    <mergeCell ref="A51:B51"/>
    <mergeCell ref="A36:B36"/>
    <mergeCell ref="D29:D32"/>
    <mergeCell ref="I29:I32"/>
    <mergeCell ref="D33:D44"/>
    <mergeCell ref="D65:D76"/>
    <mergeCell ref="I65:I76"/>
    <mergeCell ref="A66:B66"/>
    <mergeCell ref="A67:B67"/>
    <mergeCell ref="D77:D80"/>
    <mergeCell ref="I77:I80"/>
    <mergeCell ref="D81:D92"/>
    <mergeCell ref="I81:I92"/>
    <mergeCell ref="A82:B82"/>
    <mergeCell ref="A83:B83"/>
    <mergeCell ref="D93:D96"/>
    <mergeCell ref="I93:I96"/>
  </mergeCells>
  <phoneticPr fontId="27" type="noConversion"/>
  <pageMargins left="0.7" right="0.7" top="0.75" bottom="0.75" header="0.3" footer="0.3"/>
  <pageSetup paperSize="9" scale="43" orientation="portrait" r:id="rId1"/>
  <rowBreaks count="1" manualBreakCount="1">
    <brk id="48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2"/>
  <sheetViews>
    <sheetView zoomScale="85" zoomScaleNormal="85" workbookViewId="0">
      <selection activeCell="J6" sqref="J6"/>
    </sheetView>
  </sheetViews>
  <sheetFormatPr defaultRowHeight="16.5" x14ac:dyDescent="0.3"/>
  <cols>
    <col min="1" max="2" width="12.625" style="6" customWidth="1"/>
    <col min="3" max="4" width="7.625" style="6" customWidth="1"/>
    <col min="5" max="5" width="5.625" style="18" customWidth="1"/>
    <col min="6" max="6" width="12.625" style="19" customWidth="1"/>
    <col min="7" max="7" width="5.625" style="18" customWidth="1"/>
    <col min="8" max="8" width="21.75" style="18" bestFit="1" customWidth="1"/>
    <col min="9" max="9" width="7.625" style="6" customWidth="1"/>
    <col min="10" max="10" width="70.625" style="6" customWidth="1"/>
    <col min="11" max="11" width="17.25" style="6" customWidth="1"/>
    <col min="12" max="12" width="14.5" style="18" customWidth="1"/>
    <col min="13" max="13" width="4.125" style="6" customWidth="1"/>
    <col min="14" max="16384" width="9" style="6"/>
  </cols>
  <sheetData>
    <row r="1" spans="1:12" ht="38.25" x14ac:dyDescent="0.3">
      <c r="A1" s="626" t="s">
        <v>808</v>
      </c>
      <c r="B1" s="626"/>
      <c r="C1" s="626"/>
      <c r="D1" s="626"/>
      <c r="E1" s="626"/>
      <c r="F1" s="626"/>
      <c r="G1" s="626"/>
      <c r="H1" s="626"/>
      <c r="I1" s="626"/>
      <c r="J1" s="626"/>
      <c r="K1" s="94"/>
    </row>
    <row r="3" spans="1:12" x14ac:dyDescent="0.3">
      <c r="J3" s="59"/>
      <c r="K3" s="59"/>
    </row>
    <row r="4" spans="1:12" ht="30" customHeight="1" x14ac:dyDescent="0.15">
      <c r="A4" s="181" t="s">
        <v>0</v>
      </c>
      <c r="B4" s="182" t="s">
        <v>1</v>
      </c>
      <c r="C4" s="182" t="s">
        <v>2</v>
      </c>
      <c r="D4" s="182" t="s">
        <v>3</v>
      </c>
      <c r="E4" s="627" t="s">
        <v>4</v>
      </c>
      <c r="F4" s="627"/>
      <c r="G4" s="627"/>
      <c r="H4" s="627"/>
      <c r="I4" s="182" t="s">
        <v>3</v>
      </c>
      <c r="J4" s="183" t="s">
        <v>5</v>
      </c>
      <c r="K4" s="100"/>
    </row>
    <row r="5" spans="1:12" s="16" customFormat="1" ht="24" customHeight="1" x14ac:dyDescent="0.3">
      <c r="A5" s="30" t="s">
        <v>98</v>
      </c>
      <c r="B5" s="146" t="s">
        <v>341</v>
      </c>
      <c r="C5" s="152">
        <v>1</v>
      </c>
      <c r="D5" s="641" t="s">
        <v>293</v>
      </c>
      <c r="E5" s="152" t="str">
        <f>열병합!E5</f>
        <v>E1</v>
      </c>
      <c r="F5" s="152" t="str">
        <f>열병합!F5</f>
        <v>PITR</v>
      </c>
      <c r="G5" s="152" t="str">
        <f>열병합!G5</f>
        <v>예비</v>
      </c>
      <c r="H5" s="152" t="str">
        <f>열병합!H5</f>
        <v>청평PP-열병합 PITR</v>
      </c>
      <c r="I5" s="641" t="s">
        <v>293</v>
      </c>
      <c r="J5" s="192" t="str">
        <f>열병합!J5</f>
        <v>청평PP-(OMS:1)-서홍천-(송변PTPU:1)-열병합</v>
      </c>
      <c r="K5" s="102"/>
      <c r="L5" s="51"/>
    </row>
    <row r="6" spans="1:12" s="16" customFormat="1" ht="24" customHeight="1" x14ac:dyDescent="0.3">
      <c r="A6" s="620" t="s">
        <v>824</v>
      </c>
      <c r="B6" s="691"/>
      <c r="C6" s="154">
        <v>2</v>
      </c>
      <c r="D6" s="656"/>
      <c r="E6" s="154" t="str">
        <f>열병합!E6</f>
        <v>E1</v>
      </c>
      <c r="F6" s="154" t="str">
        <f>열병합!F6</f>
        <v>PITR</v>
      </c>
      <c r="G6" s="154" t="str">
        <f>열병합!G6</f>
        <v>예비</v>
      </c>
      <c r="H6" s="154" t="str">
        <f>열병합!H6</f>
        <v>서홍천-청평PP PITR</v>
      </c>
      <c r="I6" s="656"/>
      <c r="J6" s="190" t="str">
        <f>열병합!J6</f>
        <v>서홍천-(송변PTPU:2)-열병합-(PTP:2)-청평PP</v>
      </c>
      <c r="K6" s="102"/>
      <c r="L6" s="51"/>
    </row>
    <row r="7" spans="1:12" s="16" customFormat="1" ht="24" customHeight="1" x14ac:dyDescent="0.3">
      <c r="A7" s="677" t="s">
        <v>836</v>
      </c>
      <c r="B7" s="614"/>
      <c r="C7" s="154">
        <v>3</v>
      </c>
      <c r="D7" s="656"/>
      <c r="E7" s="154" t="str">
        <f>열병합!E7</f>
        <v>T1</v>
      </c>
      <c r="F7" s="154" t="str">
        <f>열병합!F7</f>
        <v>PITR</v>
      </c>
      <c r="G7" s="154" t="str">
        <f>열병합!G7</f>
        <v>예비</v>
      </c>
      <c r="H7" s="154" t="str">
        <f>열병합!H7</f>
        <v>열병합-서종 SPS PITR</v>
      </c>
      <c r="I7" s="656"/>
      <c r="J7" s="190" t="str">
        <f>열병합!J7</f>
        <v>청평PP-(OMS:3)-서홍천-(송변PTPU:3)-열병합-(PTP#2:2)-춘천에너지</v>
      </c>
      <c r="K7" s="102"/>
      <c r="L7" s="51"/>
    </row>
    <row r="8" spans="1:12" s="16" customFormat="1" ht="24" customHeight="1" x14ac:dyDescent="0.3">
      <c r="A8" s="41"/>
      <c r="B8" s="147"/>
      <c r="C8" s="158">
        <v>4</v>
      </c>
      <c r="D8" s="656"/>
      <c r="E8" s="162" t="str">
        <f>열병합!E8</f>
        <v/>
      </c>
      <c r="F8" s="162" t="str">
        <f>열병합!F8</f>
        <v/>
      </c>
      <c r="G8" s="162" t="str">
        <f>열병합!G8</f>
        <v/>
      </c>
      <c r="H8" s="162" t="str">
        <f>열병합!H8</f>
        <v/>
      </c>
      <c r="I8" s="656"/>
      <c r="J8" s="193" t="str">
        <f>열병합!J8</f>
        <v/>
      </c>
      <c r="K8" s="102"/>
      <c r="L8" s="51"/>
    </row>
    <row r="9" spans="1:12" s="16" customFormat="1" ht="24" customHeight="1" x14ac:dyDescent="0.3">
      <c r="A9" s="41"/>
      <c r="B9" s="147"/>
      <c r="C9" s="152">
        <v>5</v>
      </c>
      <c r="D9" s="641" t="s">
        <v>293</v>
      </c>
      <c r="E9" s="152" t="str">
        <f>열병합!E9</f>
        <v>T1</v>
      </c>
      <c r="F9" s="152" t="str">
        <f>열병합!F9</f>
        <v>PITR</v>
      </c>
      <c r="G9" s="152" t="str">
        <f>열병합!G9</f>
        <v>주</v>
      </c>
      <c r="H9" s="152" t="str">
        <f>열병합!H9</f>
        <v>서홍천-열병합 PITR</v>
      </c>
      <c r="I9" s="641" t="s">
        <v>293</v>
      </c>
      <c r="J9" s="192" t="str">
        <f>열병합!J9</f>
        <v>서홍천-(송변PTPU:5)-열병합</v>
      </c>
      <c r="K9" s="102"/>
      <c r="L9" s="51"/>
    </row>
    <row r="10" spans="1:12" s="16" customFormat="1" ht="24" customHeight="1" x14ac:dyDescent="0.3">
      <c r="A10" s="41"/>
      <c r="B10" s="147"/>
      <c r="C10" s="154">
        <v>6</v>
      </c>
      <c r="D10" s="656"/>
      <c r="E10" s="154" t="str">
        <f>열병합!E10</f>
        <v>E1</v>
      </c>
      <c r="F10" s="154" t="str">
        <f>열병합!F10</f>
        <v>차세대SCADA</v>
      </c>
      <c r="G10" s="154" t="str">
        <f>열병합!G10</f>
        <v>주</v>
      </c>
      <c r="H10" s="154" t="str">
        <f>열병합!H10</f>
        <v>서홍천 D-SCADA</v>
      </c>
      <c r="I10" s="656"/>
      <c r="J10" s="190" t="str">
        <f>열병합!J10</f>
        <v>서홍천-(송변PTPU:6)-열병합-(PTP:5)-남춘천-(PTP:3)-춘천(구)</v>
      </c>
      <c r="K10" s="101"/>
      <c r="L10" s="51"/>
    </row>
    <row r="11" spans="1:12" s="16" customFormat="1" ht="24" customHeight="1" x14ac:dyDescent="0.3">
      <c r="A11" s="41"/>
      <c r="B11" s="147"/>
      <c r="C11" s="154">
        <v>7</v>
      </c>
      <c r="D11" s="656"/>
      <c r="E11" s="154" t="str">
        <f>열병합!E11</f>
        <v/>
      </c>
      <c r="F11" s="154" t="str">
        <f>열병합!F11</f>
        <v/>
      </c>
      <c r="G11" s="154" t="str">
        <f>열병합!G11</f>
        <v/>
      </c>
      <c r="H11" s="154" t="str">
        <f>열병합!H11</f>
        <v/>
      </c>
      <c r="I11" s="656"/>
      <c r="J11" s="190" t="str">
        <f>열병합!J11</f>
        <v/>
      </c>
      <c r="K11" s="101"/>
      <c r="L11" s="18"/>
    </row>
    <row r="12" spans="1:12" s="16" customFormat="1" ht="24" customHeight="1" x14ac:dyDescent="0.3">
      <c r="A12" s="41"/>
      <c r="B12" s="147"/>
      <c r="C12" s="162">
        <v>8</v>
      </c>
      <c r="D12" s="656"/>
      <c r="E12" s="162" t="str">
        <f>열병합!E12</f>
        <v/>
      </c>
      <c r="F12" s="162" t="str">
        <f>열병합!F12</f>
        <v/>
      </c>
      <c r="G12" s="162" t="str">
        <f>열병합!G12</f>
        <v/>
      </c>
      <c r="H12" s="162" t="str">
        <f>열병합!H12</f>
        <v/>
      </c>
      <c r="I12" s="656"/>
      <c r="J12" s="193" t="str">
        <f>열병합!J12</f>
        <v/>
      </c>
      <c r="K12" s="102"/>
      <c r="L12" s="18"/>
    </row>
    <row r="13" spans="1:12" s="16" customFormat="1" ht="24" customHeight="1" x14ac:dyDescent="0.3">
      <c r="A13" s="41"/>
      <c r="B13" s="147"/>
      <c r="C13" s="172">
        <v>9</v>
      </c>
      <c r="D13" s="641" t="s">
        <v>293</v>
      </c>
      <c r="E13" s="152" t="str">
        <f>열병합!E13</f>
        <v/>
      </c>
      <c r="F13" s="152" t="str">
        <f>열병합!F13</f>
        <v/>
      </c>
      <c r="G13" s="152" t="str">
        <f>열병합!G13</f>
        <v/>
      </c>
      <c r="H13" s="152" t="str">
        <f>열병합!H13</f>
        <v/>
      </c>
      <c r="I13" s="641" t="s">
        <v>293</v>
      </c>
      <c r="J13" s="192" t="str">
        <f>열병합!J13</f>
        <v/>
      </c>
      <c r="K13" s="102"/>
      <c r="L13" s="18"/>
    </row>
    <row r="14" spans="1:12" s="16" customFormat="1" ht="24" customHeight="1" x14ac:dyDescent="0.3">
      <c r="A14" s="41"/>
      <c r="B14" s="147"/>
      <c r="C14" s="154">
        <v>10</v>
      </c>
      <c r="D14" s="656"/>
      <c r="E14" s="154" t="str">
        <f>열병합!E14</f>
        <v/>
      </c>
      <c r="F14" s="154" t="str">
        <f>열병합!F14</f>
        <v/>
      </c>
      <c r="G14" s="154" t="str">
        <f>열병합!G14</f>
        <v/>
      </c>
      <c r="H14" s="154" t="str">
        <f>열병합!H14</f>
        <v/>
      </c>
      <c r="I14" s="656"/>
      <c r="J14" s="190" t="str">
        <f>열병합!J14</f>
        <v/>
      </c>
      <c r="K14" s="102"/>
      <c r="L14" s="51"/>
    </row>
    <row r="15" spans="1:12" s="16" customFormat="1" ht="24" customHeight="1" x14ac:dyDescent="0.3">
      <c r="A15" s="41"/>
      <c r="B15" s="147"/>
      <c r="C15" s="154">
        <v>11</v>
      </c>
      <c r="D15" s="656"/>
      <c r="E15" s="154" t="str">
        <f>열병합!E15</f>
        <v/>
      </c>
      <c r="F15" s="154" t="str">
        <f>열병합!F15</f>
        <v/>
      </c>
      <c r="G15" s="154" t="str">
        <f>열병합!G15</f>
        <v/>
      </c>
      <c r="H15" s="154" t="str">
        <f>열병합!H15</f>
        <v/>
      </c>
      <c r="I15" s="656"/>
      <c r="J15" s="190" t="str">
        <f>열병합!J15</f>
        <v/>
      </c>
      <c r="K15" s="102"/>
      <c r="L15" s="51"/>
    </row>
    <row r="16" spans="1:12" s="16" customFormat="1" ht="24" customHeight="1" x14ac:dyDescent="0.3">
      <c r="A16" s="41"/>
      <c r="B16" s="147"/>
      <c r="C16" s="158">
        <v>12</v>
      </c>
      <c r="D16" s="656"/>
      <c r="E16" s="162" t="str">
        <f>열병합!E16</f>
        <v/>
      </c>
      <c r="F16" s="162" t="str">
        <f>열병합!F16</f>
        <v/>
      </c>
      <c r="G16" s="162" t="str">
        <f>열병합!G16</f>
        <v/>
      </c>
      <c r="H16" s="162" t="str">
        <f>열병합!H16</f>
        <v/>
      </c>
      <c r="I16" s="656"/>
      <c r="J16" s="193" t="str">
        <f>열병합!J16</f>
        <v/>
      </c>
      <c r="K16" s="101"/>
      <c r="L16" s="18"/>
    </row>
    <row r="17" spans="1:12" s="16" customFormat="1" ht="24" customHeight="1" x14ac:dyDescent="0.3">
      <c r="A17" s="30" t="s">
        <v>98</v>
      </c>
      <c r="B17" s="146" t="s">
        <v>165</v>
      </c>
      <c r="C17" s="152">
        <v>1</v>
      </c>
      <c r="D17" s="641" t="s">
        <v>13</v>
      </c>
      <c r="E17" s="152" t="s">
        <v>362</v>
      </c>
      <c r="F17" s="153" t="s">
        <v>26</v>
      </c>
      <c r="G17" s="152" t="s">
        <v>429</v>
      </c>
      <c r="H17" s="152" t="s">
        <v>497</v>
      </c>
      <c r="I17" s="641" t="s">
        <v>13</v>
      </c>
      <c r="J17" s="190" t="s">
        <v>721</v>
      </c>
      <c r="K17" s="102"/>
      <c r="L17" s="93"/>
    </row>
    <row r="18" spans="1:12" s="16" customFormat="1" ht="24" customHeight="1" x14ac:dyDescent="0.3">
      <c r="A18" s="620" t="s">
        <v>335</v>
      </c>
      <c r="B18" s="691"/>
      <c r="C18" s="154">
        <v>2</v>
      </c>
      <c r="D18" s="656"/>
      <c r="E18" s="154" t="s">
        <v>362</v>
      </c>
      <c r="F18" s="157" t="s">
        <v>346</v>
      </c>
      <c r="G18" s="154"/>
      <c r="H18" s="154" t="s">
        <v>364</v>
      </c>
      <c r="I18" s="656"/>
      <c r="J18" s="190" t="s">
        <v>722</v>
      </c>
      <c r="K18" s="102"/>
      <c r="L18" s="53"/>
    </row>
    <row r="19" spans="1:12" s="16" customFormat="1" ht="24" customHeight="1" x14ac:dyDescent="0.3">
      <c r="A19" s="677" t="s">
        <v>491</v>
      </c>
      <c r="B19" s="614"/>
      <c r="C19" s="154">
        <v>3</v>
      </c>
      <c r="D19" s="656"/>
      <c r="E19" s="154" t="s">
        <v>362</v>
      </c>
      <c r="F19" s="157" t="s">
        <v>428</v>
      </c>
      <c r="G19" s="154" t="s">
        <v>429</v>
      </c>
      <c r="H19" s="154" t="s">
        <v>495</v>
      </c>
      <c r="I19" s="656"/>
      <c r="J19" s="190" t="s">
        <v>723</v>
      </c>
      <c r="K19" s="102"/>
      <c r="L19" s="93"/>
    </row>
    <row r="20" spans="1:12" s="16" customFormat="1" ht="24" customHeight="1" x14ac:dyDescent="0.3">
      <c r="A20" s="41"/>
      <c r="B20" s="147"/>
      <c r="C20" s="158">
        <v>4</v>
      </c>
      <c r="D20" s="656"/>
      <c r="E20" s="158"/>
      <c r="F20" s="159"/>
      <c r="G20" s="200"/>
      <c r="H20" s="158"/>
      <c r="I20" s="656"/>
      <c r="J20" s="191"/>
      <c r="K20" s="102"/>
      <c r="L20" s="51"/>
    </row>
    <row r="21" spans="1:12" s="16" customFormat="1" ht="24" customHeight="1" x14ac:dyDescent="0.3">
      <c r="A21" s="41"/>
      <c r="B21" s="147"/>
      <c r="C21" s="152">
        <v>5</v>
      </c>
      <c r="D21" s="641" t="s">
        <v>13</v>
      </c>
      <c r="E21" s="152" t="s">
        <v>28</v>
      </c>
      <c r="F21" s="153" t="s">
        <v>336</v>
      </c>
      <c r="G21" s="152" t="s">
        <v>498</v>
      </c>
      <c r="H21" s="152" t="s">
        <v>499</v>
      </c>
      <c r="I21" s="641" t="s">
        <v>13</v>
      </c>
      <c r="J21" s="192" t="s">
        <v>724</v>
      </c>
      <c r="K21" s="102"/>
      <c r="L21" s="51"/>
    </row>
    <row r="22" spans="1:12" s="16" customFormat="1" ht="24" customHeight="1" x14ac:dyDescent="0.3">
      <c r="A22" s="41"/>
      <c r="B22" s="147"/>
      <c r="C22" s="154">
        <v>6</v>
      </c>
      <c r="D22" s="656"/>
      <c r="E22" s="154"/>
      <c r="F22" s="157"/>
      <c r="G22" s="154"/>
      <c r="H22" s="154"/>
      <c r="I22" s="656"/>
      <c r="J22" s="190"/>
      <c r="K22" s="101"/>
      <c r="L22" s="51"/>
    </row>
    <row r="23" spans="1:12" s="16" customFormat="1" ht="24" customHeight="1" x14ac:dyDescent="0.3">
      <c r="A23" s="41"/>
      <c r="B23" s="147"/>
      <c r="C23" s="154">
        <v>7</v>
      </c>
      <c r="D23" s="656"/>
      <c r="E23" s="154"/>
      <c r="F23" s="157"/>
      <c r="G23" s="154"/>
      <c r="H23" s="154"/>
      <c r="I23" s="656"/>
      <c r="J23" s="190"/>
      <c r="K23" s="101"/>
      <c r="L23" s="51"/>
    </row>
    <row r="24" spans="1:12" s="16" customFormat="1" ht="24" customHeight="1" x14ac:dyDescent="0.3">
      <c r="A24" s="41"/>
      <c r="B24" s="147"/>
      <c r="C24" s="162">
        <v>8</v>
      </c>
      <c r="D24" s="640"/>
      <c r="E24" s="162"/>
      <c r="F24" s="164"/>
      <c r="G24" s="162"/>
      <c r="H24" s="162"/>
      <c r="I24" s="640"/>
      <c r="J24" s="193"/>
      <c r="K24" s="101"/>
      <c r="L24" s="51"/>
    </row>
    <row r="25" spans="1:12" s="16" customFormat="1" ht="24" customHeight="1" x14ac:dyDescent="0.3">
      <c r="A25" s="41"/>
      <c r="B25" s="147"/>
      <c r="C25" s="172">
        <v>9</v>
      </c>
      <c r="D25" s="656" t="s">
        <v>13</v>
      </c>
      <c r="E25" s="172"/>
      <c r="F25" s="180"/>
      <c r="G25" s="172"/>
      <c r="H25" s="172"/>
      <c r="I25" s="656" t="s">
        <v>13</v>
      </c>
      <c r="J25" s="195"/>
      <c r="K25" s="101"/>
      <c r="L25" s="51"/>
    </row>
    <row r="26" spans="1:12" s="16" customFormat="1" ht="24" customHeight="1" x14ac:dyDescent="0.3">
      <c r="A26" s="41"/>
      <c r="B26" s="147"/>
      <c r="C26" s="154">
        <v>10</v>
      </c>
      <c r="D26" s="656"/>
      <c r="E26" s="154"/>
      <c r="F26" s="157"/>
      <c r="G26" s="154"/>
      <c r="H26" s="154"/>
      <c r="I26" s="656"/>
      <c r="J26" s="190"/>
      <c r="K26" s="101"/>
      <c r="L26" s="51"/>
    </row>
    <row r="27" spans="1:12" s="16" customFormat="1" ht="24" customHeight="1" x14ac:dyDescent="0.3">
      <c r="A27" s="41"/>
      <c r="B27" s="147"/>
      <c r="C27" s="154">
        <v>11</v>
      </c>
      <c r="D27" s="656"/>
      <c r="E27" s="154"/>
      <c r="F27" s="157"/>
      <c r="G27" s="154"/>
      <c r="H27" s="154"/>
      <c r="I27" s="656"/>
      <c r="J27" s="190"/>
      <c r="K27" s="101"/>
      <c r="L27" s="51"/>
    </row>
    <row r="28" spans="1:12" s="16" customFormat="1" ht="24" customHeight="1" x14ac:dyDescent="0.3">
      <c r="A28" s="41"/>
      <c r="B28" s="147"/>
      <c r="C28" s="158">
        <v>12</v>
      </c>
      <c r="D28" s="656"/>
      <c r="E28" s="158"/>
      <c r="F28" s="159"/>
      <c r="G28" s="158"/>
      <c r="H28" s="158"/>
      <c r="I28" s="656"/>
      <c r="J28" s="191"/>
      <c r="K28" s="101"/>
      <c r="L28" s="51"/>
    </row>
    <row r="29" spans="1:12" s="16" customFormat="1" ht="24" customHeight="1" x14ac:dyDescent="0.3">
      <c r="A29" s="41"/>
      <c r="B29" s="147"/>
      <c r="C29" s="152">
        <v>13</v>
      </c>
      <c r="D29" s="692"/>
      <c r="E29" s="152"/>
      <c r="F29" s="153"/>
      <c r="G29" s="152"/>
      <c r="H29" s="152"/>
      <c r="I29" s="692"/>
      <c r="J29" s="192"/>
      <c r="K29" s="102"/>
      <c r="L29" s="18"/>
    </row>
    <row r="30" spans="1:12" s="16" customFormat="1" ht="24" customHeight="1" x14ac:dyDescent="0.3">
      <c r="A30" s="41"/>
      <c r="B30" s="147"/>
      <c r="C30" s="154">
        <v>14</v>
      </c>
      <c r="D30" s="693"/>
      <c r="E30" s="154"/>
      <c r="F30" s="157"/>
      <c r="G30" s="154"/>
      <c r="H30" s="154"/>
      <c r="I30" s="693"/>
      <c r="J30" s="190"/>
      <c r="K30" s="102"/>
      <c r="L30" s="18"/>
    </row>
    <row r="31" spans="1:12" s="16" customFormat="1" ht="24" customHeight="1" x14ac:dyDescent="0.3">
      <c r="A31" s="41"/>
      <c r="B31" s="31"/>
      <c r="C31" s="154">
        <v>15</v>
      </c>
      <c r="D31" s="693"/>
      <c r="E31" s="154"/>
      <c r="F31" s="157"/>
      <c r="G31" s="154"/>
      <c r="H31" s="154"/>
      <c r="I31" s="693"/>
      <c r="J31" s="190"/>
      <c r="K31" s="102"/>
      <c r="L31" s="51"/>
    </row>
    <row r="32" spans="1:12" s="16" customFormat="1" ht="24" customHeight="1" x14ac:dyDescent="0.3">
      <c r="A32" s="144"/>
      <c r="B32" s="142"/>
      <c r="C32" s="162">
        <v>16</v>
      </c>
      <c r="D32" s="694"/>
      <c r="E32" s="162"/>
      <c r="F32" s="164"/>
      <c r="G32" s="162"/>
      <c r="H32" s="162"/>
      <c r="I32" s="694"/>
      <c r="J32" s="162"/>
      <c r="K32" s="102"/>
      <c r="L32" s="51"/>
    </row>
    <row r="33" spans="1:12" s="16" customFormat="1" ht="24" customHeight="1" x14ac:dyDescent="0.3">
      <c r="A33" s="141" t="s">
        <v>98</v>
      </c>
      <c r="B33" s="149" t="s">
        <v>80</v>
      </c>
      <c r="C33" s="152">
        <v>1</v>
      </c>
      <c r="D33" s="668" t="s">
        <v>20</v>
      </c>
      <c r="E33" s="152"/>
      <c r="F33" s="153" t="s">
        <v>365</v>
      </c>
      <c r="G33" s="152"/>
      <c r="H33" s="152" t="s">
        <v>366</v>
      </c>
      <c r="I33" s="683" t="s">
        <v>358</v>
      </c>
      <c r="J33" s="192" t="str">
        <f>본부통신실!J65</f>
        <v>본부-19(CMUX)-춘천-17(통합단말)13-서홍천-1(P32T)-청평PP</v>
      </c>
      <c r="K33" s="102"/>
      <c r="L33" s="51"/>
    </row>
    <row r="34" spans="1:12" s="16" customFormat="1" ht="24" customHeight="1" x14ac:dyDescent="0.3">
      <c r="A34" s="607" t="s">
        <v>356</v>
      </c>
      <c r="B34" s="608"/>
      <c r="C34" s="154">
        <v>2</v>
      </c>
      <c r="D34" s="669"/>
      <c r="E34" s="154"/>
      <c r="F34" s="157"/>
      <c r="G34" s="154"/>
      <c r="H34" s="154"/>
      <c r="I34" s="663"/>
      <c r="J34" s="190"/>
      <c r="K34" s="102"/>
      <c r="L34" s="51"/>
    </row>
    <row r="35" spans="1:12" s="16" customFormat="1" ht="24" customHeight="1" x14ac:dyDescent="0.3">
      <c r="A35" s="677" t="s">
        <v>491</v>
      </c>
      <c r="B35" s="614"/>
      <c r="C35" s="158">
        <v>3</v>
      </c>
      <c r="D35" s="670"/>
      <c r="E35" s="158"/>
      <c r="F35" s="159"/>
      <c r="G35" s="158"/>
      <c r="H35" s="158"/>
      <c r="I35" s="684"/>
      <c r="J35" s="191"/>
      <c r="K35" s="102"/>
      <c r="L35" s="51"/>
    </row>
    <row r="36" spans="1:12" s="16" customFormat="1" ht="24" customHeight="1" x14ac:dyDescent="0.3">
      <c r="A36" s="41"/>
      <c r="B36" s="147"/>
      <c r="C36" s="152">
        <v>4</v>
      </c>
      <c r="D36" s="657"/>
      <c r="E36" s="152"/>
      <c r="F36" s="153"/>
      <c r="G36" s="152"/>
      <c r="H36" s="152"/>
      <c r="I36" s="657"/>
      <c r="J36" s="192"/>
      <c r="K36" s="102"/>
      <c r="L36" s="51"/>
    </row>
    <row r="37" spans="1:12" s="16" customFormat="1" ht="24" customHeight="1" x14ac:dyDescent="0.3">
      <c r="A37" s="41"/>
      <c r="B37" s="147"/>
      <c r="C37" s="154">
        <v>5</v>
      </c>
      <c r="D37" s="658"/>
      <c r="E37" s="154"/>
      <c r="F37" s="157"/>
      <c r="G37" s="154"/>
      <c r="H37" s="154"/>
      <c r="I37" s="658"/>
      <c r="J37" s="190"/>
      <c r="K37" s="102"/>
      <c r="L37" s="51"/>
    </row>
    <row r="38" spans="1:12" s="16" customFormat="1" ht="24" customHeight="1" x14ac:dyDescent="0.3">
      <c r="A38" s="41"/>
      <c r="B38" s="147"/>
      <c r="C38" s="162">
        <v>6</v>
      </c>
      <c r="D38" s="659"/>
      <c r="E38" s="162"/>
      <c r="F38" s="164"/>
      <c r="G38" s="162"/>
      <c r="H38" s="162"/>
      <c r="I38" s="659"/>
      <c r="J38" s="193"/>
      <c r="K38" s="102"/>
      <c r="L38" s="51"/>
    </row>
    <row r="39" spans="1:12" s="16" customFormat="1" ht="24" customHeight="1" x14ac:dyDescent="0.3">
      <c r="A39" s="41"/>
      <c r="B39" s="147"/>
      <c r="C39" s="172">
        <v>7</v>
      </c>
      <c r="D39" s="660"/>
      <c r="E39" s="172"/>
      <c r="F39" s="180"/>
      <c r="G39" s="172"/>
      <c r="H39" s="172"/>
      <c r="I39" s="660"/>
      <c r="J39" s="195"/>
      <c r="K39" s="102"/>
      <c r="L39" s="51"/>
    </row>
    <row r="40" spans="1:12" s="16" customFormat="1" ht="24" customHeight="1" x14ac:dyDescent="0.3">
      <c r="A40" s="41"/>
      <c r="B40" s="147"/>
      <c r="C40" s="154">
        <v>8</v>
      </c>
      <c r="D40" s="658"/>
      <c r="E40" s="154"/>
      <c r="F40" s="157"/>
      <c r="G40" s="154"/>
      <c r="H40" s="154"/>
      <c r="I40" s="658"/>
      <c r="J40" s="190"/>
      <c r="K40" s="102"/>
      <c r="L40" s="51"/>
    </row>
    <row r="41" spans="1:12" s="16" customFormat="1" ht="24" customHeight="1" x14ac:dyDescent="0.3">
      <c r="A41" s="41"/>
      <c r="B41" s="147"/>
      <c r="C41" s="158">
        <v>9</v>
      </c>
      <c r="D41" s="661"/>
      <c r="E41" s="158"/>
      <c r="F41" s="159"/>
      <c r="G41" s="158"/>
      <c r="H41" s="158"/>
      <c r="I41" s="661"/>
      <c r="J41" s="191"/>
      <c r="K41" s="102"/>
      <c r="L41" s="51"/>
    </row>
    <row r="42" spans="1:12" s="16" customFormat="1" ht="24" customHeight="1" x14ac:dyDescent="0.3">
      <c r="A42" s="41"/>
      <c r="B42" s="147"/>
      <c r="C42" s="152">
        <v>10</v>
      </c>
      <c r="D42" s="657"/>
      <c r="E42" s="152"/>
      <c r="F42" s="153"/>
      <c r="G42" s="152"/>
      <c r="H42" s="152"/>
      <c r="I42" s="657"/>
      <c r="J42" s="192"/>
      <c r="K42" s="102"/>
      <c r="L42" s="51"/>
    </row>
    <row r="43" spans="1:12" s="16" customFormat="1" ht="24" customHeight="1" x14ac:dyDescent="0.3">
      <c r="A43" s="41"/>
      <c r="B43" s="147"/>
      <c r="C43" s="154">
        <v>11</v>
      </c>
      <c r="D43" s="658"/>
      <c r="E43" s="154"/>
      <c r="F43" s="157"/>
      <c r="G43" s="154"/>
      <c r="H43" s="154"/>
      <c r="I43" s="658"/>
      <c r="J43" s="190"/>
      <c r="K43" s="102"/>
      <c r="L43" s="51"/>
    </row>
    <row r="44" spans="1:12" s="16" customFormat="1" ht="24" customHeight="1" x14ac:dyDescent="0.3">
      <c r="A44" s="41"/>
      <c r="B44" s="147"/>
      <c r="C44" s="162">
        <v>12</v>
      </c>
      <c r="D44" s="659"/>
      <c r="E44" s="162"/>
      <c r="F44" s="164"/>
      <c r="G44" s="162"/>
      <c r="H44" s="162"/>
      <c r="I44" s="659"/>
      <c r="J44" s="193"/>
      <c r="K44" s="102"/>
      <c r="L44" s="51"/>
    </row>
    <row r="45" spans="1:12" s="16" customFormat="1" ht="24" customHeight="1" x14ac:dyDescent="0.3">
      <c r="A45" s="41"/>
      <c r="B45" s="147"/>
      <c r="C45" s="172">
        <v>13</v>
      </c>
      <c r="D45" s="660"/>
      <c r="E45" s="172"/>
      <c r="F45" s="180"/>
      <c r="G45" s="172"/>
      <c r="H45" s="172"/>
      <c r="I45" s="660"/>
      <c r="J45" s="195"/>
      <c r="K45" s="102"/>
      <c r="L45" s="51"/>
    </row>
    <row r="46" spans="1:12" s="16" customFormat="1" ht="24" customHeight="1" x14ac:dyDescent="0.3">
      <c r="A46" s="41"/>
      <c r="B46" s="147"/>
      <c r="C46" s="154">
        <v>14</v>
      </c>
      <c r="D46" s="658"/>
      <c r="E46" s="154"/>
      <c r="F46" s="157"/>
      <c r="G46" s="154"/>
      <c r="H46" s="154"/>
      <c r="I46" s="658"/>
      <c r="J46" s="190"/>
      <c r="K46" s="102"/>
      <c r="L46" s="51"/>
    </row>
    <row r="47" spans="1:12" s="16" customFormat="1" ht="24" customHeight="1" x14ac:dyDescent="0.3">
      <c r="A47" s="41"/>
      <c r="B47" s="147"/>
      <c r="C47" s="158">
        <v>15</v>
      </c>
      <c r="D47" s="661"/>
      <c r="E47" s="158"/>
      <c r="F47" s="159"/>
      <c r="G47" s="158"/>
      <c r="H47" s="158"/>
      <c r="I47" s="661"/>
      <c r="J47" s="191"/>
      <c r="K47" s="102"/>
      <c r="L47" s="51"/>
    </row>
    <row r="48" spans="1:12" s="16" customFormat="1" ht="24" customHeight="1" x14ac:dyDescent="0.3">
      <c r="A48" s="41"/>
      <c r="B48" s="147"/>
      <c r="C48" s="152">
        <v>16</v>
      </c>
      <c r="D48" s="657"/>
      <c r="E48" s="152"/>
      <c r="F48" s="153"/>
      <c r="G48" s="152"/>
      <c r="H48" s="152"/>
      <c r="I48" s="657"/>
      <c r="J48" s="192"/>
      <c r="K48" s="102"/>
      <c r="L48" s="51"/>
    </row>
    <row r="49" spans="1:12" s="16" customFormat="1" ht="24" customHeight="1" x14ac:dyDescent="0.3">
      <c r="A49" s="41"/>
      <c r="B49" s="147"/>
      <c r="C49" s="154">
        <v>17</v>
      </c>
      <c r="D49" s="658"/>
      <c r="E49" s="154"/>
      <c r="F49" s="157"/>
      <c r="G49" s="154"/>
      <c r="H49" s="154"/>
      <c r="I49" s="658"/>
      <c r="J49" s="190"/>
      <c r="K49" s="102"/>
      <c r="L49" s="18"/>
    </row>
    <row r="50" spans="1:12" s="16" customFormat="1" ht="24" customHeight="1" x14ac:dyDescent="0.3">
      <c r="A50" s="41"/>
      <c r="B50" s="147"/>
      <c r="C50" s="162">
        <v>18</v>
      </c>
      <c r="D50" s="659"/>
      <c r="E50" s="162"/>
      <c r="F50" s="164"/>
      <c r="G50" s="162"/>
      <c r="H50" s="162"/>
      <c r="I50" s="659"/>
      <c r="J50" s="193"/>
      <c r="K50" s="102"/>
      <c r="L50" s="18"/>
    </row>
    <row r="51" spans="1:12" s="16" customFormat="1" ht="24" customHeight="1" x14ac:dyDescent="0.3">
      <c r="A51" s="41"/>
      <c r="B51" s="147"/>
      <c r="C51" s="172">
        <v>19</v>
      </c>
      <c r="D51" s="660"/>
      <c r="E51" s="172"/>
      <c r="F51" s="180"/>
      <c r="G51" s="172"/>
      <c r="H51" s="172"/>
      <c r="I51" s="660"/>
      <c r="J51" s="195"/>
      <c r="K51" s="102"/>
      <c r="L51" s="51"/>
    </row>
    <row r="52" spans="1:12" s="16" customFormat="1" ht="24" customHeight="1" x14ac:dyDescent="0.3">
      <c r="A52" s="41"/>
      <c r="B52" s="147"/>
      <c r="C52" s="154">
        <v>20</v>
      </c>
      <c r="D52" s="658"/>
      <c r="E52" s="154"/>
      <c r="F52" s="157"/>
      <c r="G52" s="154"/>
      <c r="H52" s="154"/>
      <c r="I52" s="658"/>
      <c r="J52" s="190"/>
      <c r="K52" s="102"/>
      <c r="L52" s="51"/>
    </row>
    <row r="53" spans="1:12" s="16" customFormat="1" ht="24" customHeight="1" x14ac:dyDescent="0.3">
      <c r="A53" s="41"/>
      <c r="B53" s="147"/>
      <c r="C53" s="158">
        <v>21</v>
      </c>
      <c r="D53" s="661"/>
      <c r="E53" s="158"/>
      <c r="F53" s="159"/>
      <c r="G53" s="158"/>
      <c r="H53" s="158"/>
      <c r="I53" s="661"/>
      <c r="J53" s="191"/>
      <c r="K53" s="102"/>
      <c r="L53" s="51"/>
    </row>
    <row r="54" spans="1:12" s="16" customFormat="1" ht="24" customHeight="1" x14ac:dyDescent="0.3">
      <c r="A54" s="41"/>
      <c r="B54" s="147"/>
      <c r="C54" s="152">
        <v>22</v>
      </c>
      <c r="D54" s="657"/>
      <c r="E54" s="152"/>
      <c r="F54" s="153"/>
      <c r="G54" s="152"/>
      <c r="H54" s="152"/>
      <c r="I54" s="657"/>
      <c r="J54" s="192"/>
      <c r="K54" s="102"/>
      <c r="L54" s="51"/>
    </row>
    <row r="55" spans="1:12" s="16" customFormat="1" ht="24" customHeight="1" x14ac:dyDescent="0.3">
      <c r="A55" s="41"/>
      <c r="B55" s="147"/>
      <c r="C55" s="154">
        <v>23</v>
      </c>
      <c r="D55" s="658"/>
      <c r="E55" s="154"/>
      <c r="F55" s="157"/>
      <c r="G55" s="154"/>
      <c r="H55" s="154"/>
      <c r="I55" s="658"/>
      <c r="J55" s="190"/>
      <c r="K55" s="102"/>
      <c r="L55" s="51"/>
    </row>
    <row r="56" spans="1:12" s="16" customFormat="1" ht="24" customHeight="1" x14ac:dyDescent="0.3">
      <c r="A56" s="41"/>
      <c r="B56" s="147"/>
      <c r="C56" s="162">
        <v>24</v>
      </c>
      <c r="D56" s="659"/>
      <c r="E56" s="162"/>
      <c r="F56" s="164"/>
      <c r="G56" s="162"/>
      <c r="H56" s="162"/>
      <c r="I56" s="659"/>
      <c r="J56" s="193"/>
      <c r="K56" s="102"/>
      <c r="L56" s="51"/>
    </row>
    <row r="57" spans="1:12" s="16" customFormat="1" ht="24" customHeight="1" x14ac:dyDescent="0.3">
      <c r="A57" s="41"/>
      <c r="B57" s="147"/>
      <c r="C57" s="172">
        <v>25</v>
      </c>
      <c r="D57" s="660"/>
      <c r="E57" s="172"/>
      <c r="F57" s="180"/>
      <c r="G57" s="172"/>
      <c r="H57" s="172"/>
      <c r="I57" s="660"/>
      <c r="J57" s="195"/>
      <c r="K57" s="102"/>
      <c r="L57" s="51"/>
    </row>
    <row r="58" spans="1:12" s="16" customFormat="1" ht="24" customHeight="1" x14ac:dyDescent="0.3">
      <c r="A58" s="41"/>
      <c r="B58" s="147"/>
      <c r="C58" s="154">
        <v>26</v>
      </c>
      <c r="D58" s="658"/>
      <c r="E58" s="154"/>
      <c r="F58" s="157"/>
      <c r="G58" s="154"/>
      <c r="H58" s="154"/>
      <c r="I58" s="658"/>
      <c r="J58" s="190"/>
      <c r="K58" s="102"/>
      <c r="L58" s="51"/>
    </row>
    <row r="59" spans="1:12" s="16" customFormat="1" ht="24" customHeight="1" x14ac:dyDescent="0.3">
      <c r="A59" s="41"/>
      <c r="B59" s="147"/>
      <c r="C59" s="158">
        <v>27</v>
      </c>
      <c r="D59" s="661"/>
      <c r="E59" s="158"/>
      <c r="F59" s="159"/>
      <c r="G59" s="158"/>
      <c r="H59" s="158"/>
      <c r="I59" s="661"/>
      <c r="J59" s="191"/>
      <c r="K59" s="102"/>
      <c r="L59" s="51"/>
    </row>
    <row r="60" spans="1:12" s="16" customFormat="1" ht="24" customHeight="1" x14ac:dyDescent="0.3">
      <c r="A60" s="41"/>
      <c r="B60" s="31"/>
      <c r="C60" s="152">
        <v>28</v>
      </c>
      <c r="D60" s="657"/>
      <c r="E60" s="152"/>
      <c r="F60" s="153"/>
      <c r="G60" s="152"/>
      <c r="H60" s="152"/>
      <c r="I60" s="657"/>
      <c r="J60" s="192"/>
      <c r="K60" s="102"/>
      <c r="L60" s="53"/>
    </row>
    <row r="61" spans="1:12" s="16" customFormat="1" ht="24" customHeight="1" x14ac:dyDescent="0.3">
      <c r="A61" s="41"/>
      <c r="B61" s="31"/>
      <c r="C61" s="154">
        <v>29</v>
      </c>
      <c r="D61" s="658"/>
      <c r="E61" s="154"/>
      <c r="F61" s="157"/>
      <c r="G61" s="154"/>
      <c r="H61" s="154"/>
      <c r="I61" s="658"/>
      <c r="J61" s="190"/>
      <c r="K61" s="102"/>
      <c r="L61" s="51"/>
    </row>
    <row r="62" spans="1:12" s="16" customFormat="1" ht="24" customHeight="1" x14ac:dyDescent="0.3">
      <c r="A62" s="144"/>
      <c r="B62" s="142"/>
      <c r="C62" s="162">
        <v>30</v>
      </c>
      <c r="D62" s="659"/>
      <c r="E62" s="162"/>
      <c r="F62" s="164"/>
      <c r="G62" s="162"/>
      <c r="H62" s="162"/>
      <c r="I62" s="659"/>
      <c r="J62" s="193"/>
      <c r="K62" s="101"/>
      <c r="L62" s="51"/>
    </row>
  </sheetData>
  <mergeCells count="42">
    <mergeCell ref="A34:B34"/>
    <mergeCell ref="D39:D41"/>
    <mergeCell ref="I39:I41"/>
    <mergeCell ref="A35:B35"/>
    <mergeCell ref="D42:D44"/>
    <mergeCell ref="I42:I44"/>
    <mergeCell ref="D33:D35"/>
    <mergeCell ref="I33:I35"/>
    <mergeCell ref="A18:B18"/>
    <mergeCell ref="D29:D32"/>
    <mergeCell ref="I29:I32"/>
    <mergeCell ref="D17:D20"/>
    <mergeCell ref="I17:I20"/>
    <mergeCell ref="A19:B19"/>
    <mergeCell ref="D21:D24"/>
    <mergeCell ref="I21:I24"/>
    <mergeCell ref="D25:D28"/>
    <mergeCell ref="I25:I28"/>
    <mergeCell ref="A1:J1"/>
    <mergeCell ref="E4:H4"/>
    <mergeCell ref="D5:D8"/>
    <mergeCell ref="I5:I8"/>
    <mergeCell ref="A6:B6"/>
    <mergeCell ref="A7:B7"/>
    <mergeCell ref="D9:D12"/>
    <mergeCell ref="I9:I12"/>
    <mergeCell ref="D51:D53"/>
    <mergeCell ref="I51:I53"/>
    <mergeCell ref="D36:D38"/>
    <mergeCell ref="I36:I38"/>
    <mergeCell ref="D13:D16"/>
    <mergeCell ref="I13:I16"/>
    <mergeCell ref="I57:I59"/>
    <mergeCell ref="D60:D62"/>
    <mergeCell ref="I60:I62"/>
    <mergeCell ref="D57:D59"/>
    <mergeCell ref="D45:D47"/>
    <mergeCell ref="I45:I47"/>
    <mergeCell ref="D54:D56"/>
    <mergeCell ref="I54:I56"/>
    <mergeCell ref="D48:D50"/>
    <mergeCell ref="I48:I50"/>
  </mergeCells>
  <phoneticPr fontId="27" type="noConversion"/>
  <pageMargins left="0.7" right="0.7" top="0.75" bottom="0.75" header="0.3" footer="0.3"/>
  <pageSetup paperSize="9" scale="4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6"/>
  <sheetViews>
    <sheetView zoomScale="85" zoomScaleNormal="85" workbookViewId="0">
      <selection activeCell="F11" sqref="F11"/>
    </sheetView>
  </sheetViews>
  <sheetFormatPr defaultRowHeight="16.5" x14ac:dyDescent="0.3"/>
  <cols>
    <col min="1" max="2" width="12.625" style="6" customWidth="1"/>
    <col min="3" max="4" width="7.625" style="6" customWidth="1"/>
    <col min="5" max="5" width="5.625" style="18" customWidth="1"/>
    <col min="6" max="6" width="12.625" style="19" customWidth="1"/>
    <col min="7" max="7" width="5.625" style="18" customWidth="1"/>
    <col min="8" max="8" width="21.75" style="18" bestFit="1" customWidth="1"/>
    <col min="9" max="9" width="7.625" style="6" customWidth="1"/>
    <col min="10" max="10" width="76" style="6" customWidth="1"/>
    <col min="11" max="11" width="17.25" style="6" customWidth="1"/>
    <col min="12" max="12" width="14.5" style="18" customWidth="1"/>
    <col min="13" max="13" width="4.125" style="6" customWidth="1"/>
    <col min="14" max="16384" width="9" style="6"/>
  </cols>
  <sheetData>
    <row r="1" spans="1:12" ht="38.25" x14ac:dyDescent="0.3">
      <c r="A1" s="626" t="s">
        <v>810</v>
      </c>
      <c r="B1" s="626"/>
      <c r="C1" s="626"/>
      <c r="D1" s="626"/>
      <c r="E1" s="626"/>
      <c r="F1" s="626"/>
      <c r="G1" s="626"/>
      <c r="H1" s="626"/>
      <c r="I1" s="626"/>
      <c r="J1" s="626"/>
      <c r="K1" s="94"/>
    </row>
    <row r="3" spans="1:12" x14ac:dyDescent="0.3">
      <c r="J3" s="59"/>
      <c r="K3" s="59"/>
    </row>
    <row r="4" spans="1:12" ht="30" customHeight="1" x14ac:dyDescent="0.15">
      <c r="A4" s="181" t="s">
        <v>0</v>
      </c>
      <c r="B4" s="182" t="s">
        <v>1</v>
      </c>
      <c r="C4" s="182" t="s">
        <v>2</v>
      </c>
      <c r="D4" s="182" t="s">
        <v>3</v>
      </c>
      <c r="E4" s="627" t="s">
        <v>4</v>
      </c>
      <c r="F4" s="627"/>
      <c r="G4" s="627"/>
      <c r="H4" s="627"/>
      <c r="I4" s="182" t="s">
        <v>3</v>
      </c>
      <c r="J4" s="183" t="s">
        <v>5</v>
      </c>
      <c r="K4" s="100"/>
    </row>
    <row r="5" spans="1:12" s="107" customFormat="1" ht="24" customHeight="1" x14ac:dyDescent="0.3">
      <c r="A5" s="141" t="s">
        <v>34</v>
      </c>
      <c r="B5" s="194" t="s">
        <v>48</v>
      </c>
      <c r="C5" s="421">
        <v>1</v>
      </c>
      <c r="D5" s="606" t="s">
        <v>199</v>
      </c>
      <c r="E5" s="425" t="s">
        <v>28</v>
      </c>
      <c r="F5" s="333" t="s">
        <v>736</v>
      </c>
      <c r="G5" s="332" t="s">
        <v>429</v>
      </c>
      <c r="H5" s="517" t="s">
        <v>933</v>
      </c>
      <c r="I5" s="606" t="s">
        <v>199</v>
      </c>
      <c r="J5" s="192" t="s">
        <v>49</v>
      </c>
      <c r="K5" s="102"/>
      <c r="L5" s="106"/>
    </row>
    <row r="6" spans="1:12" s="16" customFormat="1" ht="24" customHeight="1" x14ac:dyDescent="0.3">
      <c r="A6" s="607" t="s">
        <v>197</v>
      </c>
      <c r="B6" s="695"/>
      <c r="C6" s="422">
        <v>2</v>
      </c>
      <c r="D6" s="644"/>
      <c r="E6" s="41" t="s">
        <v>28</v>
      </c>
      <c r="F6" s="38" t="s">
        <v>736</v>
      </c>
      <c r="G6" s="26" t="s">
        <v>29</v>
      </c>
      <c r="H6" s="31" t="s">
        <v>934</v>
      </c>
      <c r="I6" s="644"/>
      <c r="J6" s="192" t="s">
        <v>935</v>
      </c>
      <c r="K6" s="102"/>
      <c r="L6" s="51"/>
    </row>
    <row r="7" spans="1:12" s="16" customFormat="1" ht="24" customHeight="1" x14ac:dyDescent="0.3">
      <c r="A7" s="613" t="s">
        <v>491</v>
      </c>
      <c r="B7" s="696"/>
      <c r="C7" s="422">
        <v>3</v>
      </c>
      <c r="D7" s="644"/>
      <c r="E7" s="426" t="s">
        <v>680</v>
      </c>
      <c r="F7" s="427" t="s">
        <v>680</v>
      </c>
      <c r="G7" s="428" t="s">
        <v>680</v>
      </c>
      <c r="H7" s="429" t="s">
        <v>680</v>
      </c>
      <c r="I7" s="644"/>
      <c r="J7" s="410" t="s">
        <v>680</v>
      </c>
      <c r="K7" s="102"/>
      <c r="L7" s="51"/>
    </row>
    <row r="8" spans="1:12" s="39" customFormat="1" ht="24" customHeight="1" x14ac:dyDescent="0.3">
      <c r="A8" s="41"/>
      <c r="B8" s="31"/>
      <c r="C8" s="422">
        <v>4</v>
      </c>
      <c r="D8" s="644"/>
      <c r="E8" s="426" t="s">
        <v>680</v>
      </c>
      <c r="F8" s="427" t="s">
        <v>680</v>
      </c>
      <c r="G8" s="428" t="s">
        <v>680</v>
      </c>
      <c r="H8" s="429" t="s">
        <v>680</v>
      </c>
      <c r="I8" s="644"/>
      <c r="J8" s="410" t="s">
        <v>680</v>
      </c>
      <c r="K8" s="102"/>
      <c r="L8" s="52"/>
    </row>
    <row r="9" spans="1:12" s="16" customFormat="1" ht="24" customHeight="1" x14ac:dyDescent="0.3">
      <c r="A9" s="41"/>
      <c r="B9" s="31"/>
      <c r="C9" s="422">
        <v>5</v>
      </c>
      <c r="D9" s="644"/>
      <c r="E9" s="426" t="s">
        <v>680</v>
      </c>
      <c r="F9" s="427" t="s">
        <v>680</v>
      </c>
      <c r="G9" s="428" t="s">
        <v>680</v>
      </c>
      <c r="H9" s="429" t="s">
        <v>680</v>
      </c>
      <c r="I9" s="644"/>
      <c r="J9" s="410" t="s">
        <v>680</v>
      </c>
      <c r="K9" s="102"/>
      <c r="L9" s="51"/>
    </row>
    <row r="10" spans="1:12" s="16" customFormat="1" ht="24" customHeight="1" x14ac:dyDescent="0.3">
      <c r="A10" s="41"/>
      <c r="B10" s="31"/>
      <c r="C10" s="422">
        <v>6</v>
      </c>
      <c r="D10" s="644"/>
      <c r="E10" s="426" t="s">
        <v>680</v>
      </c>
      <c r="F10" s="427" t="s">
        <v>680</v>
      </c>
      <c r="G10" s="428" t="s">
        <v>680</v>
      </c>
      <c r="H10" s="429" t="s">
        <v>680</v>
      </c>
      <c r="I10" s="644"/>
      <c r="J10" s="410" t="s">
        <v>680</v>
      </c>
      <c r="K10" s="101"/>
      <c r="L10" s="51"/>
    </row>
    <row r="11" spans="1:12" s="16" customFormat="1" ht="24" customHeight="1" x14ac:dyDescent="0.3">
      <c r="A11" s="41"/>
      <c r="B11" s="31"/>
      <c r="C11" s="422">
        <v>7</v>
      </c>
      <c r="D11" s="644"/>
      <c r="E11" s="426" t="s">
        <v>680</v>
      </c>
      <c r="F11" s="427" t="s">
        <v>680</v>
      </c>
      <c r="G11" s="428" t="s">
        <v>680</v>
      </c>
      <c r="H11" s="429" t="s">
        <v>680</v>
      </c>
      <c r="I11" s="644"/>
      <c r="J11" s="410" t="s">
        <v>680</v>
      </c>
      <c r="K11" s="101"/>
      <c r="L11" s="18"/>
    </row>
    <row r="12" spans="1:12" s="16" customFormat="1" ht="24" customHeight="1" x14ac:dyDescent="0.3">
      <c r="A12" s="41"/>
      <c r="B12" s="31"/>
      <c r="C12" s="422">
        <v>8</v>
      </c>
      <c r="D12" s="644"/>
      <c r="E12" s="426" t="s">
        <v>680</v>
      </c>
      <c r="F12" s="427" t="s">
        <v>680</v>
      </c>
      <c r="G12" s="428" t="s">
        <v>680</v>
      </c>
      <c r="H12" s="429" t="s">
        <v>680</v>
      </c>
      <c r="I12" s="644"/>
      <c r="J12" s="410" t="s">
        <v>680</v>
      </c>
      <c r="K12" s="102"/>
      <c r="L12" s="18"/>
    </row>
    <row r="13" spans="1:12" s="16" customFormat="1" ht="24" customHeight="1" x14ac:dyDescent="0.3">
      <c r="A13" s="41"/>
      <c r="B13" s="31"/>
      <c r="C13" s="422">
        <v>9</v>
      </c>
      <c r="D13" s="644"/>
      <c r="E13" s="426" t="s">
        <v>680</v>
      </c>
      <c r="F13" s="427" t="s">
        <v>680</v>
      </c>
      <c r="G13" s="428" t="s">
        <v>680</v>
      </c>
      <c r="H13" s="429" t="s">
        <v>680</v>
      </c>
      <c r="I13" s="644"/>
      <c r="J13" s="410" t="s">
        <v>680</v>
      </c>
      <c r="K13" s="102"/>
      <c r="L13" s="18"/>
    </row>
    <row r="14" spans="1:12" s="16" customFormat="1" ht="24" customHeight="1" x14ac:dyDescent="0.3">
      <c r="A14" s="41"/>
      <c r="B14" s="31"/>
      <c r="C14" s="422">
        <v>10</v>
      </c>
      <c r="D14" s="644"/>
      <c r="E14" s="426" t="s">
        <v>680</v>
      </c>
      <c r="F14" s="427" t="s">
        <v>680</v>
      </c>
      <c r="G14" s="428" t="s">
        <v>680</v>
      </c>
      <c r="H14" s="429" t="s">
        <v>680</v>
      </c>
      <c r="I14" s="644"/>
      <c r="J14" s="410" t="s">
        <v>680</v>
      </c>
      <c r="K14" s="102"/>
      <c r="L14" s="51"/>
    </row>
    <row r="15" spans="1:12" s="16" customFormat="1" ht="24" customHeight="1" x14ac:dyDescent="0.3">
      <c r="A15" s="41"/>
      <c r="B15" s="31"/>
      <c r="C15" s="422">
        <v>11</v>
      </c>
      <c r="D15" s="644"/>
      <c r="E15" s="426" t="s">
        <v>680</v>
      </c>
      <c r="F15" s="427" t="s">
        <v>680</v>
      </c>
      <c r="G15" s="428" t="s">
        <v>680</v>
      </c>
      <c r="H15" s="429" t="s">
        <v>680</v>
      </c>
      <c r="I15" s="644"/>
      <c r="J15" s="410" t="s">
        <v>680</v>
      </c>
      <c r="K15" s="102"/>
      <c r="L15" s="51"/>
    </row>
    <row r="16" spans="1:12" s="16" customFormat="1" ht="24" customHeight="1" x14ac:dyDescent="0.3">
      <c r="A16" s="144"/>
      <c r="B16" s="142"/>
      <c r="C16" s="423">
        <v>12</v>
      </c>
      <c r="D16" s="645"/>
      <c r="E16" s="426" t="s">
        <v>680</v>
      </c>
      <c r="F16" s="427" t="s">
        <v>680</v>
      </c>
      <c r="G16" s="428" t="s">
        <v>680</v>
      </c>
      <c r="H16" s="429" t="s">
        <v>680</v>
      </c>
      <c r="I16" s="645"/>
      <c r="J16" s="410" t="s">
        <v>680</v>
      </c>
      <c r="K16" s="101"/>
      <c r="L16" s="18"/>
    </row>
    <row r="17" spans="1:12" s="16" customFormat="1" ht="24" customHeight="1" x14ac:dyDescent="0.3">
      <c r="A17" s="697" t="s">
        <v>196</v>
      </c>
      <c r="B17" s="698"/>
      <c r="C17" s="152">
        <v>1</v>
      </c>
      <c r="D17" s="699" t="s">
        <v>73</v>
      </c>
      <c r="E17" s="430" t="s">
        <v>680</v>
      </c>
      <c r="F17" s="333"/>
      <c r="G17" s="433" t="s">
        <v>680</v>
      </c>
      <c r="H17" s="424"/>
      <c r="I17" s="699" t="s">
        <v>73</v>
      </c>
      <c r="J17" s="192"/>
      <c r="K17" s="102"/>
      <c r="L17" s="18"/>
    </row>
    <row r="18" spans="1:12" s="39" customFormat="1" ht="24" customHeight="1" x14ac:dyDescent="0.3">
      <c r="A18" s="41"/>
      <c r="B18" s="31"/>
      <c r="C18" s="154">
        <v>2</v>
      </c>
      <c r="D18" s="700"/>
      <c r="E18" s="426" t="s">
        <v>680</v>
      </c>
      <c r="F18" s="427"/>
      <c r="G18" s="428" t="s">
        <v>680</v>
      </c>
      <c r="H18" s="147"/>
      <c r="I18" s="700"/>
      <c r="J18" s="190"/>
      <c r="K18" s="136"/>
      <c r="L18" s="52"/>
    </row>
    <row r="19" spans="1:12" s="16" customFormat="1" ht="24" customHeight="1" x14ac:dyDescent="0.3">
      <c r="A19" s="41"/>
      <c r="B19" s="31"/>
      <c r="C19" s="154">
        <v>3</v>
      </c>
      <c r="D19" s="700"/>
      <c r="E19" s="426" t="s">
        <v>680</v>
      </c>
      <c r="F19" s="427" t="s">
        <v>680</v>
      </c>
      <c r="G19" s="428" t="s">
        <v>680</v>
      </c>
      <c r="H19" s="429" t="s">
        <v>680</v>
      </c>
      <c r="I19" s="700"/>
      <c r="J19" s="410" t="s">
        <v>680</v>
      </c>
      <c r="K19" s="102"/>
      <c r="L19" s="51"/>
    </row>
    <row r="20" spans="1:12" s="16" customFormat="1" ht="24" customHeight="1" x14ac:dyDescent="0.3">
      <c r="A20" s="144"/>
      <c r="B20" s="142"/>
      <c r="C20" s="162">
        <v>4</v>
      </c>
      <c r="D20" s="701"/>
      <c r="E20" s="431" t="s">
        <v>680</v>
      </c>
      <c r="F20" s="432" t="s">
        <v>680</v>
      </c>
      <c r="G20" s="434" t="s">
        <v>680</v>
      </c>
      <c r="H20" s="435" t="s">
        <v>680</v>
      </c>
      <c r="I20" s="701"/>
      <c r="J20" s="415" t="s">
        <v>680</v>
      </c>
      <c r="K20" s="101"/>
      <c r="L20" s="51"/>
    </row>
    <row r="21" spans="1:12" s="16" customFormat="1" ht="24" customHeight="1" x14ac:dyDescent="0.3">
      <c r="A21" s="419" t="s">
        <v>34</v>
      </c>
      <c r="B21" s="420" t="s">
        <v>47</v>
      </c>
      <c r="C21" s="152">
        <v>1</v>
      </c>
      <c r="D21" s="606" t="s">
        <v>199</v>
      </c>
      <c r="E21" s="425" t="s">
        <v>28</v>
      </c>
      <c r="F21" s="333" t="s">
        <v>736</v>
      </c>
      <c r="G21" s="332" t="s">
        <v>429</v>
      </c>
      <c r="H21" s="517" t="s">
        <v>844</v>
      </c>
      <c r="I21" s="606" t="s">
        <v>199</v>
      </c>
      <c r="J21" s="518" t="s">
        <v>846</v>
      </c>
      <c r="K21" s="102" t="s">
        <v>848</v>
      </c>
      <c r="L21" s="93"/>
    </row>
    <row r="22" spans="1:12" s="16" customFormat="1" ht="24" customHeight="1" x14ac:dyDescent="0.3">
      <c r="A22" s="607" t="s">
        <v>197</v>
      </c>
      <c r="B22" s="695"/>
      <c r="C22" s="154">
        <v>2</v>
      </c>
      <c r="D22" s="644"/>
      <c r="E22" s="41" t="s">
        <v>28</v>
      </c>
      <c r="F22" s="38" t="s">
        <v>736</v>
      </c>
      <c r="G22" s="26" t="s">
        <v>29</v>
      </c>
      <c r="H22" s="31" t="s">
        <v>845</v>
      </c>
      <c r="I22" s="644"/>
      <c r="J22" s="154" t="s">
        <v>847</v>
      </c>
      <c r="K22" s="102" t="s">
        <v>848</v>
      </c>
      <c r="L22" s="53"/>
    </row>
    <row r="23" spans="1:12" s="16" customFormat="1" ht="24" customHeight="1" x14ac:dyDescent="0.3">
      <c r="A23" s="613" t="s">
        <v>491</v>
      </c>
      <c r="B23" s="696"/>
      <c r="C23" s="154">
        <v>3</v>
      </c>
      <c r="D23" s="644"/>
      <c r="E23" s="426" t="s">
        <v>680</v>
      </c>
      <c r="F23" s="427" t="s">
        <v>680</v>
      </c>
      <c r="G23" s="428" t="s">
        <v>680</v>
      </c>
      <c r="H23" s="429" t="s">
        <v>680</v>
      </c>
      <c r="I23" s="644"/>
      <c r="J23" s="410" t="s">
        <v>680</v>
      </c>
      <c r="K23" s="102"/>
      <c r="L23" s="93"/>
    </row>
    <row r="24" spans="1:12" s="16" customFormat="1" ht="24" customHeight="1" x14ac:dyDescent="0.3">
      <c r="A24" s="41"/>
      <c r="B24" s="31"/>
      <c r="C24" s="154">
        <v>4</v>
      </c>
      <c r="D24" s="644"/>
      <c r="E24" s="41"/>
      <c r="F24" s="38"/>
      <c r="G24" s="26"/>
      <c r="H24" s="147"/>
      <c r="I24" s="644"/>
      <c r="J24" s="190"/>
      <c r="K24" s="136"/>
      <c r="L24" s="51"/>
    </row>
    <row r="25" spans="1:12" s="16" customFormat="1" ht="24" customHeight="1" x14ac:dyDescent="0.3">
      <c r="A25" s="41"/>
      <c r="B25" s="31"/>
      <c r="C25" s="154">
        <v>5</v>
      </c>
      <c r="D25" s="644"/>
      <c r="E25" s="41"/>
      <c r="F25" s="38"/>
      <c r="G25" s="26"/>
      <c r="H25" s="147"/>
      <c r="I25" s="644"/>
      <c r="J25" s="190"/>
      <c r="K25" s="102"/>
      <c r="L25" s="51"/>
    </row>
    <row r="26" spans="1:12" s="16" customFormat="1" ht="24" customHeight="1" x14ac:dyDescent="0.3">
      <c r="A26" s="41"/>
      <c r="B26" s="31"/>
      <c r="C26" s="154">
        <v>6</v>
      </c>
      <c r="D26" s="644"/>
      <c r="E26" s="41"/>
      <c r="F26" s="38"/>
      <c r="G26" s="26"/>
      <c r="H26" s="147"/>
      <c r="I26" s="644"/>
      <c r="J26" s="190"/>
      <c r="K26" s="102"/>
      <c r="L26" s="51"/>
    </row>
    <row r="27" spans="1:12" s="16" customFormat="1" ht="24" customHeight="1" x14ac:dyDescent="0.3">
      <c r="A27" s="41"/>
      <c r="B27" s="31"/>
      <c r="C27" s="154">
        <v>7</v>
      </c>
      <c r="D27" s="644"/>
      <c r="E27" s="41"/>
      <c r="F27" s="38"/>
      <c r="G27" s="26"/>
      <c r="H27" s="147"/>
      <c r="I27" s="644"/>
      <c r="J27" s="190"/>
      <c r="K27" s="102"/>
      <c r="L27" s="51"/>
    </row>
    <row r="28" spans="1:12" s="16" customFormat="1" ht="24" customHeight="1" x14ac:dyDescent="0.3">
      <c r="A28" s="41"/>
      <c r="B28" s="31"/>
      <c r="C28" s="154">
        <v>8</v>
      </c>
      <c r="D28" s="644"/>
      <c r="E28" s="426" t="s">
        <v>680</v>
      </c>
      <c r="F28" s="427" t="s">
        <v>680</v>
      </c>
      <c r="G28" s="428" t="s">
        <v>680</v>
      </c>
      <c r="H28" s="429" t="s">
        <v>680</v>
      </c>
      <c r="I28" s="644"/>
      <c r="J28" s="410" t="s">
        <v>680</v>
      </c>
      <c r="K28" s="101"/>
      <c r="L28" s="51"/>
    </row>
    <row r="29" spans="1:12" s="16" customFormat="1" ht="24" customHeight="1" x14ac:dyDescent="0.3">
      <c r="A29" s="41"/>
      <c r="B29" s="31"/>
      <c r="C29" s="154">
        <v>9</v>
      </c>
      <c r="D29" s="644"/>
      <c r="E29" s="426" t="s">
        <v>680</v>
      </c>
      <c r="F29" s="427" t="s">
        <v>680</v>
      </c>
      <c r="G29" s="428" t="s">
        <v>680</v>
      </c>
      <c r="H29" s="429" t="s">
        <v>680</v>
      </c>
      <c r="I29" s="644"/>
      <c r="J29" s="410" t="s">
        <v>680</v>
      </c>
      <c r="K29" s="101"/>
      <c r="L29" s="51"/>
    </row>
    <row r="30" spans="1:12" s="16" customFormat="1" ht="24" customHeight="1" x14ac:dyDescent="0.3">
      <c r="A30" s="41"/>
      <c r="B30" s="31"/>
      <c r="C30" s="154">
        <v>10</v>
      </c>
      <c r="D30" s="644"/>
      <c r="E30" s="426" t="s">
        <v>680</v>
      </c>
      <c r="F30" s="427" t="s">
        <v>680</v>
      </c>
      <c r="G30" s="428" t="s">
        <v>680</v>
      </c>
      <c r="H30" s="429" t="s">
        <v>680</v>
      </c>
      <c r="I30" s="644"/>
      <c r="J30" s="410" t="s">
        <v>680</v>
      </c>
      <c r="K30" s="101"/>
      <c r="L30" s="51"/>
    </row>
    <row r="31" spans="1:12" s="16" customFormat="1" ht="24" customHeight="1" x14ac:dyDescent="0.3">
      <c r="A31" s="41"/>
      <c r="B31" s="31"/>
      <c r="C31" s="154">
        <v>11</v>
      </c>
      <c r="D31" s="644"/>
      <c r="E31" s="426" t="s">
        <v>680</v>
      </c>
      <c r="F31" s="427" t="s">
        <v>680</v>
      </c>
      <c r="G31" s="428" t="s">
        <v>680</v>
      </c>
      <c r="H31" s="429" t="s">
        <v>680</v>
      </c>
      <c r="I31" s="644"/>
      <c r="J31" s="410" t="s">
        <v>680</v>
      </c>
      <c r="K31" s="101"/>
      <c r="L31" s="51"/>
    </row>
    <row r="32" spans="1:12" s="16" customFormat="1" ht="24" customHeight="1" x14ac:dyDescent="0.3">
      <c r="A32" s="144"/>
      <c r="B32" s="142"/>
      <c r="C32" s="162">
        <v>12</v>
      </c>
      <c r="D32" s="645"/>
      <c r="E32" s="426" t="s">
        <v>680</v>
      </c>
      <c r="F32" s="427" t="s">
        <v>680</v>
      </c>
      <c r="G32" s="428" t="s">
        <v>680</v>
      </c>
      <c r="H32" s="429" t="s">
        <v>680</v>
      </c>
      <c r="I32" s="645"/>
      <c r="J32" s="410" t="s">
        <v>680</v>
      </c>
      <c r="K32" s="101"/>
      <c r="L32" s="51"/>
    </row>
    <row r="33" spans="1:12" s="16" customFormat="1" ht="24" customHeight="1" x14ac:dyDescent="0.3">
      <c r="A33" s="697" t="s">
        <v>196</v>
      </c>
      <c r="B33" s="698"/>
      <c r="C33" s="152">
        <v>1</v>
      </c>
      <c r="D33" s="699" t="s">
        <v>73</v>
      </c>
      <c r="E33" s="436" t="s">
        <v>680</v>
      </c>
      <c r="F33" s="323"/>
      <c r="G33" s="439" t="s">
        <v>680</v>
      </c>
      <c r="H33" s="393"/>
      <c r="I33" s="700" t="s">
        <v>73</v>
      </c>
      <c r="J33" s="416" t="s">
        <v>680</v>
      </c>
      <c r="K33" s="102"/>
      <c r="L33" s="18"/>
    </row>
    <row r="34" spans="1:12" s="16" customFormat="1" ht="24" customHeight="1" x14ac:dyDescent="0.3">
      <c r="A34" s="41"/>
      <c r="B34" s="31"/>
      <c r="C34" s="154">
        <v>2</v>
      </c>
      <c r="D34" s="700"/>
      <c r="E34" s="437" t="s">
        <v>680</v>
      </c>
      <c r="F34" s="427" t="s">
        <v>680</v>
      </c>
      <c r="G34" s="428" t="s">
        <v>680</v>
      </c>
      <c r="H34" s="429" t="s">
        <v>680</v>
      </c>
      <c r="I34" s="700"/>
      <c r="J34" s="410" t="s">
        <v>680</v>
      </c>
      <c r="K34" s="102"/>
      <c r="L34" s="18"/>
    </row>
    <row r="35" spans="1:12" s="16" customFormat="1" ht="24" customHeight="1" x14ac:dyDescent="0.3">
      <c r="A35" s="41"/>
      <c r="B35" s="31"/>
      <c r="C35" s="154">
        <v>3</v>
      </c>
      <c r="D35" s="700"/>
      <c r="E35" s="437" t="s">
        <v>680</v>
      </c>
      <c r="F35" s="427" t="s">
        <v>680</v>
      </c>
      <c r="G35" s="428" t="s">
        <v>680</v>
      </c>
      <c r="H35" s="429" t="s">
        <v>680</v>
      </c>
      <c r="I35" s="700"/>
      <c r="J35" s="410" t="s">
        <v>680</v>
      </c>
      <c r="K35" s="102"/>
      <c r="L35" s="51"/>
    </row>
    <row r="36" spans="1:12" s="16" customFormat="1" ht="24" customHeight="1" x14ac:dyDescent="0.3">
      <c r="A36" s="144"/>
      <c r="B36" s="142"/>
      <c r="C36" s="162">
        <v>4</v>
      </c>
      <c r="D36" s="701"/>
      <c r="E36" s="438" t="s">
        <v>680</v>
      </c>
      <c r="F36" s="432" t="s">
        <v>680</v>
      </c>
      <c r="G36" s="434" t="s">
        <v>680</v>
      </c>
      <c r="H36" s="435" t="s">
        <v>680</v>
      </c>
      <c r="I36" s="701"/>
      <c r="J36" s="415" t="s">
        <v>680</v>
      </c>
      <c r="K36" s="102"/>
      <c r="L36" s="51"/>
    </row>
  </sheetData>
  <mergeCells count="16">
    <mergeCell ref="A33:B33"/>
    <mergeCell ref="D33:D36"/>
    <mergeCell ref="I33:I36"/>
    <mergeCell ref="D17:D20"/>
    <mergeCell ref="I17:I20"/>
    <mergeCell ref="A17:B17"/>
    <mergeCell ref="I21:I32"/>
    <mergeCell ref="A1:J1"/>
    <mergeCell ref="E4:H4"/>
    <mergeCell ref="A6:B6"/>
    <mergeCell ref="A7:B7"/>
    <mergeCell ref="A23:B23"/>
    <mergeCell ref="D21:D32"/>
    <mergeCell ref="A22:B22"/>
    <mergeCell ref="D5:D16"/>
    <mergeCell ref="I5:I16"/>
  </mergeCells>
  <phoneticPr fontId="27" type="noConversion"/>
  <pageMargins left="0.7" right="0.7" top="0.75" bottom="0.75" header="0.3" footer="0.3"/>
  <pageSetup paperSize="9" scale="43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="70" zoomScaleNormal="70" workbookViewId="0">
      <selection activeCell="I29" sqref="I29:I32"/>
    </sheetView>
  </sheetViews>
  <sheetFormatPr defaultRowHeight="16.5" x14ac:dyDescent="0.3"/>
  <cols>
    <col min="1" max="2" width="12.625" style="6" customWidth="1"/>
    <col min="3" max="4" width="7.625" style="6" customWidth="1"/>
    <col min="5" max="5" width="5.625" style="18" customWidth="1"/>
    <col min="6" max="6" width="12.625" style="19" customWidth="1"/>
    <col min="7" max="7" width="5.625" style="18" customWidth="1"/>
    <col min="8" max="8" width="21.75" style="18" bestFit="1" customWidth="1"/>
    <col min="9" max="9" width="7.625" style="6" customWidth="1"/>
    <col min="10" max="10" width="70.625" style="6" customWidth="1"/>
    <col min="11" max="11" width="17.25" style="6" customWidth="1"/>
    <col min="12" max="12" width="14.5" style="18" customWidth="1"/>
    <col min="13" max="13" width="4.125" style="6" customWidth="1"/>
    <col min="14" max="16384" width="9" style="6"/>
  </cols>
  <sheetData>
    <row r="1" spans="1:12" ht="38.25" x14ac:dyDescent="0.3">
      <c r="A1" s="626" t="s">
        <v>809</v>
      </c>
      <c r="B1" s="713"/>
      <c r="C1" s="713"/>
      <c r="D1" s="713"/>
      <c r="E1" s="713"/>
      <c r="F1" s="713"/>
      <c r="G1" s="713"/>
      <c r="H1" s="713"/>
      <c r="I1" s="713"/>
      <c r="J1" s="713"/>
      <c r="K1" s="94"/>
    </row>
    <row r="3" spans="1:12" x14ac:dyDescent="0.3">
      <c r="J3" s="59"/>
      <c r="K3" s="59"/>
    </row>
    <row r="4" spans="1:12" ht="30" customHeight="1" x14ac:dyDescent="0.15">
      <c r="A4" s="181" t="s">
        <v>0</v>
      </c>
      <c r="B4" s="182" t="s">
        <v>1</v>
      </c>
      <c r="C4" s="182" t="s">
        <v>2</v>
      </c>
      <c r="D4" s="182" t="s">
        <v>3</v>
      </c>
      <c r="E4" s="627" t="s">
        <v>4</v>
      </c>
      <c r="F4" s="627"/>
      <c r="G4" s="627"/>
      <c r="H4" s="627"/>
      <c r="I4" s="182" t="s">
        <v>3</v>
      </c>
      <c r="J4" s="183" t="s">
        <v>5</v>
      </c>
      <c r="K4" s="100"/>
    </row>
    <row r="5" spans="1:12" s="16" customFormat="1" ht="24" customHeight="1" x14ac:dyDescent="0.3">
      <c r="A5" s="30" t="s">
        <v>48</v>
      </c>
      <c r="B5" s="146" t="s">
        <v>915</v>
      </c>
      <c r="C5" s="152">
        <v>1</v>
      </c>
      <c r="D5" s="641" t="s">
        <v>13</v>
      </c>
      <c r="E5" s="154" t="s">
        <v>362</v>
      </c>
      <c r="F5" s="157" t="s">
        <v>26</v>
      </c>
      <c r="G5" s="154" t="s">
        <v>498</v>
      </c>
      <c r="H5" s="154" t="s">
        <v>548</v>
      </c>
      <c r="I5" s="641" t="s">
        <v>13</v>
      </c>
      <c r="J5" s="190" t="s">
        <v>549</v>
      </c>
      <c r="K5" s="102"/>
      <c r="L5" s="51"/>
    </row>
    <row r="6" spans="1:12" s="16" customFormat="1" ht="24" customHeight="1" x14ac:dyDescent="0.3">
      <c r="A6" s="620" t="s">
        <v>914</v>
      </c>
      <c r="B6" s="691"/>
      <c r="C6" s="154">
        <v>2</v>
      </c>
      <c r="D6" s="656"/>
      <c r="E6" s="154"/>
      <c r="F6" s="157"/>
      <c r="G6" s="154"/>
      <c r="H6" s="154"/>
      <c r="I6" s="656"/>
      <c r="J6" s="190"/>
      <c r="K6" s="102"/>
      <c r="L6" s="51"/>
    </row>
    <row r="7" spans="1:12" s="16" customFormat="1" ht="24" customHeight="1" x14ac:dyDescent="0.3">
      <c r="A7" s="677" t="s">
        <v>547</v>
      </c>
      <c r="B7" s="614"/>
      <c r="C7" s="154">
        <v>3</v>
      </c>
      <c r="D7" s="656"/>
      <c r="E7" s="154" t="s">
        <v>362</v>
      </c>
      <c r="F7" s="157" t="s">
        <v>26</v>
      </c>
      <c r="G7" s="154" t="s">
        <v>498</v>
      </c>
      <c r="H7" s="154" t="s">
        <v>550</v>
      </c>
      <c r="I7" s="656"/>
      <c r="J7" s="190" t="s">
        <v>551</v>
      </c>
      <c r="K7" s="102"/>
      <c r="L7" s="51"/>
    </row>
    <row r="8" spans="1:12" s="16" customFormat="1" ht="24" customHeight="1" x14ac:dyDescent="0.3">
      <c r="A8" s="41"/>
      <c r="B8" s="147"/>
      <c r="C8" s="158">
        <v>4</v>
      </c>
      <c r="D8" s="656"/>
      <c r="E8" s="158"/>
      <c r="F8" s="159"/>
      <c r="G8" s="200"/>
      <c r="H8" s="158"/>
      <c r="I8" s="656"/>
      <c r="J8" s="191"/>
      <c r="K8" s="102"/>
      <c r="L8" s="51"/>
    </row>
    <row r="9" spans="1:12" s="16" customFormat="1" ht="24" customHeight="1" x14ac:dyDescent="0.3">
      <c r="A9" s="41"/>
      <c r="B9" s="147"/>
      <c r="C9" s="152">
        <v>5</v>
      </c>
      <c r="D9" s="711"/>
      <c r="E9" s="152"/>
      <c r="F9" s="153"/>
      <c r="G9" s="152"/>
      <c r="H9" s="152"/>
      <c r="I9" s="711"/>
      <c r="J9" s="192"/>
      <c r="K9" s="102"/>
      <c r="L9" s="51"/>
    </row>
    <row r="10" spans="1:12" s="16" customFormat="1" ht="24" customHeight="1" x14ac:dyDescent="0.3">
      <c r="A10" s="41"/>
      <c r="B10" s="147"/>
      <c r="C10" s="154">
        <v>6</v>
      </c>
      <c r="D10" s="710"/>
      <c r="E10" s="154"/>
      <c r="F10" s="157"/>
      <c r="G10" s="154"/>
      <c r="H10" s="154"/>
      <c r="I10" s="710"/>
      <c r="J10" s="190"/>
      <c r="K10" s="101"/>
      <c r="L10" s="51"/>
    </row>
    <row r="11" spans="1:12" s="16" customFormat="1" ht="24" customHeight="1" x14ac:dyDescent="0.3">
      <c r="A11" s="41"/>
      <c r="B11" s="147"/>
      <c r="C11" s="154">
        <v>7</v>
      </c>
      <c r="D11" s="710"/>
      <c r="E11" s="154"/>
      <c r="F11" s="157"/>
      <c r="G11" s="154"/>
      <c r="H11" s="154"/>
      <c r="I11" s="710"/>
      <c r="J11" s="190"/>
      <c r="K11" s="101"/>
      <c r="L11" s="18"/>
    </row>
    <row r="12" spans="1:12" s="16" customFormat="1" ht="24" customHeight="1" x14ac:dyDescent="0.3">
      <c r="A12" s="41"/>
      <c r="B12" s="147"/>
      <c r="C12" s="162">
        <v>8</v>
      </c>
      <c r="D12" s="712"/>
      <c r="E12" s="162"/>
      <c r="F12" s="164"/>
      <c r="G12" s="162"/>
      <c r="H12" s="162"/>
      <c r="I12" s="712"/>
      <c r="J12" s="193"/>
      <c r="K12" s="102"/>
      <c r="L12" s="18"/>
    </row>
    <row r="13" spans="1:12" s="16" customFormat="1" ht="24" customHeight="1" x14ac:dyDescent="0.3">
      <c r="A13" s="41"/>
      <c r="B13" s="147"/>
      <c r="C13" s="172">
        <v>9</v>
      </c>
      <c r="D13" s="710"/>
      <c r="E13" s="172"/>
      <c r="F13" s="180"/>
      <c r="G13" s="172"/>
      <c r="H13" s="172"/>
      <c r="I13" s="710"/>
      <c r="J13" s="195"/>
      <c r="K13" s="102"/>
      <c r="L13" s="18"/>
    </row>
    <row r="14" spans="1:12" s="16" customFormat="1" ht="24" customHeight="1" x14ac:dyDescent="0.3">
      <c r="A14" s="41"/>
      <c r="B14" s="147"/>
      <c r="C14" s="154">
        <v>10</v>
      </c>
      <c r="D14" s="710"/>
      <c r="E14" s="154"/>
      <c r="F14" s="157"/>
      <c r="G14" s="154"/>
      <c r="H14" s="154"/>
      <c r="I14" s="710"/>
      <c r="J14" s="190"/>
      <c r="K14" s="102"/>
      <c r="L14" s="51"/>
    </row>
    <row r="15" spans="1:12" s="16" customFormat="1" ht="24" customHeight="1" x14ac:dyDescent="0.3">
      <c r="A15" s="41"/>
      <c r="B15" s="147"/>
      <c r="C15" s="154">
        <v>11</v>
      </c>
      <c r="D15" s="710"/>
      <c r="E15" s="154"/>
      <c r="F15" s="157"/>
      <c r="G15" s="154"/>
      <c r="H15" s="154"/>
      <c r="I15" s="710"/>
      <c r="J15" s="190"/>
      <c r="K15" s="102"/>
      <c r="L15" s="51"/>
    </row>
    <row r="16" spans="1:12" s="16" customFormat="1" ht="24" customHeight="1" x14ac:dyDescent="0.3">
      <c r="A16" s="41"/>
      <c r="B16" s="147"/>
      <c r="C16" s="158">
        <v>12</v>
      </c>
      <c r="D16" s="710"/>
      <c r="E16" s="158"/>
      <c r="F16" s="159"/>
      <c r="G16" s="158"/>
      <c r="H16" s="158"/>
      <c r="I16" s="710"/>
      <c r="J16" s="191"/>
      <c r="K16" s="101"/>
      <c r="L16" s="18"/>
    </row>
    <row r="17" spans="1:12" s="16" customFormat="1" ht="24" customHeight="1" x14ac:dyDescent="0.3">
      <c r="A17" s="41"/>
      <c r="B17" s="147"/>
      <c r="C17" s="152">
        <v>13</v>
      </c>
      <c r="D17" s="692"/>
      <c r="E17" s="152"/>
      <c r="F17" s="153"/>
      <c r="G17" s="152"/>
      <c r="H17" s="152"/>
      <c r="I17" s="692"/>
      <c r="J17" s="192"/>
      <c r="K17" s="102"/>
      <c r="L17" s="18"/>
    </row>
    <row r="18" spans="1:12" s="16" customFormat="1" ht="24" customHeight="1" x14ac:dyDescent="0.3">
      <c r="A18" s="41"/>
      <c r="B18" s="147"/>
      <c r="C18" s="154">
        <v>14</v>
      </c>
      <c r="D18" s="693"/>
      <c r="E18" s="154"/>
      <c r="F18" s="157"/>
      <c r="G18" s="154"/>
      <c r="H18" s="154"/>
      <c r="I18" s="693"/>
      <c r="J18" s="190"/>
      <c r="K18" s="102"/>
      <c r="L18" s="51"/>
    </row>
    <row r="19" spans="1:12" s="16" customFormat="1" ht="24" customHeight="1" x14ac:dyDescent="0.3">
      <c r="A19" s="41"/>
      <c r="B19" s="31"/>
      <c r="C19" s="154">
        <v>15</v>
      </c>
      <c r="D19" s="693"/>
      <c r="E19" s="154"/>
      <c r="F19" s="157"/>
      <c r="G19" s="154"/>
      <c r="H19" s="154"/>
      <c r="I19" s="693"/>
      <c r="J19" s="190"/>
      <c r="K19" s="102"/>
      <c r="L19" s="51"/>
    </row>
    <row r="20" spans="1:12" s="16" customFormat="1" ht="24" customHeight="1" x14ac:dyDescent="0.3">
      <c r="A20" s="144"/>
      <c r="B20" s="142"/>
      <c r="C20" s="162">
        <v>16</v>
      </c>
      <c r="D20" s="694"/>
      <c r="E20" s="162"/>
      <c r="F20" s="164"/>
      <c r="G20" s="162"/>
      <c r="H20" s="162"/>
      <c r="I20" s="694"/>
      <c r="J20" s="162"/>
      <c r="K20" s="101"/>
      <c r="L20" s="51"/>
    </row>
    <row r="21" spans="1:12" s="16" customFormat="1" ht="24" customHeight="1" x14ac:dyDescent="0.3">
      <c r="A21" s="30" t="s">
        <v>48</v>
      </c>
      <c r="B21" s="146" t="s">
        <v>915</v>
      </c>
      <c r="C21" s="152">
        <v>1</v>
      </c>
      <c r="D21" s="641" t="s">
        <v>13</v>
      </c>
      <c r="E21" s="152"/>
      <c r="F21" s="153"/>
      <c r="G21" s="152"/>
      <c r="H21" s="152"/>
      <c r="I21" s="641" t="s">
        <v>13</v>
      </c>
      <c r="J21" s="190"/>
      <c r="K21" s="102"/>
      <c r="L21" s="93"/>
    </row>
    <row r="22" spans="1:12" s="16" customFormat="1" ht="24" customHeight="1" x14ac:dyDescent="0.3">
      <c r="A22" s="620" t="s">
        <v>916</v>
      </c>
      <c r="B22" s="691"/>
      <c r="C22" s="154">
        <v>2</v>
      </c>
      <c r="D22" s="656"/>
      <c r="E22" s="154" t="s">
        <v>362</v>
      </c>
      <c r="F22" s="157" t="s">
        <v>428</v>
      </c>
      <c r="G22" s="154" t="s">
        <v>552</v>
      </c>
      <c r="H22" s="154" t="s">
        <v>548</v>
      </c>
      <c r="I22" s="656"/>
      <c r="J22" s="190" t="s">
        <v>554</v>
      </c>
      <c r="K22" s="102"/>
      <c r="L22" s="53"/>
    </row>
    <row r="23" spans="1:12" s="16" customFormat="1" ht="24" customHeight="1" x14ac:dyDescent="0.3">
      <c r="A23" s="677" t="s">
        <v>547</v>
      </c>
      <c r="B23" s="614"/>
      <c r="C23" s="154">
        <v>3</v>
      </c>
      <c r="D23" s="656"/>
      <c r="E23" s="154" t="s">
        <v>362</v>
      </c>
      <c r="F23" s="157" t="s">
        <v>428</v>
      </c>
      <c r="G23" s="154" t="s">
        <v>429</v>
      </c>
      <c r="H23" s="154" t="s">
        <v>553</v>
      </c>
      <c r="I23" s="656"/>
      <c r="J23" s="190" t="s">
        <v>551</v>
      </c>
      <c r="K23" s="102"/>
      <c r="L23" s="93"/>
    </row>
    <row r="24" spans="1:12" s="16" customFormat="1" ht="24" customHeight="1" x14ac:dyDescent="0.3">
      <c r="A24" s="41"/>
      <c r="B24" s="147"/>
      <c r="C24" s="158">
        <v>4</v>
      </c>
      <c r="D24" s="656"/>
      <c r="E24" s="158"/>
      <c r="F24" s="159"/>
      <c r="G24" s="200"/>
      <c r="H24" s="158"/>
      <c r="I24" s="656"/>
      <c r="J24" s="191"/>
      <c r="K24" s="102"/>
      <c r="L24" s="51"/>
    </row>
    <row r="25" spans="1:12" s="16" customFormat="1" ht="24" customHeight="1" x14ac:dyDescent="0.3">
      <c r="A25" s="41"/>
      <c r="B25" s="147"/>
      <c r="C25" s="152">
        <v>5</v>
      </c>
      <c r="D25" s="641" t="s">
        <v>13</v>
      </c>
      <c r="E25" s="152"/>
      <c r="F25" s="153"/>
      <c r="G25" s="152"/>
      <c r="H25" s="152"/>
      <c r="I25" s="641" t="s">
        <v>13</v>
      </c>
      <c r="J25" s="192"/>
      <c r="K25" s="102"/>
      <c r="L25" s="51"/>
    </row>
    <row r="26" spans="1:12" s="16" customFormat="1" ht="24" customHeight="1" x14ac:dyDescent="0.3">
      <c r="A26" s="41"/>
      <c r="B26" s="147"/>
      <c r="C26" s="154">
        <v>6</v>
      </c>
      <c r="D26" s="656"/>
      <c r="E26" s="154"/>
      <c r="F26" s="157"/>
      <c r="G26" s="154"/>
      <c r="H26" s="154"/>
      <c r="I26" s="656"/>
      <c r="J26" s="190"/>
      <c r="K26" s="101"/>
      <c r="L26" s="51"/>
    </row>
    <row r="27" spans="1:12" s="16" customFormat="1" ht="24" customHeight="1" x14ac:dyDescent="0.3">
      <c r="A27" s="41"/>
      <c r="B27" s="147"/>
      <c r="C27" s="154">
        <v>7</v>
      </c>
      <c r="D27" s="656"/>
      <c r="E27" s="154"/>
      <c r="F27" s="157"/>
      <c r="G27" s="154"/>
      <c r="H27" s="154"/>
      <c r="I27" s="656"/>
      <c r="J27" s="190"/>
      <c r="K27" s="101"/>
      <c r="L27" s="51"/>
    </row>
    <row r="28" spans="1:12" s="16" customFormat="1" ht="24" customHeight="1" x14ac:dyDescent="0.3">
      <c r="A28" s="41"/>
      <c r="B28" s="147"/>
      <c r="C28" s="162">
        <v>8</v>
      </c>
      <c r="D28" s="640"/>
      <c r="E28" s="162"/>
      <c r="F28" s="164"/>
      <c r="G28" s="162"/>
      <c r="H28" s="162"/>
      <c r="I28" s="640"/>
      <c r="J28" s="193"/>
      <c r="K28" s="101"/>
      <c r="L28" s="51"/>
    </row>
    <row r="29" spans="1:12" s="16" customFormat="1" ht="24" customHeight="1" x14ac:dyDescent="0.3">
      <c r="A29" s="41"/>
      <c r="B29" s="147"/>
      <c r="C29" s="172">
        <v>9</v>
      </c>
      <c r="D29" s="710"/>
      <c r="E29" s="172"/>
      <c r="F29" s="180"/>
      <c r="G29" s="172"/>
      <c r="H29" s="172"/>
      <c r="I29" s="710"/>
      <c r="J29" s="195"/>
      <c r="K29" s="101"/>
      <c r="L29" s="51"/>
    </row>
    <row r="30" spans="1:12" s="16" customFormat="1" ht="24" customHeight="1" x14ac:dyDescent="0.3">
      <c r="A30" s="41"/>
      <c r="B30" s="147"/>
      <c r="C30" s="154">
        <v>10</v>
      </c>
      <c r="D30" s="710"/>
      <c r="E30" s="154"/>
      <c r="F30" s="157"/>
      <c r="G30" s="154"/>
      <c r="H30" s="154"/>
      <c r="I30" s="710"/>
      <c r="J30" s="190"/>
      <c r="K30" s="101"/>
      <c r="L30" s="51"/>
    </row>
    <row r="31" spans="1:12" s="16" customFormat="1" ht="24" customHeight="1" x14ac:dyDescent="0.3">
      <c r="A31" s="41"/>
      <c r="B31" s="147"/>
      <c r="C31" s="154">
        <v>11</v>
      </c>
      <c r="D31" s="710"/>
      <c r="E31" s="154"/>
      <c r="F31" s="157"/>
      <c r="G31" s="154"/>
      <c r="H31" s="154"/>
      <c r="I31" s="710"/>
      <c r="J31" s="190"/>
      <c r="K31" s="101"/>
      <c r="L31" s="51"/>
    </row>
    <row r="32" spans="1:12" s="16" customFormat="1" ht="24" customHeight="1" x14ac:dyDescent="0.3">
      <c r="A32" s="41"/>
      <c r="B32" s="147"/>
      <c r="C32" s="158">
        <v>12</v>
      </c>
      <c r="D32" s="710"/>
      <c r="E32" s="158"/>
      <c r="F32" s="159"/>
      <c r="G32" s="158"/>
      <c r="H32" s="158"/>
      <c r="I32" s="710"/>
      <c r="J32" s="191"/>
      <c r="K32" s="101"/>
      <c r="L32" s="51"/>
    </row>
    <row r="33" spans="1:12" s="16" customFormat="1" ht="24" customHeight="1" x14ac:dyDescent="0.3">
      <c r="A33" s="41"/>
      <c r="B33" s="147"/>
      <c r="C33" s="152">
        <v>13</v>
      </c>
      <c r="D33" s="692"/>
      <c r="E33" s="152"/>
      <c r="F33" s="153"/>
      <c r="G33" s="152"/>
      <c r="H33" s="152"/>
      <c r="I33" s="692"/>
      <c r="J33" s="192"/>
      <c r="K33" s="102"/>
      <c r="L33" s="18"/>
    </row>
    <row r="34" spans="1:12" s="16" customFormat="1" ht="24" customHeight="1" x14ac:dyDescent="0.3">
      <c r="A34" s="41"/>
      <c r="B34" s="147"/>
      <c r="C34" s="154">
        <v>14</v>
      </c>
      <c r="D34" s="693"/>
      <c r="E34" s="154"/>
      <c r="F34" s="157"/>
      <c r="G34" s="154"/>
      <c r="H34" s="154"/>
      <c r="I34" s="693"/>
      <c r="J34" s="190"/>
      <c r="K34" s="102"/>
      <c r="L34" s="18"/>
    </row>
    <row r="35" spans="1:12" s="16" customFormat="1" ht="24" customHeight="1" x14ac:dyDescent="0.3">
      <c r="A35" s="41"/>
      <c r="B35" s="31"/>
      <c r="C35" s="154">
        <v>15</v>
      </c>
      <c r="D35" s="693"/>
      <c r="E35" s="154"/>
      <c r="F35" s="157"/>
      <c r="G35" s="154"/>
      <c r="H35" s="154"/>
      <c r="I35" s="693"/>
      <c r="J35" s="190"/>
      <c r="K35" s="102"/>
      <c r="L35" s="51"/>
    </row>
    <row r="36" spans="1:12" s="16" customFormat="1" ht="24" customHeight="1" x14ac:dyDescent="0.3">
      <c r="A36" s="144"/>
      <c r="B36" s="142"/>
      <c r="C36" s="162">
        <v>16</v>
      </c>
      <c r="D36" s="694"/>
      <c r="E36" s="162"/>
      <c r="F36" s="164"/>
      <c r="G36" s="162"/>
      <c r="H36" s="162"/>
      <c r="I36" s="694"/>
      <c r="J36" s="162"/>
      <c r="K36" s="102"/>
      <c r="L36" s="51"/>
    </row>
    <row r="37" spans="1:12" s="16" customFormat="1" ht="24" customHeight="1" x14ac:dyDescent="0.3">
      <c r="A37" s="29" t="s">
        <v>48</v>
      </c>
      <c r="B37" s="30" t="s">
        <v>34</v>
      </c>
      <c r="C37" s="152">
        <v>1</v>
      </c>
      <c r="D37" s="606" t="s">
        <v>199</v>
      </c>
      <c r="E37" s="152" t="s">
        <v>28</v>
      </c>
      <c r="F37" s="548" t="s">
        <v>736</v>
      </c>
      <c r="G37" s="152" t="s">
        <v>429</v>
      </c>
      <c r="H37" s="522" t="s">
        <v>933</v>
      </c>
      <c r="I37" s="606" t="s">
        <v>199</v>
      </c>
      <c r="J37" s="152" t="str">
        <f>화천SS!J5</f>
        <v>철원-1-화천</v>
      </c>
      <c r="K37" s="102"/>
      <c r="L37" s="51"/>
    </row>
    <row r="38" spans="1:12" s="16" customFormat="1" ht="24" customHeight="1" x14ac:dyDescent="0.3">
      <c r="A38" s="607" t="s">
        <v>197</v>
      </c>
      <c r="B38" s="709"/>
      <c r="C38" s="154">
        <v>2</v>
      </c>
      <c r="D38" s="644"/>
      <c r="E38" s="154" t="s">
        <v>28</v>
      </c>
      <c r="F38" s="549" t="s">
        <v>736</v>
      </c>
      <c r="G38" s="154" t="s">
        <v>29</v>
      </c>
      <c r="H38" s="190" t="s">
        <v>934</v>
      </c>
      <c r="I38" s="644"/>
      <c r="J38" s="152" t="str">
        <f>화천SS!J6</f>
        <v>철원-2-화천</v>
      </c>
      <c r="K38" s="102"/>
      <c r="L38" s="51"/>
    </row>
    <row r="39" spans="1:12" s="16" customFormat="1" ht="24" customHeight="1" x14ac:dyDescent="0.3">
      <c r="A39" s="677" t="s">
        <v>547</v>
      </c>
      <c r="B39" s="614"/>
      <c r="C39" s="154">
        <v>3</v>
      </c>
      <c r="D39" s="644"/>
      <c r="E39" s="155" t="str">
        <f>화천SS!E7</f>
        <v/>
      </c>
      <c r="F39" s="155" t="str">
        <f>화천SS!F7</f>
        <v/>
      </c>
      <c r="G39" s="155" t="str">
        <f>화천SS!G7</f>
        <v/>
      </c>
      <c r="H39" s="155" t="str">
        <f>화천SS!H7</f>
        <v/>
      </c>
      <c r="I39" s="644"/>
      <c r="J39" s="154" t="str">
        <f>화천SS!J7</f>
        <v/>
      </c>
      <c r="K39" s="102"/>
      <c r="L39" s="51"/>
    </row>
    <row r="40" spans="1:12" s="16" customFormat="1" ht="24" customHeight="1" x14ac:dyDescent="0.3">
      <c r="A40" s="41"/>
      <c r="B40" s="26"/>
      <c r="C40" s="154">
        <v>4</v>
      </c>
      <c r="D40" s="644"/>
      <c r="E40" s="155" t="str">
        <f>화천SS!E8</f>
        <v/>
      </c>
      <c r="F40" s="155" t="str">
        <f>화천SS!F8</f>
        <v/>
      </c>
      <c r="G40" s="155" t="str">
        <f>화천SS!G8</f>
        <v/>
      </c>
      <c r="H40" s="155" t="str">
        <f>화천SS!H8</f>
        <v/>
      </c>
      <c r="I40" s="644"/>
      <c r="J40" s="154" t="str">
        <f>화천SS!J8</f>
        <v/>
      </c>
      <c r="K40" s="102"/>
      <c r="L40" s="51"/>
    </row>
    <row r="41" spans="1:12" s="16" customFormat="1" ht="24" customHeight="1" x14ac:dyDescent="0.3">
      <c r="A41" s="41"/>
      <c r="B41" s="26"/>
      <c r="C41" s="154">
        <v>5</v>
      </c>
      <c r="D41" s="644"/>
      <c r="E41" s="155" t="str">
        <f>화천SS!E9</f>
        <v/>
      </c>
      <c r="F41" s="155" t="str">
        <f>화천SS!F9</f>
        <v/>
      </c>
      <c r="G41" s="155" t="str">
        <f>화천SS!G9</f>
        <v/>
      </c>
      <c r="H41" s="155" t="str">
        <f>화천SS!H9</f>
        <v/>
      </c>
      <c r="I41" s="644"/>
      <c r="J41" s="154" t="str">
        <f>화천SS!J9</f>
        <v/>
      </c>
      <c r="K41" s="102"/>
      <c r="L41" s="51"/>
    </row>
    <row r="42" spans="1:12" s="16" customFormat="1" ht="24" customHeight="1" x14ac:dyDescent="0.3">
      <c r="A42" s="41"/>
      <c r="B42" s="26"/>
      <c r="C42" s="154">
        <v>6</v>
      </c>
      <c r="D42" s="644"/>
      <c r="E42" s="155" t="str">
        <f>화천SS!E10</f>
        <v/>
      </c>
      <c r="F42" s="155" t="str">
        <f>화천SS!F10</f>
        <v/>
      </c>
      <c r="G42" s="155" t="str">
        <f>화천SS!G10</f>
        <v/>
      </c>
      <c r="H42" s="155" t="str">
        <f>화천SS!H10</f>
        <v/>
      </c>
      <c r="I42" s="644"/>
      <c r="J42" s="154" t="str">
        <f>화천SS!J10</f>
        <v/>
      </c>
      <c r="K42" s="102"/>
      <c r="L42" s="51"/>
    </row>
    <row r="43" spans="1:12" s="16" customFormat="1" ht="24" customHeight="1" x14ac:dyDescent="0.3">
      <c r="A43" s="41"/>
      <c r="B43" s="26"/>
      <c r="C43" s="154">
        <v>7</v>
      </c>
      <c r="D43" s="644"/>
      <c r="E43" s="155" t="str">
        <f>화천SS!E11</f>
        <v/>
      </c>
      <c r="F43" s="155" t="str">
        <f>화천SS!F11</f>
        <v/>
      </c>
      <c r="G43" s="155" t="str">
        <f>화천SS!G11</f>
        <v/>
      </c>
      <c r="H43" s="155" t="str">
        <f>화천SS!H11</f>
        <v/>
      </c>
      <c r="I43" s="644"/>
      <c r="J43" s="154" t="str">
        <f>화천SS!J11</f>
        <v/>
      </c>
      <c r="K43" s="102"/>
      <c r="L43" s="51"/>
    </row>
    <row r="44" spans="1:12" s="16" customFormat="1" ht="24" customHeight="1" x14ac:dyDescent="0.3">
      <c r="A44" s="41"/>
      <c r="B44" s="26"/>
      <c r="C44" s="154">
        <v>8</v>
      </c>
      <c r="D44" s="644"/>
      <c r="E44" s="155" t="str">
        <f>화천SS!E12</f>
        <v/>
      </c>
      <c r="F44" s="155" t="str">
        <f>화천SS!F12</f>
        <v/>
      </c>
      <c r="G44" s="155" t="str">
        <f>화천SS!G12</f>
        <v/>
      </c>
      <c r="H44" s="155" t="str">
        <f>화천SS!H12</f>
        <v/>
      </c>
      <c r="I44" s="644"/>
      <c r="J44" s="154" t="str">
        <f>화천SS!J12</f>
        <v/>
      </c>
      <c r="K44" s="102"/>
      <c r="L44" s="51"/>
    </row>
    <row r="45" spans="1:12" s="16" customFormat="1" ht="24" customHeight="1" x14ac:dyDescent="0.3">
      <c r="A45" s="41"/>
      <c r="B45" s="26"/>
      <c r="C45" s="154">
        <v>9</v>
      </c>
      <c r="D45" s="644"/>
      <c r="E45" s="155" t="str">
        <f>화천SS!E13</f>
        <v/>
      </c>
      <c r="F45" s="155" t="str">
        <f>화천SS!F13</f>
        <v/>
      </c>
      <c r="G45" s="155" t="str">
        <f>화천SS!G13</f>
        <v/>
      </c>
      <c r="H45" s="155" t="str">
        <f>화천SS!H13</f>
        <v/>
      </c>
      <c r="I45" s="644"/>
      <c r="J45" s="154" t="str">
        <f>화천SS!J13</f>
        <v/>
      </c>
      <c r="K45" s="102"/>
      <c r="L45" s="51"/>
    </row>
    <row r="46" spans="1:12" s="16" customFormat="1" ht="24" customHeight="1" x14ac:dyDescent="0.3">
      <c r="A46" s="41"/>
      <c r="B46" s="26"/>
      <c r="C46" s="154">
        <v>10</v>
      </c>
      <c r="D46" s="644"/>
      <c r="E46" s="155" t="str">
        <f>화천SS!E14</f>
        <v/>
      </c>
      <c r="F46" s="155" t="str">
        <f>화천SS!F14</f>
        <v/>
      </c>
      <c r="G46" s="155" t="str">
        <f>화천SS!G14</f>
        <v/>
      </c>
      <c r="H46" s="155" t="str">
        <f>화천SS!H14</f>
        <v/>
      </c>
      <c r="I46" s="644"/>
      <c r="J46" s="154" t="str">
        <f>화천SS!J14</f>
        <v/>
      </c>
      <c r="K46" s="102"/>
      <c r="L46" s="51"/>
    </row>
    <row r="47" spans="1:12" s="16" customFormat="1" ht="24" customHeight="1" x14ac:dyDescent="0.3">
      <c r="A47" s="41"/>
      <c r="B47" s="26"/>
      <c r="C47" s="154">
        <v>11</v>
      </c>
      <c r="D47" s="644"/>
      <c r="E47" s="155" t="str">
        <f>화천SS!E15</f>
        <v/>
      </c>
      <c r="F47" s="155" t="str">
        <f>화천SS!F15</f>
        <v/>
      </c>
      <c r="G47" s="155" t="str">
        <f>화천SS!G15</f>
        <v/>
      </c>
      <c r="H47" s="155" t="str">
        <f>화천SS!H15</f>
        <v/>
      </c>
      <c r="I47" s="644"/>
      <c r="J47" s="154" t="str">
        <f>화천SS!J15</f>
        <v/>
      </c>
      <c r="K47" s="102"/>
      <c r="L47" s="51"/>
    </row>
    <row r="48" spans="1:12" s="16" customFormat="1" ht="24" customHeight="1" x14ac:dyDescent="0.3">
      <c r="A48" s="139"/>
      <c r="B48" s="299"/>
      <c r="C48" s="158">
        <v>12</v>
      </c>
      <c r="D48" s="644"/>
      <c r="E48" s="184" t="str">
        <f>화천SS!E16</f>
        <v/>
      </c>
      <c r="F48" s="184" t="str">
        <f>화천SS!F16</f>
        <v/>
      </c>
      <c r="G48" s="184" t="str">
        <f>화천SS!G16</f>
        <v/>
      </c>
      <c r="H48" s="184" t="str">
        <f>화천SS!H16</f>
        <v/>
      </c>
      <c r="I48" s="644"/>
      <c r="J48" s="158" t="str">
        <f>화천SS!J16</f>
        <v/>
      </c>
      <c r="K48" s="102"/>
      <c r="L48" s="51"/>
    </row>
    <row r="49" spans="1:12" s="16" customFormat="1" ht="24" customHeight="1" x14ac:dyDescent="0.3">
      <c r="A49" s="697" t="s">
        <v>196</v>
      </c>
      <c r="B49" s="702"/>
      <c r="C49" s="152">
        <v>1</v>
      </c>
      <c r="D49" s="706" t="s">
        <v>73</v>
      </c>
      <c r="E49" s="152" t="str">
        <f>화천SS!E17</f>
        <v/>
      </c>
      <c r="F49" s="152"/>
      <c r="G49" s="152"/>
      <c r="H49" s="152"/>
      <c r="I49" s="703" t="s">
        <v>73</v>
      </c>
      <c r="J49" s="152"/>
      <c r="K49" s="102"/>
      <c r="L49" s="51"/>
    </row>
    <row r="50" spans="1:12" s="16" customFormat="1" ht="24" customHeight="1" x14ac:dyDescent="0.3">
      <c r="A50" s="41"/>
      <c r="B50" s="26"/>
      <c r="C50" s="154">
        <v>2</v>
      </c>
      <c r="D50" s="707"/>
      <c r="E50" s="154" t="str">
        <f>화천SS!E18</f>
        <v/>
      </c>
      <c r="F50" s="154"/>
      <c r="G50" s="154"/>
      <c r="H50" s="154"/>
      <c r="I50" s="704"/>
      <c r="J50" s="154"/>
      <c r="K50" s="102"/>
      <c r="L50" s="51"/>
    </row>
    <row r="51" spans="1:12" s="16" customFormat="1" ht="24" customHeight="1" x14ac:dyDescent="0.3">
      <c r="A51" s="41"/>
      <c r="B51" s="26"/>
      <c r="C51" s="154">
        <v>3</v>
      </c>
      <c r="D51" s="707"/>
      <c r="E51" s="154" t="str">
        <f>화천SS!E19</f>
        <v/>
      </c>
      <c r="F51" s="154"/>
      <c r="G51" s="154"/>
      <c r="H51" s="154"/>
      <c r="I51" s="704"/>
      <c r="J51" s="154"/>
      <c r="K51" s="102"/>
      <c r="L51" s="51"/>
    </row>
    <row r="52" spans="1:12" s="16" customFormat="1" ht="24" customHeight="1" x14ac:dyDescent="0.3">
      <c r="A52" s="144"/>
      <c r="B52" s="286"/>
      <c r="C52" s="162">
        <v>4</v>
      </c>
      <c r="D52" s="708"/>
      <c r="E52" s="154" t="str">
        <f>화천SS!E20</f>
        <v/>
      </c>
      <c r="F52" s="154" t="str">
        <f>화천SS!F20</f>
        <v/>
      </c>
      <c r="G52" s="154" t="str">
        <f>화천SS!G20</f>
        <v/>
      </c>
      <c r="H52" s="154" t="str">
        <f>화천SS!H20</f>
        <v/>
      </c>
      <c r="I52" s="705"/>
      <c r="J52" s="154" t="str">
        <f>화천SS!J20</f>
        <v/>
      </c>
      <c r="K52" s="102"/>
      <c r="L52" s="51"/>
    </row>
  </sheetData>
  <mergeCells count="29">
    <mergeCell ref="A1:J1"/>
    <mergeCell ref="E4:H4"/>
    <mergeCell ref="D5:D8"/>
    <mergeCell ref="I5:I8"/>
    <mergeCell ref="A6:B6"/>
    <mergeCell ref="A7:B7"/>
    <mergeCell ref="A22:B22"/>
    <mergeCell ref="A23:B23"/>
    <mergeCell ref="D25:D28"/>
    <mergeCell ref="I25:I28"/>
    <mergeCell ref="D9:D12"/>
    <mergeCell ref="I9:I12"/>
    <mergeCell ref="D13:D16"/>
    <mergeCell ref="I13:I16"/>
    <mergeCell ref="D17:D20"/>
    <mergeCell ref="I17:I20"/>
    <mergeCell ref="D29:D32"/>
    <mergeCell ref="I29:I32"/>
    <mergeCell ref="D33:D36"/>
    <mergeCell ref="I33:I36"/>
    <mergeCell ref="D21:D24"/>
    <mergeCell ref="I21:I24"/>
    <mergeCell ref="A49:B49"/>
    <mergeCell ref="D37:D48"/>
    <mergeCell ref="I37:I48"/>
    <mergeCell ref="I49:I52"/>
    <mergeCell ref="D49:D52"/>
    <mergeCell ref="A38:B38"/>
    <mergeCell ref="A39:B39"/>
  </mergeCells>
  <phoneticPr fontId="31" type="noConversion"/>
  <pageMargins left="0.7" right="0.7" top="0.75" bottom="0.75" header="0.3" footer="0.3"/>
  <pageSetup paperSize="9" scale="4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L106"/>
  <sheetViews>
    <sheetView zoomScale="85" zoomScaleNormal="85" workbookViewId="0">
      <selection activeCell="L2" sqref="L2"/>
    </sheetView>
  </sheetViews>
  <sheetFormatPr defaultRowHeight="16.5" x14ac:dyDescent="0.3"/>
  <cols>
    <col min="1" max="2" width="12.625" style="6" customWidth="1"/>
    <col min="3" max="4" width="7.625" style="6" customWidth="1"/>
    <col min="5" max="5" width="5.625" style="18" customWidth="1"/>
    <col min="6" max="6" width="12.625" style="19" customWidth="1"/>
    <col min="7" max="7" width="5.625" style="18" customWidth="1"/>
    <col min="8" max="8" width="21.75" style="18" bestFit="1" customWidth="1"/>
    <col min="9" max="9" width="7.625" style="6" customWidth="1"/>
    <col min="10" max="10" width="70.625" style="6" customWidth="1"/>
    <col min="11" max="11" width="17.25" style="6" customWidth="1"/>
    <col min="12" max="12" width="14.5" style="18" customWidth="1"/>
    <col min="13" max="13" width="4.125" style="6" customWidth="1"/>
    <col min="14" max="16384" width="9" style="6"/>
  </cols>
  <sheetData>
    <row r="1" spans="1:12" ht="48.75" customHeight="1" thickBot="1" x14ac:dyDescent="0.35">
      <c r="A1" s="732" t="s">
        <v>813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18">
        <v>260311</v>
      </c>
    </row>
    <row r="2" spans="1:12" ht="25.5" customHeight="1" x14ac:dyDescent="0.3">
      <c r="A2" s="240" t="s">
        <v>0</v>
      </c>
      <c r="B2" s="241" t="s">
        <v>1</v>
      </c>
      <c r="C2" s="241" t="s">
        <v>2</v>
      </c>
      <c r="D2" s="241" t="s">
        <v>3</v>
      </c>
      <c r="E2" s="734" t="s">
        <v>4</v>
      </c>
      <c r="F2" s="734"/>
      <c r="G2" s="734"/>
      <c r="H2" s="734"/>
      <c r="I2" s="241" t="s">
        <v>3</v>
      </c>
      <c r="J2" s="242" t="s">
        <v>5</v>
      </c>
      <c r="K2" s="243" t="s">
        <v>204</v>
      </c>
    </row>
    <row r="3" spans="1:12" ht="26.25" customHeight="1" x14ac:dyDescent="0.3">
      <c r="A3" s="510" t="s">
        <v>482</v>
      </c>
      <c r="B3" s="511" t="s">
        <v>483</v>
      </c>
      <c r="C3" s="300">
        <v>1</v>
      </c>
      <c r="D3" s="641" t="s">
        <v>293</v>
      </c>
      <c r="E3" s="512"/>
      <c r="F3" s="513"/>
      <c r="G3" s="514"/>
      <c r="H3" s="512"/>
      <c r="I3" s="641" t="s">
        <v>293</v>
      </c>
      <c r="J3" s="515"/>
      <c r="K3" s="244">
        <v>5520000219</v>
      </c>
    </row>
    <row r="4" spans="1:12" ht="26.25" customHeight="1" x14ac:dyDescent="0.3">
      <c r="A4" s="719" t="s">
        <v>824</v>
      </c>
      <c r="B4" s="720"/>
      <c r="C4" s="26">
        <v>2</v>
      </c>
      <c r="D4" s="656"/>
      <c r="E4" s="554" t="s">
        <v>936</v>
      </c>
      <c r="F4" s="555" t="s">
        <v>937</v>
      </c>
      <c r="G4" s="554" t="s">
        <v>938</v>
      </c>
      <c r="H4" s="554" t="s">
        <v>942</v>
      </c>
      <c r="I4" s="656"/>
      <c r="J4" s="550" t="s">
        <v>939</v>
      </c>
      <c r="K4" s="244"/>
    </row>
    <row r="5" spans="1:12" ht="26.25" customHeight="1" x14ac:dyDescent="0.3">
      <c r="A5" s="677" t="s">
        <v>836</v>
      </c>
      <c r="B5" s="614"/>
      <c r="C5" s="26">
        <v>3</v>
      </c>
      <c r="D5" s="656"/>
      <c r="E5" s="36"/>
      <c r="F5" s="37"/>
      <c r="G5" s="36"/>
      <c r="H5" s="36"/>
      <c r="I5" s="656"/>
      <c r="J5" s="60"/>
      <c r="K5" s="244"/>
    </row>
    <row r="6" spans="1:12" ht="26.25" customHeight="1" x14ac:dyDescent="0.3">
      <c r="A6" s="245"/>
      <c r="B6" s="26"/>
      <c r="C6" s="26">
        <v>4</v>
      </c>
      <c r="D6" s="656"/>
      <c r="E6" s="36" t="s">
        <v>362</v>
      </c>
      <c r="F6" s="37" t="s">
        <v>428</v>
      </c>
      <c r="G6" s="36" t="s">
        <v>498</v>
      </c>
      <c r="H6" s="36" t="s">
        <v>611</v>
      </c>
      <c r="I6" s="656"/>
      <c r="J6" s="223" t="s">
        <v>842</v>
      </c>
      <c r="K6" s="244"/>
    </row>
    <row r="7" spans="1:12" ht="26.25" customHeight="1" x14ac:dyDescent="0.3">
      <c r="A7" s="245"/>
      <c r="B7" s="26"/>
      <c r="C7" s="26">
        <v>5</v>
      </c>
      <c r="D7" s="641" t="s">
        <v>293</v>
      </c>
      <c r="E7" s="36" t="s">
        <v>362</v>
      </c>
      <c r="F7" s="37" t="s">
        <v>428</v>
      </c>
      <c r="G7" s="36" t="s">
        <v>498</v>
      </c>
      <c r="H7" s="36" t="s">
        <v>612</v>
      </c>
      <c r="I7" s="641" t="s">
        <v>293</v>
      </c>
      <c r="J7" s="218" t="s">
        <v>843</v>
      </c>
      <c r="K7" s="249"/>
    </row>
    <row r="8" spans="1:12" ht="26.25" customHeight="1" x14ac:dyDescent="0.3">
      <c r="A8" s="245"/>
      <c r="B8" s="26"/>
      <c r="C8" s="26">
        <v>6</v>
      </c>
      <c r="D8" s="656"/>
      <c r="E8" s="440"/>
      <c r="F8" s="391"/>
      <c r="G8" s="440"/>
      <c r="H8" s="390"/>
      <c r="I8" s="656"/>
      <c r="J8" s="387"/>
      <c r="K8" s="249"/>
    </row>
    <row r="9" spans="1:12" ht="26.25" customHeight="1" x14ac:dyDescent="0.3">
      <c r="A9" s="245"/>
      <c r="B9" s="26"/>
      <c r="C9" s="26">
        <v>7</v>
      </c>
      <c r="D9" s="656"/>
      <c r="E9" s="440"/>
      <c r="F9" s="391"/>
      <c r="G9" s="440"/>
      <c r="H9" s="390"/>
      <c r="I9" s="656"/>
      <c r="J9" s="387"/>
      <c r="K9" s="246"/>
    </row>
    <row r="10" spans="1:12" ht="26.25" customHeight="1" x14ac:dyDescent="0.3">
      <c r="A10" s="245"/>
      <c r="B10" s="26"/>
      <c r="C10" s="26">
        <v>8</v>
      </c>
      <c r="D10" s="656"/>
      <c r="E10" s="36"/>
      <c r="F10" s="37"/>
      <c r="G10" s="441"/>
      <c r="H10" s="36"/>
      <c r="I10" s="656"/>
      <c r="J10" s="31"/>
      <c r="K10" s="246"/>
    </row>
    <row r="11" spans="1:12" ht="26.25" customHeight="1" x14ac:dyDescent="0.3">
      <c r="A11" s="245"/>
      <c r="B11" s="26"/>
      <c r="C11" s="26">
        <v>9</v>
      </c>
      <c r="D11" s="641" t="s">
        <v>293</v>
      </c>
      <c r="E11" s="556" t="s">
        <v>936</v>
      </c>
      <c r="F11" s="557" t="s">
        <v>937</v>
      </c>
      <c r="G11" s="556" t="s">
        <v>938</v>
      </c>
      <c r="H11" s="556" t="s">
        <v>941</v>
      </c>
      <c r="I11" s="641" t="s">
        <v>293</v>
      </c>
      <c r="J11" s="550" t="s">
        <v>940</v>
      </c>
      <c r="K11" s="246"/>
    </row>
    <row r="12" spans="1:12" ht="26.25" customHeight="1" x14ac:dyDescent="0.3">
      <c r="A12" s="245"/>
      <c r="B12" s="26"/>
      <c r="C12" s="26">
        <v>10</v>
      </c>
      <c r="D12" s="656"/>
      <c r="E12" s="428" t="s">
        <v>680</v>
      </c>
      <c r="F12" s="427" t="s">
        <v>680</v>
      </c>
      <c r="G12" s="428" t="s">
        <v>680</v>
      </c>
      <c r="H12" s="428" t="s">
        <v>680</v>
      </c>
      <c r="I12" s="656"/>
      <c r="J12" s="442" t="s">
        <v>680</v>
      </c>
      <c r="K12" s="246"/>
    </row>
    <row r="13" spans="1:12" ht="26.25" customHeight="1" x14ac:dyDescent="0.3">
      <c r="A13" s="245"/>
      <c r="B13" s="26"/>
      <c r="C13" s="26">
        <v>11</v>
      </c>
      <c r="D13" s="656"/>
      <c r="E13" s="428" t="s">
        <v>680</v>
      </c>
      <c r="F13" s="427" t="s">
        <v>680</v>
      </c>
      <c r="G13" s="428" t="s">
        <v>680</v>
      </c>
      <c r="H13" s="428" t="s">
        <v>680</v>
      </c>
      <c r="I13" s="656"/>
      <c r="J13" s="442" t="s">
        <v>680</v>
      </c>
      <c r="K13" s="246"/>
    </row>
    <row r="14" spans="1:12" ht="26.25" customHeight="1" x14ac:dyDescent="0.3">
      <c r="A14" s="245"/>
      <c r="B14" s="26"/>
      <c r="C14" s="26">
        <v>12</v>
      </c>
      <c r="D14" s="656"/>
      <c r="E14" s="428" t="s">
        <v>680</v>
      </c>
      <c r="F14" s="427" t="s">
        <v>680</v>
      </c>
      <c r="G14" s="428" t="s">
        <v>680</v>
      </c>
      <c r="H14" s="428" t="s">
        <v>680</v>
      </c>
      <c r="I14" s="656"/>
      <c r="J14" s="442" t="s">
        <v>680</v>
      </c>
      <c r="K14" s="246"/>
    </row>
    <row r="15" spans="1:12" ht="26.25" customHeight="1" x14ac:dyDescent="0.3">
      <c r="A15" s="271" t="s">
        <v>660</v>
      </c>
      <c r="B15" s="145" t="s">
        <v>662</v>
      </c>
      <c r="C15" s="147">
        <v>1</v>
      </c>
      <c r="D15" s="723" t="s">
        <v>199</v>
      </c>
      <c r="E15" s="582" t="s">
        <v>6</v>
      </c>
      <c r="F15" s="38" t="s">
        <v>910</v>
      </c>
      <c r="G15" s="588" t="s">
        <v>655</v>
      </c>
      <c r="H15" s="588" t="s">
        <v>663</v>
      </c>
      <c r="I15" s="723" t="s">
        <v>199</v>
      </c>
      <c r="J15" s="31" t="s">
        <v>665</v>
      </c>
      <c r="K15" s="102"/>
      <c r="L15" s="587"/>
    </row>
    <row r="16" spans="1:12" ht="26.25" customHeight="1" x14ac:dyDescent="0.3">
      <c r="A16" s="728" t="s">
        <v>661</v>
      </c>
      <c r="B16" s="729"/>
      <c r="C16" s="147">
        <v>2</v>
      </c>
      <c r="D16" s="723"/>
      <c r="E16" s="582" t="s">
        <v>6</v>
      </c>
      <c r="F16" s="38" t="s">
        <v>910</v>
      </c>
      <c r="G16" s="588" t="s">
        <v>655</v>
      </c>
      <c r="H16" s="588" t="s">
        <v>664</v>
      </c>
      <c r="I16" s="723"/>
      <c r="J16" s="31" t="s">
        <v>666</v>
      </c>
      <c r="K16" s="102"/>
      <c r="L16" s="587"/>
    </row>
    <row r="17" spans="1:12" ht="26.25" customHeight="1" x14ac:dyDescent="0.3">
      <c r="A17" s="730"/>
      <c r="B17" s="731"/>
      <c r="C17" s="147">
        <v>3</v>
      </c>
      <c r="D17" s="723"/>
      <c r="E17" s="582" t="s">
        <v>6</v>
      </c>
      <c r="F17" s="38" t="s">
        <v>669</v>
      </c>
      <c r="G17" s="588" t="s">
        <v>29</v>
      </c>
      <c r="H17" s="588" t="s">
        <v>670</v>
      </c>
      <c r="I17" s="723"/>
      <c r="J17" s="190" t="s">
        <v>658</v>
      </c>
      <c r="K17" s="102" t="s">
        <v>729</v>
      </c>
      <c r="L17" s="587"/>
    </row>
    <row r="18" spans="1:12" ht="26.25" customHeight="1" x14ac:dyDescent="0.3">
      <c r="A18" s="392"/>
      <c r="B18" s="393"/>
      <c r="C18" s="147">
        <v>4</v>
      </c>
      <c r="D18" s="723"/>
      <c r="E18" s="437" t="s">
        <v>680</v>
      </c>
      <c r="F18" s="427" t="s">
        <v>680</v>
      </c>
      <c r="G18" s="428" t="s">
        <v>680</v>
      </c>
      <c r="H18" s="428" t="s">
        <v>680</v>
      </c>
      <c r="I18" s="723"/>
      <c r="J18" s="442" t="s">
        <v>680</v>
      </c>
      <c r="K18" s="102"/>
      <c r="L18" s="587"/>
    </row>
    <row r="19" spans="1:12" ht="26.25" customHeight="1" x14ac:dyDescent="0.3">
      <c r="A19" s="392"/>
      <c r="B19" s="393"/>
      <c r="C19" s="147">
        <v>5</v>
      </c>
      <c r="D19" s="723"/>
      <c r="E19" s="437" t="s">
        <v>680</v>
      </c>
      <c r="F19" s="427" t="s">
        <v>680</v>
      </c>
      <c r="G19" s="428" t="s">
        <v>680</v>
      </c>
      <c r="H19" s="428" t="s">
        <v>680</v>
      </c>
      <c r="I19" s="723"/>
      <c r="J19" s="442" t="s">
        <v>680</v>
      </c>
      <c r="K19" s="102"/>
      <c r="L19" s="587"/>
    </row>
    <row r="20" spans="1:12" ht="26.25" customHeight="1" x14ac:dyDescent="0.3">
      <c r="A20" s="392"/>
      <c r="B20" s="393"/>
      <c r="C20" s="147">
        <v>6</v>
      </c>
      <c r="D20" s="723"/>
      <c r="E20" s="437" t="s">
        <v>680</v>
      </c>
      <c r="F20" s="427" t="s">
        <v>680</v>
      </c>
      <c r="G20" s="428" t="s">
        <v>680</v>
      </c>
      <c r="H20" s="428" t="s">
        <v>680</v>
      </c>
      <c r="I20" s="723"/>
      <c r="J20" s="442" t="s">
        <v>680</v>
      </c>
      <c r="K20" s="102"/>
      <c r="L20" s="587"/>
    </row>
    <row r="21" spans="1:12" ht="26.25" customHeight="1" x14ac:dyDescent="0.3">
      <c r="A21" s="392"/>
      <c r="B21" s="393"/>
      <c r="C21" s="147">
        <v>7</v>
      </c>
      <c r="D21" s="723"/>
      <c r="E21" s="437" t="s">
        <v>680</v>
      </c>
      <c r="F21" s="427" t="s">
        <v>680</v>
      </c>
      <c r="G21" s="428" t="s">
        <v>680</v>
      </c>
      <c r="H21" s="428" t="s">
        <v>680</v>
      </c>
      <c r="I21" s="723"/>
      <c r="J21" s="442" t="s">
        <v>680</v>
      </c>
      <c r="K21" s="102"/>
      <c r="L21" s="587"/>
    </row>
    <row r="22" spans="1:12" ht="26.25" customHeight="1" x14ac:dyDescent="0.3">
      <c r="A22" s="392"/>
      <c r="B22" s="393"/>
      <c r="C22" s="147">
        <v>8</v>
      </c>
      <c r="D22" s="723"/>
      <c r="E22" s="437" t="s">
        <v>680</v>
      </c>
      <c r="F22" s="427" t="s">
        <v>680</v>
      </c>
      <c r="G22" s="428" t="s">
        <v>680</v>
      </c>
      <c r="H22" s="428" t="s">
        <v>680</v>
      </c>
      <c r="I22" s="723"/>
      <c r="J22" s="442" t="s">
        <v>680</v>
      </c>
      <c r="K22" s="102"/>
      <c r="L22" s="587"/>
    </row>
    <row r="23" spans="1:12" ht="26.25" customHeight="1" x14ac:dyDescent="0.3">
      <c r="A23" s="392"/>
      <c r="B23" s="393"/>
      <c r="C23" s="147">
        <v>9</v>
      </c>
      <c r="D23" s="723"/>
      <c r="E23" s="437" t="s">
        <v>680</v>
      </c>
      <c r="F23" s="427" t="s">
        <v>680</v>
      </c>
      <c r="G23" s="428" t="s">
        <v>680</v>
      </c>
      <c r="H23" s="428" t="s">
        <v>680</v>
      </c>
      <c r="I23" s="723"/>
      <c r="J23" s="442" t="s">
        <v>680</v>
      </c>
      <c r="K23" s="102"/>
      <c r="L23" s="587"/>
    </row>
    <row r="24" spans="1:12" ht="26.25" customHeight="1" x14ac:dyDescent="0.3">
      <c r="A24" s="392"/>
      <c r="B24" s="393"/>
      <c r="C24" s="147">
        <v>10</v>
      </c>
      <c r="D24" s="723"/>
      <c r="E24" s="437" t="s">
        <v>680</v>
      </c>
      <c r="F24" s="427" t="s">
        <v>680</v>
      </c>
      <c r="G24" s="428" t="s">
        <v>680</v>
      </c>
      <c r="H24" s="428" t="s">
        <v>680</v>
      </c>
      <c r="I24" s="723"/>
      <c r="J24" s="442" t="s">
        <v>680</v>
      </c>
      <c r="K24" s="102"/>
      <c r="L24" s="587"/>
    </row>
    <row r="25" spans="1:12" ht="26.25" customHeight="1" x14ac:dyDescent="0.3">
      <c r="A25" s="392"/>
      <c r="B25" s="393"/>
      <c r="C25" s="147">
        <v>11</v>
      </c>
      <c r="D25" s="723"/>
      <c r="E25" s="437" t="s">
        <v>680</v>
      </c>
      <c r="F25" s="427" t="s">
        <v>680</v>
      </c>
      <c r="G25" s="428" t="s">
        <v>680</v>
      </c>
      <c r="H25" s="428" t="s">
        <v>680</v>
      </c>
      <c r="I25" s="723"/>
      <c r="J25" s="442" t="s">
        <v>680</v>
      </c>
      <c r="K25" s="102"/>
      <c r="L25" s="587"/>
    </row>
    <row r="26" spans="1:12" ht="26.25" customHeight="1" x14ac:dyDescent="0.3">
      <c r="A26" s="392"/>
      <c r="B26" s="393"/>
      <c r="C26" s="147">
        <v>12</v>
      </c>
      <c r="D26" s="723"/>
      <c r="E26" s="437" t="s">
        <v>680</v>
      </c>
      <c r="F26" s="427" t="s">
        <v>680</v>
      </c>
      <c r="G26" s="428" t="s">
        <v>680</v>
      </c>
      <c r="H26" s="428" t="s">
        <v>680</v>
      </c>
      <c r="I26" s="723"/>
      <c r="J26" s="442" t="s">
        <v>680</v>
      </c>
      <c r="K26" s="102"/>
      <c r="L26" s="587"/>
    </row>
    <row r="27" spans="1:12" ht="26.25" customHeight="1" x14ac:dyDescent="0.3">
      <c r="A27" s="271" t="s">
        <v>24</v>
      </c>
      <c r="B27" s="145" t="s">
        <v>40</v>
      </c>
      <c r="C27" s="147">
        <v>1</v>
      </c>
      <c r="D27" s="723" t="s">
        <v>199</v>
      </c>
      <c r="E27" s="582" t="s">
        <v>6</v>
      </c>
      <c r="F27" s="38" t="s">
        <v>596</v>
      </c>
      <c r="G27" s="588" t="s">
        <v>7</v>
      </c>
      <c r="H27" s="588" t="s">
        <v>607</v>
      </c>
      <c r="I27" s="723" t="s">
        <v>199</v>
      </c>
      <c r="J27" s="31" t="s">
        <v>600</v>
      </c>
      <c r="L27" s="587"/>
    </row>
    <row r="28" spans="1:12" ht="26.25" customHeight="1" x14ac:dyDescent="0.3">
      <c r="A28" s="722" t="s">
        <v>197</v>
      </c>
      <c r="B28" s="608"/>
      <c r="C28" s="147">
        <v>2</v>
      </c>
      <c r="D28" s="723"/>
      <c r="E28" s="36" t="s">
        <v>362</v>
      </c>
      <c r="F28" s="37" t="s">
        <v>428</v>
      </c>
      <c r="G28" s="36" t="s">
        <v>429</v>
      </c>
      <c r="H28" s="36" t="s">
        <v>611</v>
      </c>
      <c r="I28" s="723"/>
      <c r="J28" s="190" t="s">
        <v>613</v>
      </c>
      <c r="L28" s="587"/>
    </row>
    <row r="29" spans="1:12" ht="26.25" customHeight="1" x14ac:dyDescent="0.3">
      <c r="A29" s="677" t="s">
        <v>501</v>
      </c>
      <c r="B29" s="614"/>
      <c r="C29" s="147">
        <v>3</v>
      </c>
      <c r="D29" s="723"/>
      <c r="E29" s="36" t="s">
        <v>362</v>
      </c>
      <c r="F29" s="37" t="s">
        <v>428</v>
      </c>
      <c r="G29" s="36" t="s">
        <v>429</v>
      </c>
      <c r="H29" s="36" t="s">
        <v>612</v>
      </c>
      <c r="I29" s="723"/>
      <c r="J29" s="190" t="s">
        <v>614</v>
      </c>
      <c r="L29" s="587"/>
    </row>
    <row r="30" spans="1:12" ht="26.25" customHeight="1" x14ac:dyDescent="0.3">
      <c r="A30" s="281"/>
      <c r="B30" s="282"/>
      <c r="C30" s="147">
        <v>4</v>
      </c>
      <c r="D30" s="723"/>
      <c r="E30" s="582"/>
      <c r="F30" s="38"/>
      <c r="G30" s="588"/>
      <c r="H30" s="588"/>
      <c r="I30" s="723"/>
      <c r="J30" s="283"/>
      <c r="L30" s="587"/>
    </row>
    <row r="31" spans="1:12" ht="26.25" customHeight="1" x14ac:dyDescent="0.3">
      <c r="A31" s="281"/>
      <c r="B31" s="282"/>
      <c r="C31" s="147">
        <v>5</v>
      </c>
      <c r="D31" s="723"/>
      <c r="E31" s="551" t="s">
        <v>362</v>
      </c>
      <c r="F31" s="552" t="s">
        <v>428</v>
      </c>
      <c r="G31" s="553" t="s">
        <v>429</v>
      </c>
      <c r="H31" s="553" t="s">
        <v>942</v>
      </c>
      <c r="I31" s="723"/>
      <c r="J31" s="550" t="s">
        <v>939</v>
      </c>
      <c r="L31" s="587"/>
    </row>
    <row r="32" spans="1:12" ht="26.25" customHeight="1" x14ac:dyDescent="0.3">
      <c r="A32" s="281"/>
      <c r="B32" s="282"/>
      <c r="C32" s="147">
        <v>6</v>
      </c>
      <c r="D32" s="723"/>
      <c r="E32" s="582"/>
      <c r="F32" s="38"/>
      <c r="G32" s="588"/>
      <c r="H32" s="588"/>
      <c r="I32" s="723"/>
      <c r="J32" s="283"/>
      <c r="L32" s="587"/>
    </row>
    <row r="33" spans="1:12" ht="26.25" customHeight="1" x14ac:dyDescent="0.3">
      <c r="A33" s="281"/>
      <c r="B33" s="282"/>
      <c r="C33" s="147">
        <v>7</v>
      </c>
      <c r="D33" s="723"/>
      <c r="E33" s="582"/>
      <c r="F33" s="38"/>
      <c r="G33" s="588"/>
      <c r="H33" s="588"/>
      <c r="I33" s="723"/>
      <c r="J33" s="283"/>
      <c r="L33" s="587"/>
    </row>
    <row r="34" spans="1:12" ht="26.25" customHeight="1" x14ac:dyDescent="0.3">
      <c r="A34" s="281"/>
      <c r="B34" s="282"/>
      <c r="C34" s="147">
        <v>8</v>
      </c>
      <c r="D34" s="723"/>
      <c r="E34" s="582"/>
      <c r="F34" s="38"/>
      <c r="G34" s="588"/>
      <c r="H34" s="588"/>
      <c r="I34" s="723"/>
      <c r="J34" s="283"/>
      <c r="L34" s="587"/>
    </row>
    <row r="35" spans="1:12" ht="26.25" customHeight="1" x14ac:dyDescent="0.3">
      <c r="A35" s="281"/>
      <c r="B35" s="282"/>
      <c r="C35" s="147">
        <v>9</v>
      </c>
      <c r="D35" s="723"/>
      <c r="E35" s="551" t="s">
        <v>362</v>
      </c>
      <c r="F35" s="552" t="s">
        <v>428</v>
      </c>
      <c r="G35" s="553" t="s">
        <v>429</v>
      </c>
      <c r="H35" s="553" t="s">
        <v>941</v>
      </c>
      <c r="I35" s="723"/>
      <c r="J35" s="550" t="s">
        <v>940</v>
      </c>
      <c r="L35" s="587"/>
    </row>
    <row r="36" spans="1:12" ht="26.25" customHeight="1" x14ac:dyDescent="0.3">
      <c r="A36" s="281"/>
      <c r="B36" s="282"/>
      <c r="C36" s="147">
        <v>10</v>
      </c>
      <c r="D36" s="723"/>
      <c r="E36" s="582"/>
      <c r="F36" s="38"/>
      <c r="G36" s="588"/>
      <c r="H36" s="588"/>
      <c r="I36" s="723"/>
      <c r="J36" s="283"/>
      <c r="L36" s="587"/>
    </row>
    <row r="37" spans="1:12" ht="26.25" customHeight="1" x14ac:dyDescent="0.3">
      <c r="A37" s="281"/>
      <c r="B37" s="282"/>
      <c r="C37" s="147">
        <v>11</v>
      </c>
      <c r="D37" s="723"/>
      <c r="E37" s="582"/>
      <c r="F37" s="38"/>
      <c r="G37" s="588"/>
      <c r="H37" s="588"/>
      <c r="I37" s="723"/>
      <c r="J37" s="283"/>
      <c r="L37" s="587"/>
    </row>
    <row r="38" spans="1:12" ht="26.25" customHeight="1" x14ac:dyDescent="0.3">
      <c r="A38" s="281"/>
      <c r="B38" s="282"/>
      <c r="C38" s="147">
        <v>12</v>
      </c>
      <c r="D38" s="723"/>
      <c r="E38" s="582"/>
      <c r="F38" s="38"/>
      <c r="G38" s="588"/>
      <c r="H38" s="588"/>
      <c r="I38" s="723"/>
      <c r="J38" s="283"/>
      <c r="L38" s="587"/>
    </row>
    <row r="39" spans="1:12" ht="26.25" customHeight="1" x14ac:dyDescent="0.3">
      <c r="A39" s="281"/>
      <c r="B39" s="282"/>
      <c r="C39" s="147">
        <v>1</v>
      </c>
      <c r="D39" s="724" t="s">
        <v>73</v>
      </c>
      <c r="E39" s="582"/>
      <c r="F39" s="38"/>
      <c r="G39" s="588"/>
      <c r="H39" s="588"/>
      <c r="I39" s="724" t="s">
        <v>73</v>
      </c>
      <c r="J39" s="283"/>
      <c r="L39" s="587"/>
    </row>
    <row r="40" spans="1:12" ht="26.25" customHeight="1" x14ac:dyDescent="0.3">
      <c r="A40" s="281"/>
      <c r="B40" s="282"/>
      <c r="C40" s="147">
        <v>2</v>
      </c>
      <c r="D40" s="724"/>
      <c r="E40" s="582"/>
      <c r="F40" s="38"/>
      <c r="G40" s="588"/>
      <c r="H40" s="588"/>
      <c r="I40" s="724"/>
      <c r="J40" s="283"/>
      <c r="L40" s="587"/>
    </row>
    <row r="41" spans="1:12" ht="26.25" customHeight="1" x14ac:dyDescent="0.3">
      <c r="A41" s="281"/>
      <c r="B41" s="282"/>
      <c r="C41" s="147">
        <v>3</v>
      </c>
      <c r="D41" s="724"/>
      <c r="E41" s="582"/>
      <c r="F41" s="38"/>
      <c r="G41" s="588"/>
      <c r="H41" s="588"/>
      <c r="I41" s="724"/>
      <c r="J41" s="283"/>
      <c r="L41" s="587"/>
    </row>
    <row r="42" spans="1:12" ht="26.25" customHeight="1" x14ac:dyDescent="0.3">
      <c r="A42" s="284"/>
      <c r="B42" s="285"/>
      <c r="C42" s="151">
        <v>4</v>
      </c>
      <c r="D42" s="725"/>
      <c r="E42" s="290"/>
      <c r="F42" s="287"/>
      <c r="G42" s="589"/>
      <c r="H42" s="589"/>
      <c r="I42" s="725"/>
      <c r="J42" s="288"/>
      <c r="L42" s="587"/>
    </row>
    <row r="43" spans="1:12" ht="26.25" customHeight="1" x14ac:dyDescent="0.3">
      <c r="A43" s="583" t="s">
        <v>24</v>
      </c>
      <c r="B43" s="584" t="s">
        <v>23</v>
      </c>
      <c r="C43" s="276">
        <v>1</v>
      </c>
      <c r="D43" s="802" t="s">
        <v>20</v>
      </c>
      <c r="E43" s="809" t="s">
        <v>680</v>
      </c>
      <c r="F43" s="277"/>
      <c r="G43" s="809" t="s">
        <v>680</v>
      </c>
      <c r="H43" s="276"/>
      <c r="I43" s="803" t="s">
        <v>15</v>
      </c>
      <c r="J43" s="120"/>
      <c r="K43" s="812"/>
      <c r="L43" s="818" t="s">
        <v>951</v>
      </c>
    </row>
    <row r="44" spans="1:12" ht="26.25" customHeight="1" x14ac:dyDescent="0.3">
      <c r="A44" s="726" t="s">
        <v>37</v>
      </c>
      <c r="B44" s="727"/>
      <c r="C44" s="276">
        <v>2</v>
      </c>
      <c r="D44" s="802"/>
      <c r="E44" s="809" t="s">
        <v>680</v>
      </c>
      <c r="F44" s="810" t="s">
        <v>680</v>
      </c>
      <c r="G44" s="809" t="s">
        <v>680</v>
      </c>
      <c r="H44" s="809" t="s">
        <v>680</v>
      </c>
      <c r="I44" s="803"/>
      <c r="J44" s="811" t="s">
        <v>680</v>
      </c>
      <c r="K44" s="812"/>
      <c r="L44" s="784"/>
    </row>
    <row r="45" spans="1:12" ht="26.25" customHeight="1" x14ac:dyDescent="0.3">
      <c r="A45" s="677" t="s">
        <v>491</v>
      </c>
      <c r="B45" s="614"/>
      <c r="C45" s="276">
        <v>3</v>
      </c>
      <c r="D45" s="802"/>
      <c r="E45" s="809" t="s">
        <v>680</v>
      </c>
      <c r="F45" s="277"/>
      <c r="G45" s="809" t="s">
        <v>680</v>
      </c>
      <c r="H45" s="276"/>
      <c r="I45" s="803"/>
      <c r="J45" s="120"/>
      <c r="K45" s="812"/>
      <c r="L45" s="784"/>
    </row>
    <row r="46" spans="1:12" ht="26.25" customHeight="1" x14ac:dyDescent="0.3">
      <c r="A46" s="558"/>
      <c r="B46" s="276"/>
      <c r="C46" s="276">
        <v>4</v>
      </c>
      <c r="D46" s="802" t="s">
        <v>20</v>
      </c>
      <c r="E46" s="809" t="s">
        <v>680</v>
      </c>
      <c r="F46" s="819" t="s">
        <v>680</v>
      </c>
      <c r="G46" s="819" t="s">
        <v>680</v>
      </c>
      <c r="H46" s="819" t="s">
        <v>680</v>
      </c>
      <c r="I46" s="803" t="s">
        <v>15</v>
      </c>
      <c r="J46" s="819" t="s">
        <v>680</v>
      </c>
      <c r="K46" s="812"/>
      <c r="L46" s="784"/>
    </row>
    <row r="47" spans="1:12" ht="26.25" customHeight="1" x14ac:dyDescent="0.3">
      <c r="A47" s="558"/>
      <c r="B47" s="276"/>
      <c r="C47" s="276">
        <v>5</v>
      </c>
      <c r="D47" s="802"/>
      <c r="E47" s="809" t="s">
        <v>680</v>
      </c>
      <c r="F47" s="277" t="s">
        <v>38</v>
      </c>
      <c r="G47" s="809" t="s">
        <v>680</v>
      </c>
      <c r="H47" s="276" t="s">
        <v>118</v>
      </c>
      <c r="I47" s="803"/>
      <c r="J47" s="120" t="s">
        <v>946</v>
      </c>
      <c r="K47" s="812"/>
      <c r="L47" s="784"/>
    </row>
    <row r="48" spans="1:12" ht="26.25" customHeight="1" x14ac:dyDescent="0.3">
      <c r="A48" s="558"/>
      <c r="B48" s="276"/>
      <c r="C48" s="276">
        <v>6</v>
      </c>
      <c r="D48" s="802"/>
      <c r="E48" s="809" t="s">
        <v>680</v>
      </c>
      <c r="F48" s="277" t="s">
        <v>422</v>
      </c>
      <c r="G48" s="809" t="s">
        <v>680</v>
      </c>
      <c r="H48" s="276">
        <v>646</v>
      </c>
      <c r="I48" s="803"/>
      <c r="J48" s="120" t="s">
        <v>947</v>
      </c>
      <c r="K48" s="812"/>
      <c r="L48" s="784"/>
    </row>
    <row r="49" spans="1:12" ht="26.25" customHeight="1" x14ac:dyDescent="0.3">
      <c r="A49" s="558"/>
      <c r="B49" s="276"/>
      <c r="C49" s="276">
        <v>7</v>
      </c>
      <c r="D49" s="802" t="s">
        <v>20</v>
      </c>
      <c r="E49" s="809" t="s">
        <v>680</v>
      </c>
      <c r="F49" s="810" t="s">
        <v>680</v>
      </c>
      <c r="G49" s="809" t="s">
        <v>680</v>
      </c>
      <c r="H49" s="809" t="s">
        <v>680</v>
      </c>
      <c r="I49" s="802" t="s">
        <v>20</v>
      </c>
      <c r="J49" s="120"/>
      <c r="K49" s="812"/>
      <c r="L49" s="784"/>
    </row>
    <row r="50" spans="1:12" ht="26.25" customHeight="1" x14ac:dyDescent="0.3">
      <c r="A50" s="558"/>
      <c r="B50" s="276"/>
      <c r="C50" s="276">
        <v>8</v>
      </c>
      <c r="D50" s="802"/>
      <c r="E50" s="276"/>
      <c r="F50" s="277"/>
      <c r="G50" s="809"/>
      <c r="H50" s="276"/>
      <c r="I50" s="802"/>
      <c r="J50" s="120"/>
      <c r="K50" s="812"/>
      <c r="L50" s="784"/>
    </row>
    <row r="51" spans="1:12" ht="26.25" customHeight="1" x14ac:dyDescent="0.3">
      <c r="A51" s="558"/>
      <c r="B51" s="276"/>
      <c r="C51" s="276">
        <v>9</v>
      </c>
      <c r="D51" s="802"/>
      <c r="E51" s="809"/>
      <c r="F51" s="277"/>
      <c r="G51" s="809"/>
      <c r="H51" s="276"/>
      <c r="I51" s="802"/>
      <c r="J51" s="120"/>
      <c r="K51" s="812"/>
      <c r="L51" s="784"/>
    </row>
    <row r="52" spans="1:12" ht="26.25" customHeight="1" x14ac:dyDescent="0.3">
      <c r="A52" s="558"/>
      <c r="B52" s="276"/>
      <c r="C52" s="276">
        <v>10</v>
      </c>
      <c r="D52" s="802" t="s">
        <v>20</v>
      </c>
      <c r="E52" s="809"/>
      <c r="F52" s="810"/>
      <c r="G52" s="809"/>
      <c r="H52" s="819"/>
      <c r="I52" s="802" t="s">
        <v>20</v>
      </c>
      <c r="J52" s="120"/>
      <c r="K52" s="812"/>
      <c r="L52" s="784"/>
    </row>
    <row r="53" spans="1:12" ht="26.25" customHeight="1" x14ac:dyDescent="0.3">
      <c r="A53" s="558"/>
      <c r="B53" s="276"/>
      <c r="C53" s="276">
        <v>11</v>
      </c>
      <c r="D53" s="802"/>
      <c r="E53" s="276"/>
      <c r="F53" s="277"/>
      <c r="G53" s="809"/>
      <c r="H53" s="276"/>
      <c r="I53" s="802"/>
      <c r="J53" s="120"/>
      <c r="K53" s="812"/>
      <c r="L53" s="784"/>
    </row>
    <row r="54" spans="1:12" ht="26.25" customHeight="1" x14ac:dyDescent="0.3">
      <c r="A54" s="558"/>
      <c r="B54" s="276"/>
      <c r="C54" s="276">
        <v>12</v>
      </c>
      <c r="D54" s="802"/>
      <c r="E54" s="809" t="s">
        <v>680</v>
      </c>
      <c r="F54" s="810" t="s">
        <v>680</v>
      </c>
      <c r="G54" s="809" t="s">
        <v>680</v>
      </c>
      <c r="H54" s="809" t="s">
        <v>680</v>
      </c>
      <c r="I54" s="802"/>
      <c r="J54" s="811" t="s">
        <v>680</v>
      </c>
      <c r="K54" s="812"/>
      <c r="L54" s="784"/>
    </row>
    <row r="55" spans="1:12" ht="26.25" customHeight="1" x14ac:dyDescent="0.3">
      <c r="A55" s="245"/>
      <c r="B55" s="26"/>
      <c r="C55" s="26">
        <v>13</v>
      </c>
      <c r="D55" s="715"/>
      <c r="E55" s="428" t="s">
        <v>680</v>
      </c>
      <c r="F55" s="427" t="s">
        <v>680</v>
      </c>
      <c r="G55" s="428" t="s">
        <v>680</v>
      </c>
      <c r="H55" s="428" t="s">
        <v>680</v>
      </c>
      <c r="I55" s="715"/>
      <c r="J55" s="442" t="s">
        <v>680</v>
      </c>
      <c r="K55" s="246"/>
    </row>
    <row r="56" spans="1:12" ht="26.25" customHeight="1" x14ac:dyDescent="0.3">
      <c r="A56" s="245"/>
      <c r="B56" s="26"/>
      <c r="C56" s="26">
        <v>14</v>
      </c>
      <c r="D56" s="716"/>
      <c r="E56" s="428" t="s">
        <v>680</v>
      </c>
      <c r="F56" s="427" t="s">
        <v>680</v>
      </c>
      <c r="G56" s="428" t="s">
        <v>680</v>
      </c>
      <c r="H56" s="428" t="s">
        <v>680</v>
      </c>
      <c r="I56" s="716"/>
      <c r="J56" s="442" t="s">
        <v>680</v>
      </c>
      <c r="K56" s="246"/>
    </row>
    <row r="57" spans="1:12" ht="26.25" customHeight="1" x14ac:dyDescent="0.3">
      <c r="A57" s="245"/>
      <c r="B57" s="26"/>
      <c r="C57" s="26">
        <v>15</v>
      </c>
      <c r="D57" s="717"/>
      <c r="E57" s="428" t="s">
        <v>680</v>
      </c>
      <c r="F57" s="427" t="s">
        <v>680</v>
      </c>
      <c r="G57" s="428" t="s">
        <v>680</v>
      </c>
      <c r="H57" s="428" t="s">
        <v>680</v>
      </c>
      <c r="I57" s="717"/>
      <c r="J57" s="442" t="s">
        <v>680</v>
      </c>
      <c r="K57" s="246"/>
    </row>
    <row r="58" spans="1:12" ht="26.25" customHeight="1" x14ac:dyDescent="0.3">
      <c r="A58" s="245"/>
      <c r="B58" s="26"/>
      <c r="C58" s="26">
        <v>16</v>
      </c>
      <c r="D58" s="715"/>
      <c r="E58" s="428" t="s">
        <v>680</v>
      </c>
      <c r="F58" s="427" t="s">
        <v>680</v>
      </c>
      <c r="G58" s="428" t="s">
        <v>680</v>
      </c>
      <c r="H58" s="428" t="s">
        <v>680</v>
      </c>
      <c r="I58" s="715"/>
      <c r="J58" s="442" t="s">
        <v>680</v>
      </c>
      <c r="K58" s="246"/>
    </row>
    <row r="59" spans="1:12" ht="26.25" customHeight="1" x14ac:dyDescent="0.3">
      <c r="A59" s="245"/>
      <c r="B59" s="26"/>
      <c r="C59" s="26">
        <v>17</v>
      </c>
      <c r="D59" s="716"/>
      <c r="E59" s="428" t="s">
        <v>680</v>
      </c>
      <c r="F59" s="427" t="s">
        <v>680</v>
      </c>
      <c r="G59" s="428" t="s">
        <v>680</v>
      </c>
      <c r="H59" s="428" t="s">
        <v>680</v>
      </c>
      <c r="I59" s="716"/>
      <c r="J59" s="442" t="s">
        <v>680</v>
      </c>
      <c r="K59" s="246"/>
    </row>
    <row r="60" spans="1:12" ht="26.25" customHeight="1" x14ac:dyDescent="0.3">
      <c r="A60" s="245"/>
      <c r="B60" s="26"/>
      <c r="C60" s="26">
        <v>18</v>
      </c>
      <c r="D60" s="717"/>
      <c r="E60" s="428" t="s">
        <v>680</v>
      </c>
      <c r="F60" s="427" t="s">
        <v>680</v>
      </c>
      <c r="G60" s="428" t="s">
        <v>680</v>
      </c>
      <c r="H60" s="428" t="s">
        <v>680</v>
      </c>
      <c r="I60" s="717"/>
      <c r="J60" s="442" t="s">
        <v>680</v>
      </c>
      <c r="K60" s="246"/>
    </row>
    <row r="61" spans="1:12" ht="26.25" customHeight="1" x14ac:dyDescent="0.3">
      <c r="A61" s="804" t="s">
        <v>24</v>
      </c>
      <c r="B61" s="805" t="s">
        <v>40</v>
      </c>
      <c r="C61" s="315">
        <v>1</v>
      </c>
      <c r="D61" s="806" t="s">
        <v>13</v>
      </c>
      <c r="E61" s="315" t="s">
        <v>28</v>
      </c>
      <c r="F61" s="316" t="s">
        <v>37</v>
      </c>
      <c r="G61" s="315"/>
      <c r="H61" s="315" t="s">
        <v>484</v>
      </c>
      <c r="I61" s="806" t="s">
        <v>13</v>
      </c>
      <c r="J61" s="807" t="s">
        <v>485</v>
      </c>
      <c r="K61" s="808"/>
      <c r="L61" s="53" t="s">
        <v>945</v>
      </c>
    </row>
    <row r="62" spans="1:12" ht="26.25" customHeight="1" x14ac:dyDescent="0.3">
      <c r="A62" s="726" t="s">
        <v>420</v>
      </c>
      <c r="B62" s="727"/>
      <c r="C62" s="276">
        <v>2</v>
      </c>
      <c r="D62" s="806"/>
      <c r="E62" s="809" t="s">
        <v>680</v>
      </c>
      <c r="F62" s="810" t="s">
        <v>680</v>
      </c>
      <c r="G62" s="809" t="s">
        <v>680</v>
      </c>
      <c r="H62" s="809" t="s">
        <v>680</v>
      </c>
      <c r="I62" s="806"/>
      <c r="J62" s="811" t="s">
        <v>680</v>
      </c>
      <c r="K62" s="812"/>
    </row>
    <row r="63" spans="1:12" ht="26.25" customHeight="1" x14ac:dyDescent="0.3">
      <c r="A63" s="677" t="s">
        <v>491</v>
      </c>
      <c r="B63" s="614"/>
      <c r="C63" s="315">
        <v>3</v>
      </c>
      <c r="D63" s="806"/>
      <c r="E63" s="315"/>
      <c r="F63" s="316"/>
      <c r="G63" s="315"/>
      <c r="H63" s="315"/>
      <c r="I63" s="806"/>
      <c r="J63" s="807"/>
      <c r="K63" s="813" t="s">
        <v>668</v>
      </c>
    </row>
    <row r="64" spans="1:12" ht="26.25" customHeight="1" x14ac:dyDescent="0.3">
      <c r="A64" s="558"/>
      <c r="B64" s="276"/>
      <c r="C64" s="276">
        <v>4</v>
      </c>
      <c r="D64" s="806"/>
      <c r="E64" s="809" t="s">
        <v>680</v>
      </c>
      <c r="F64" s="810" t="s">
        <v>680</v>
      </c>
      <c r="G64" s="809" t="s">
        <v>680</v>
      </c>
      <c r="H64" s="809" t="s">
        <v>680</v>
      </c>
      <c r="I64" s="806"/>
      <c r="J64" s="811" t="s">
        <v>680</v>
      </c>
      <c r="K64" s="813"/>
    </row>
    <row r="65" spans="1:12" ht="26.25" customHeight="1" x14ac:dyDescent="0.3">
      <c r="A65" s="558"/>
      <c r="B65" s="276"/>
      <c r="C65" s="276">
        <v>5</v>
      </c>
      <c r="D65" s="806" t="s">
        <v>13</v>
      </c>
      <c r="E65" s="809" t="s">
        <v>680</v>
      </c>
      <c r="F65" s="810" t="s">
        <v>680</v>
      </c>
      <c r="G65" s="809" t="s">
        <v>680</v>
      </c>
      <c r="H65" s="809" t="s">
        <v>680</v>
      </c>
      <c r="I65" s="806" t="s">
        <v>13</v>
      </c>
      <c r="J65" s="138"/>
      <c r="K65" s="814"/>
    </row>
    <row r="66" spans="1:12" ht="26.25" customHeight="1" x14ac:dyDescent="0.3">
      <c r="A66" s="558"/>
      <c r="B66" s="276"/>
      <c r="C66" s="276">
        <v>6</v>
      </c>
      <c r="D66" s="806"/>
      <c r="E66" s="809" t="s">
        <v>680</v>
      </c>
      <c r="F66" s="810" t="s">
        <v>680</v>
      </c>
      <c r="G66" s="809" t="s">
        <v>680</v>
      </c>
      <c r="H66" s="809" t="s">
        <v>680</v>
      </c>
      <c r="I66" s="806"/>
      <c r="J66" s="815"/>
      <c r="K66" s="816"/>
    </row>
    <row r="67" spans="1:12" ht="26.25" customHeight="1" x14ac:dyDescent="0.3">
      <c r="A67" s="558"/>
      <c r="B67" s="276"/>
      <c r="C67" s="276">
        <v>7</v>
      </c>
      <c r="D67" s="806"/>
      <c r="E67" s="809" t="s">
        <v>680</v>
      </c>
      <c r="F67" s="810" t="s">
        <v>680</v>
      </c>
      <c r="G67" s="809" t="s">
        <v>680</v>
      </c>
      <c r="H67" s="809" t="s">
        <v>680</v>
      </c>
      <c r="I67" s="806"/>
      <c r="J67" s="120"/>
      <c r="K67" s="812"/>
    </row>
    <row r="68" spans="1:12" ht="26.25" customHeight="1" x14ac:dyDescent="0.3">
      <c r="A68" s="558"/>
      <c r="B68" s="276"/>
      <c r="C68" s="276">
        <v>8</v>
      </c>
      <c r="D68" s="806"/>
      <c r="E68" s="276"/>
      <c r="F68" s="277" t="s">
        <v>480</v>
      </c>
      <c r="G68" s="276"/>
      <c r="H68" s="276" t="s">
        <v>488</v>
      </c>
      <c r="I68" s="806"/>
      <c r="J68" s="120" t="s">
        <v>518</v>
      </c>
      <c r="K68" s="812" t="s">
        <v>730</v>
      </c>
    </row>
    <row r="69" spans="1:12" ht="26.25" customHeight="1" x14ac:dyDescent="0.3">
      <c r="A69" s="558"/>
      <c r="B69" s="276"/>
      <c r="C69" s="276">
        <v>9</v>
      </c>
      <c r="D69" s="817"/>
      <c r="E69" s="809" t="s">
        <v>680</v>
      </c>
      <c r="F69" s="810" t="s">
        <v>680</v>
      </c>
      <c r="G69" s="809" t="s">
        <v>680</v>
      </c>
      <c r="H69" s="809" t="s">
        <v>680</v>
      </c>
      <c r="I69" s="817"/>
      <c r="J69" s="120"/>
      <c r="K69" s="812"/>
    </row>
    <row r="70" spans="1:12" ht="26.25" customHeight="1" x14ac:dyDescent="0.3">
      <c r="A70" s="558"/>
      <c r="B70" s="276"/>
      <c r="C70" s="276">
        <v>10</v>
      </c>
      <c r="D70" s="817"/>
      <c r="E70" s="276"/>
      <c r="F70" s="277"/>
      <c r="G70" s="276"/>
      <c r="H70" s="276"/>
      <c r="I70" s="817"/>
      <c r="J70" s="120"/>
      <c r="K70" s="812"/>
    </row>
    <row r="71" spans="1:12" ht="26.25" customHeight="1" x14ac:dyDescent="0.3">
      <c r="A71" s="558"/>
      <c r="B71" s="276"/>
      <c r="C71" s="276">
        <v>11</v>
      </c>
      <c r="D71" s="817"/>
      <c r="E71" s="276"/>
      <c r="F71" s="277"/>
      <c r="G71" s="276"/>
      <c r="H71" s="276"/>
      <c r="I71" s="817"/>
      <c r="J71" s="120"/>
      <c r="K71" s="812"/>
    </row>
    <row r="72" spans="1:12" ht="26.25" customHeight="1" x14ac:dyDescent="0.3">
      <c r="A72" s="558"/>
      <c r="B72" s="276"/>
      <c r="C72" s="276">
        <v>12</v>
      </c>
      <c r="D72" s="817"/>
      <c r="E72" s="276"/>
      <c r="F72" s="277"/>
      <c r="G72" s="276"/>
      <c r="H72" s="276"/>
      <c r="I72" s="817"/>
      <c r="J72" s="120"/>
      <c r="K72" s="812"/>
    </row>
    <row r="73" spans="1:12" ht="26.25" customHeight="1" x14ac:dyDescent="0.3">
      <c r="A73" s="558"/>
      <c r="B73" s="276"/>
      <c r="C73" s="276">
        <v>13</v>
      </c>
      <c r="D73" s="817"/>
      <c r="E73" s="276"/>
      <c r="F73" s="277"/>
      <c r="G73" s="276"/>
      <c r="H73" s="276"/>
      <c r="I73" s="817"/>
      <c r="J73" s="120"/>
      <c r="K73" s="812"/>
    </row>
    <row r="74" spans="1:12" ht="26.25" customHeight="1" x14ac:dyDescent="0.3">
      <c r="A74" s="558"/>
      <c r="B74" s="276"/>
      <c r="C74" s="276">
        <v>14</v>
      </c>
      <c r="D74" s="817"/>
      <c r="E74" s="276"/>
      <c r="F74" s="277"/>
      <c r="G74" s="276"/>
      <c r="H74" s="276"/>
      <c r="I74" s="817"/>
      <c r="J74" s="120"/>
      <c r="K74" s="812"/>
    </row>
    <row r="75" spans="1:12" ht="26.25" customHeight="1" x14ac:dyDescent="0.3">
      <c r="A75" s="558"/>
      <c r="B75" s="276"/>
      <c r="C75" s="276">
        <v>15</v>
      </c>
      <c r="D75" s="817"/>
      <c r="E75" s="276"/>
      <c r="F75" s="277"/>
      <c r="G75" s="276"/>
      <c r="H75" s="276"/>
      <c r="I75" s="817"/>
      <c r="J75" s="120"/>
      <c r="K75" s="812"/>
    </row>
    <row r="76" spans="1:12" ht="26.25" customHeight="1" x14ac:dyDescent="0.3">
      <c r="A76" s="558"/>
      <c r="B76" s="276"/>
      <c r="C76" s="276">
        <v>16</v>
      </c>
      <c r="D76" s="817"/>
      <c r="E76" s="276"/>
      <c r="F76" s="277"/>
      <c r="G76" s="276"/>
      <c r="H76" s="276"/>
      <c r="I76" s="817"/>
      <c r="J76" s="120"/>
      <c r="K76" s="812"/>
    </row>
    <row r="77" spans="1:12" ht="26.25" customHeight="1" x14ac:dyDescent="0.3">
      <c r="A77" s="247" t="s">
        <v>486</v>
      </c>
      <c r="B77" s="230" t="s">
        <v>487</v>
      </c>
      <c r="C77" s="26">
        <v>1</v>
      </c>
      <c r="D77" s="721" t="s">
        <v>20</v>
      </c>
      <c r="E77" s="26"/>
      <c r="F77" s="38"/>
      <c r="G77" s="26"/>
      <c r="H77" s="26"/>
      <c r="I77" s="721" t="s">
        <v>20</v>
      </c>
      <c r="J77" s="31"/>
      <c r="K77" s="246"/>
      <c r="L77" s="53" t="s">
        <v>945</v>
      </c>
    </row>
    <row r="78" spans="1:12" ht="26.25" customHeight="1" x14ac:dyDescent="0.3">
      <c r="A78" s="726" t="s">
        <v>481</v>
      </c>
      <c r="B78" s="727"/>
      <c r="C78" s="26">
        <v>2</v>
      </c>
      <c r="D78" s="721"/>
      <c r="E78" s="26"/>
      <c r="F78" s="38"/>
      <c r="G78" s="26"/>
      <c r="H78" s="26"/>
      <c r="I78" s="721"/>
      <c r="J78" s="31"/>
      <c r="K78" s="246"/>
    </row>
    <row r="79" spans="1:12" ht="26.25" customHeight="1" x14ac:dyDescent="0.3">
      <c r="A79" s="245"/>
      <c r="B79" s="26"/>
      <c r="C79" s="26">
        <v>3</v>
      </c>
      <c r="D79" s="721"/>
      <c r="E79" s="26"/>
      <c r="F79" s="38"/>
      <c r="G79" s="26"/>
      <c r="H79" s="26"/>
      <c r="I79" s="721"/>
      <c r="J79" s="31"/>
      <c r="K79" s="246"/>
    </row>
    <row r="80" spans="1:12" ht="26.25" customHeight="1" x14ac:dyDescent="0.3">
      <c r="A80" s="245"/>
      <c r="B80" s="26"/>
      <c r="C80" s="26">
        <v>4</v>
      </c>
      <c r="D80" s="714"/>
      <c r="E80" s="26"/>
      <c r="F80" s="38"/>
      <c r="G80" s="26"/>
      <c r="H80" s="26"/>
      <c r="I80" s="714"/>
      <c r="J80" s="31"/>
      <c r="K80" s="246"/>
    </row>
    <row r="81" spans="1:11" ht="26.25" customHeight="1" x14ac:dyDescent="0.3">
      <c r="A81" s="245"/>
      <c r="B81" s="26"/>
      <c r="C81" s="26">
        <v>5</v>
      </c>
      <c r="D81" s="714"/>
      <c r="E81" s="26"/>
      <c r="F81" s="38"/>
      <c r="G81" s="26"/>
      <c r="H81" s="26"/>
      <c r="I81" s="714"/>
      <c r="J81" s="31"/>
      <c r="K81" s="246"/>
    </row>
    <row r="82" spans="1:11" ht="26.25" customHeight="1" x14ac:dyDescent="0.3">
      <c r="A82" s="245"/>
      <c r="B82" s="26"/>
      <c r="C82" s="26">
        <v>6</v>
      </c>
      <c r="D82" s="714"/>
      <c r="E82" s="26"/>
      <c r="F82" s="38"/>
      <c r="G82" s="26"/>
      <c r="H82" s="26"/>
      <c r="I82" s="714"/>
      <c r="J82" s="31"/>
      <c r="K82" s="246"/>
    </row>
    <row r="83" spans="1:11" ht="26.25" customHeight="1" x14ac:dyDescent="0.3">
      <c r="A83" s="245"/>
      <c r="B83" s="26"/>
      <c r="C83" s="26">
        <v>7</v>
      </c>
      <c r="D83" s="714"/>
      <c r="E83" s="26"/>
      <c r="F83" s="38"/>
      <c r="G83" s="26"/>
      <c r="H83" s="26"/>
      <c r="I83" s="714"/>
      <c r="J83" s="31"/>
      <c r="K83" s="246"/>
    </row>
    <row r="84" spans="1:11" ht="26.25" customHeight="1" x14ac:dyDescent="0.3">
      <c r="A84" s="245"/>
      <c r="B84" s="26"/>
      <c r="C84" s="26">
        <v>8</v>
      </c>
      <c r="D84" s="714"/>
      <c r="E84" s="26"/>
      <c r="F84" s="38"/>
      <c r="G84" s="26"/>
      <c r="H84" s="26"/>
      <c r="I84" s="714"/>
      <c r="J84" s="31"/>
      <c r="K84" s="246"/>
    </row>
    <row r="85" spans="1:11" ht="26.25" customHeight="1" x14ac:dyDescent="0.3">
      <c r="A85" s="245"/>
      <c r="B85" s="26"/>
      <c r="C85" s="26">
        <v>9</v>
      </c>
      <c r="D85" s="714"/>
      <c r="E85" s="26"/>
      <c r="F85" s="38"/>
      <c r="G85" s="26"/>
      <c r="H85" s="26"/>
      <c r="I85" s="714"/>
      <c r="J85" s="31"/>
      <c r="K85" s="246"/>
    </row>
    <row r="86" spans="1:11" ht="26.25" customHeight="1" x14ac:dyDescent="0.3">
      <c r="A86" s="245"/>
      <c r="B86" s="26"/>
      <c r="C86" s="26">
        <v>10</v>
      </c>
      <c r="D86" s="714"/>
      <c r="E86" s="26"/>
      <c r="F86" s="38"/>
      <c r="G86" s="26"/>
      <c r="H86" s="26"/>
      <c r="I86" s="714"/>
      <c r="J86" s="31"/>
      <c r="K86" s="246"/>
    </row>
    <row r="87" spans="1:11" ht="26.25" customHeight="1" x14ac:dyDescent="0.3">
      <c r="A87" s="245"/>
      <c r="B87" s="26"/>
      <c r="C87" s="26">
        <v>11</v>
      </c>
      <c r="D87" s="714"/>
      <c r="E87" s="26"/>
      <c r="F87" s="38"/>
      <c r="G87" s="26"/>
      <c r="H87" s="26"/>
      <c r="I87" s="714"/>
      <c r="J87" s="31"/>
      <c r="K87" s="246"/>
    </row>
    <row r="88" spans="1:11" ht="26.25" customHeight="1" x14ac:dyDescent="0.3">
      <c r="A88" s="245"/>
      <c r="B88" s="26"/>
      <c r="C88" s="26">
        <v>12</v>
      </c>
      <c r="D88" s="714"/>
      <c r="E88" s="26"/>
      <c r="F88" s="38"/>
      <c r="G88" s="26"/>
      <c r="H88" s="26"/>
      <c r="I88" s="714"/>
      <c r="J88" s="31"/>
      <c r="K88" s="246"/>
    </row>
    <row r="89" spans="1:11" ht="26.25" customHeight="1" x14ac:dyDescent="0.3">
      <c r="A89" s="245"/>
      <c r="B89" s="26"/>
      <c r="C89" s="26">
        <v>13</v>
      </c>
      <c r="D89" s="714"/>
      <c r="E89" s="26"/>
      <c r="F89" s="38"/>
      <c r="G89" s="26"/>
      <c r="H89" s="26"/>
      <c r="I89" s="714"/>
      <c r="J89" s="31"/>
      <c r="K89" s="246"/>
    </row>
    <row r="90" spans="1:11" ht="26.25" customHeight="1" x14ac:dyDescent="0.3">
      <c r="A90" s="245"/>
      <c r="B90" s="26"/>
      <c r="C90" s="26">
        <v>14</v>
      </c>
      <c r="D90" s="714"/>
      <c r="E90" s="26"/>
      <c r="F90" s="38"/>
      <c r="G90" s="26"/>
      <c r="H90" s="26"/>
      <c r="I90" s="714"/>
      <c r="J90" s="31"/>
      <c r="K90" s="246"/>
    </row>
    <row r="91" spans="1:11" ht="26.25" customHeight="1" x14ac:dyDescent="0.3">
      <c r="A91" s="245"/>
      <c r="B91" s="26"/>
      <c r="C91" s="26">
        <v>15</v>
      </c>
      <c r="D91" s="714"/>
      <c r="E91" s="26"/>
      <c r="F91" s="38"/>
      <c r="G91" s="26"/>
      <c r="H91" s="26"/>
      <c r="I91" s="714"/>
      <c r="J91" s="31"/>
      <c r="K91" s="246"/>
    </row>
    <row r="92" spans="1:11" ht="26.25" customHeight="1" x14ac:dyDescent="0.3">
      <c r="A92" s="245"/>
      <c r="B92" s="26"/>
      <c r="C92" s="26">
        <v>16</v>
      </c>
      <c r="D92" s="714"/>
      <c r="E92" s="26"/>
      <c r="F92" s="38"/>
      <c r="G92" s="26"/>
      <c r="H92" s="26"/>
      <c r="I92" s="714"/>
      <c r="J92" s="31"/>
      <c r="K92" s="246"/>
    </row>
    <row r="93" spans="1:11" ht="26.25" customHeight="1" x14ac:dyDescent="0.3">
      <c r="A93" s="245"/>
      <c r="B93" s="26"/>
      <c r="C93" s="26">
        <v>17</v>
      </c>
      <c r="D93" s="714"/>
      <c r="E93" s="26"/>
      <c r="F93" s="38"/>
      <c r="G93" s="26"/>
      <c r="H93" s="26"/>
      <c r="I93" s="714"/>
      <c r="J93" s="31"/>
      <c r="K93" s="246"/>
    </row>
    <row r="94" spans="1:11" ht="26.25" customHeight="1" x14ac:dyDescent="0.3">
      <c r="A94" s="245"/>
      <c r="B94" s="26"/>
      <c r="C94" s="26">
        <v>18</v>
      </c>
      <c r="D94" s="714"/>
      <c r="E94" s="26"/>
      <c r="F94" s="38"/>
      <c r="G94" s="26"/>
      <c r="H94" s="26"/>
      <c r="I94" s="714"/>
      <c r="J94" s="31"/>
      <c r="K94" s="246"/>
    </row>
    <row r="95" spans="1:11" ht="26.25" customHeight="1" x14ac:dyDescent="0.3">
      <c r="A95" s="245"/>
      <c r="B95" s="26"/>
      <c r="C95" s="26">
        <v>19</v>
      </c>
      <c r="D95" s="714"/>
      <c r="E95" s="26"/>
      <c r="F95" s="38"/>
      <c r="G95" s="26"/>
      <c r="H95" s="26"/>
      <c r="I95" s="714"/>
      <c r="J95" s="31"/>
      <c r="K95" s="246"/>
    </row>
    <row r="96" spans="1:11" ht="26.25" customHeight="1" x14ac:dyDescent="0.3">
      <c r="A96" s="245"/>
      <c r="B96" s="26"/>
      <c r="C96" s="26">
        <v>20</v>
      </c>
      <c r="D96" s="714"/>
      <c r="E96" s="26"/>
      <c r="F96" s="38"/>
      <c r="G96" s="26"/>
      <c r="H96" s="26"/>
      <c r="I96" s="714"/>
      <c r="J96" s="31"/>
      <c r="K96" s="246"/>
    </row>
    <row r="97" spans="1:11" ht="26.25" customHeight="1" x14ac:dyDescent="0.3">
      <c r="A97" s="245"/>
      <c r="B97" s="26"/>
      <c r="C97" s="26">
        <v>21</v>
      </c>
      <c r="D97" s="714"/>
      <c r="E97" s="26"/>
      <c r="F97" s="38"/>
      <c r="G97" s="26"/>
      <c r="H97" s="26"/>
      <c r="I97" s="714"/>
      <c r="J97" s="31"/>
      <c r="K97" s="246"/>
    </row>
    <row r="98" spans="1:11" ht="26.25" customHeight="1" x14ac:dyDescent="0.3">
      <c r="A98" s="245"/>
      <c r="B98" s="26"/>
      <c r="C98" s="26">
        <v>22</v>
      </c>
      <c r="D98" s="714"/>
      <c r="E98" s="26"/>
      <c r="F98" s="38"/>
      <c r="G98" s="26"/>
      <c r="H98" s="26"/>
      <c r="I98" s="714"/>
      <c r="J98" s="31"/>
      <c r="K98" s="246"/>
    </row>
    <row r="99" spans="1:11" ht="26.25" customHeight="1" x14ac:dyDescent="0.3">
      <c r="A99" s="245"/>
      <c r="B99" s="26"/>
      <c r="C99" s="26">
        <v>23</v>
      </c>
      <c r="D99" s="714"/>
      <c r="E99" s="26"/>
      <c r="F99" s="38"/>
      <c r="G99" s="26"/>
      <c r="H99" s="26"/>
      <c r="I99" s="714"/>
      <c r="J99" s="31"/>
      <c r="K99" s="246"/>
    </row>
    <row r="100" spans="1:11" ht="26.25" customHeight="1" x14ac:dyDescent="0.3">
      <c r="A100" s="245"/>
      <c r="B100" s="26"/>
      <c r="C100" s="26">
        <v>24</v>
      </c>
      <c r="D100" s="714"/>
      <c r="E100" s="26"/>
      <c r="F100" s="38"/>
      <c r="G100" s="26"/>
      <c r="H100" s="26"/>
      <c r="I100" s="714"/>
      <c r="J100" s="31"/>
      <c r="K100" s="246"/>
    </row>
    <row r="101" spans="1:11" ht="26.25" customHeight="1" x14ac:dyDescent="0.3">
      <c r="A101" s="245"/>
      <c r="B101" s="26"/>
      <c r="C101" s="26">
        <v>25</v>
      </c>
      <c r="D101" s="714"/>
      <c r="E101" s="26"/>
      <c r="F101" s="38"/>
      <c r="G101" s="26"/>
      <c r="H101" s="26"/>
      <c r="I101" s="714"/>
      <c r="J101" s="31"/>
      <c r="K101" s="246"/>
    </row>
    <row r="102" spans="1:11" ht="26.25" customHeight="1" x14ac:dyDescent="0.3">
      <c r="A102" s="245"/>
      <c r="B102" s="26"/>
      <c r="C102" s="26">
        <v>26</v>
      </c>
      <c r="D102" s="714"/>
      <c r="E102" s="26"/>
      <c r="F102" s="38"/>
      <c r="G102" s="26"/>
      <c r="H102" s="26"/>
      <c r="I102" s="714"/>
      <c r="J102" s="31"/>
      <c r="K102" s="246"/>
    </row>
    <row r="103" spans="1:11" ht="26.25" customHeight="1" x14ac:dyDescent="0.3">
      <c r="A103" s="245"/>
      <c r="B103" s="26"/>
      <c r="C103" s="26">
        <v>27</v>
      </c>
      <c r="D103" s="714"/>
      <c r="E103" s="26"/>
      <c r="F103" s="38"/>
      <c r="G103" s="26"/>
      <c r="H103" s="26"/>
      <c r="I103" s="714"/>
      <c r="J103" s="31"/>
      <c r="K103" s="246"/>
    </row>
    <row r="104" spans="1:11" ht="26.25" customHeight="1" x14ac:dyDescent="0.3">
      <c r="A104" s="245"/>
      <c r="B104" s="26"/>
      <c r="C104" s="26">
        <v>28</v>
      </c>
      <c r="D104" s="714"/>
      <c r="E104" s="26"/>
      <c r="F104" s="38"/>
      <c r="G104" s="26"/>
      <c r="H104" s="26"/>
      <c r="I104" s="714"/>
      <c r="J104" s="31"/>
      <c r="K104" s="246"/>
    </row>
    <row r="105" spans="1:11" ht="26.25" customHeight="1" x14ac:dyDescent="0.3">
      <c r="A105" s="245"/>
      <c r="B105" s="26"/>
      <c r="C105" s="26">
        <v>29</v>
      </c>
      <c r="D105" s="714"/>
      <c r="E105" s="26"/>
      <c r="F105" s="38"/>
      <c r="G105" s="26"/>
      <c r="H105" s="26"/>
      <c r="I105" s="714"/>
      <c r="J105" s="31"/>
      <c r="K105" s="246"/>
    </row>
    <row r="106" spans="1:11" ht="26.25" customHeight="1" x14ac:dyDescent="0.3">
      <c r="A106" s="245"/>
      <c r="B106" s="26"/>
      <c r="C106" s="26">
        <v>30</v>
      </c>
      <c r="D106" s="714"/>
      <c r="E106" s="26"/>
      <c r="F106" s="38"/>
      <c r="G106" s="26"/>
      <c r="H106" s="26"/>
      <c r="I106" s="714"/>
      <c r="J106" s="31"/>
      <c r="K106" s="246"/>
    </row>
  </sheetData>
  <mergeCells count="65">
    <mergeCell ref="D39:D42"/>
    <mergeCell ref="I39:I42"/>
    <mergeCell ref="D15:D26"/>
    <mergeCell ref="I15:I26"/>
    <mergeCell ref="A16:B16"/>
    <mergeCell ref="A17:B17"/>
    <mergeCell ref="D27:D38"/>
    <mergeCell ref="I27:I38"/>
    <mergeCell ref="A28:B28"/>
    <mergeCell ref="A29:B29"/>
    <mergeCell ref="A1:K1"/>
    <mergeCell ref="D52:D54"/>
    <mergeCell ref="I52:I54"/>
    <mergeCell ref="D55:D57"/>
    <mergeCell ref="A5:B5"/>
    <mergeCell ref="A45:B45"/>
    <mergeCell ref="D3:D6"/>
    <mergeCell ref="I3:I6"/>
    <mergeCell ref="E2:H2"/>
    <mergeCell ref="D11:D14"/>
    <mergeCell ref="I11:I14"/>
    <mergeCell ref="A4:B4"/>
    <mergeCell ref="D7:D10"/>
    <mergeCell ref="I7:I10"/>
    <mergeCell ref="D43:D45"/>
    <mergeCell ref="D83:D85"/>
    <mergeCell ref="I83:I85"/>
    <mergeCell ref="D92:D94"/>
    <mergeCell ref="I92:I94"/>
    <mergeCell ref="D95:D97"/>
    <mergeCell ref="I95:I97"/>
    <mergeCell ref="I86:I88"/>
    <mergeCell ref="D98:D100"/>
    <mergeCell ref="I98:I100"/>
    <mergeCell ref="D101:D103"/>
    <mergeCell ref="I101:I103"/>
    <mergeCell ref="D104:D106"/>
    <mergeCell ref="I104:I106"/>
    <mergeCell ref="A62:B62"/>
    <mergeCell ref="A78:B78"/>
    <mergeCell ref="D80:D82"/>
    <mergeCell ref="I80:I82"/>
    <mergeCell ref="D89:D91"/>
    <mergeCell ref="I77:I79"/>
    <mergeCell ref="D77:D79"/>
    <mergeCell ref="I43:I45"/>
    <mergeCell ref="A44:B44"/>
    <mergeCell ref="D46:D48"/>
    <mergeCell ref="I46:I48"/>
    <mergeCell ref="D49:D51"/>
    <mergeCell ref="I49:I51"/>
    <mergeCell ref="D58:D60"/>
    <mergeCell ref="A63:B63"/>
    <mergeCell ref="D61:D64"/>
    <mergeCell ref="I61:I64"/>
    <mergeCell ref="I55:I57"/>
    <mergeCell ref="I58:I60"/>
    <mergeCell ref="D86:D88"/>
    <mergeCell ref="I89:I91"/>
    <mergeCell ref="D65:D68"/>
    <mergeCell ref="I65:I68"/>
    <mergeCell ref="D69:D72"/>
    <mergeCell ref="I69:I72"/>
    <mergeCell ref="D73:D76"/>
    <mergeCell ref="I73:I76"/>
  </mergeCells>
  <phoneticPr fontId="27" type="noConversion"/>
  <pageMargins left="0.7" right="0.7" top="0.75" bottom="0.75" header="0.3" footer="0.3"/>
  <pageSetup paperSize="9" scale="14" orientation="landscape" r:id="rId1"/>
  <rowBreaks count="1" manualBreakCount="1">
    <brk id="76" max="10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140"/>
  <sheetViews>
    <sheetView zoomScale="70" zoomScaleNormal="70" workbookViewId="0">
      <selection activeCell="K2" sqref="K2"/>
    </sheetView>
  </sheetViews>
  <sheetFormatPr defaultRowHeight="16.5" x14ac:dyDescent="0.3"/>
  <cols>
    <col min="1" max="2" width="12.625" style="6" customWidth="1"/>
    <col min="3" max="4" width="7.625" style="6" customWidth="1"/>
    <col min="5" max="5" width="5.625" style="18" customWidth="1"/>
    <col min="6" max="6" width="13.5" style="19" customWidth="1"/>
    <col min="7" max="7" width="5.625" style="18" customWidth="1"/>
    <col min="8" max="8" width="21.75" style="18" bestFit="1" customWidth="1"/>
    <col min="9" max="9" width="7.625" style="6" customWidth="1"/>
    <col min="10" max="10" width="70.625" style="6" customWidth="1"/>
    <col min="11" max="11" width="14.5" style="18" customWidth="1"/>
    <col min="12" max="12" width="4.125" style="6" customWidth="1"/>
    <col min="13" max="16384" width="9" style="6"/>
  </cols>
  <sheetData>
    <row r="1" spans="1:11" ht="38.25" x14ac:dyDescent="0.3">
      <c r="A1" s="713" t="s">
        <v>427</v>
      </c>
      <c r="B1" s="713"/>
      <c r="C1" s="713"/>
      <c r="D1" s="713"/>
      <c r="E1" s="713"/>
      <c r="F1" s="713"/>
      <c r="G1" s="713"/>
      <c r="H1" s="713"/>
      <c r="I1" s="713"/>
      <c r="J1" s="713"/>
      <c r="K1" s="18">
        <v>260326</v>
      </c>
    </row>
    <row r="3" spans="1:11" ht="17.25" thickBot="1" x14ac:dyDescent="0.35">
      <c r="J3" s="59"/>
    </row>
    <row r="4" spans="1:11" ht="30" customHeight="1" x14ac:dyDescent="0.3">
      <c r="A4" s="265" t="s">
        <v>0</v>
      </c>
      <c r="B4" s="266" t="s">
        <v>1</v>
      </c>
      <c r="C4" s="266" t="s">
        <v>2</v>
      </c>
      <c r="D4" s="266" t="s">
        <v>3</v>
      </c>
      <c r="E4" s="737" t="s">
        <v>4</v>
      </c>
      <c r="F4" s="737"/>
      <c r="G4" s="737"/>
      <c r="H4" s="737"/>
      <c r="I4" s="266" t="s">
        <v>3</v>
      </c>
      <c r="J4" s="267" t="s">
        <v>5</v>
      </c>
    </row>
    <row r="5" spans="1:11" s="221" customFormat="1" ht="24" customHeight="1" x14ac:dyDescent="0.3">
      <c r="A5" s="268" t="s">
        <v>23</v>
      </c>
      <c r="B5" s="225" t="s">
        <v>24</v>
      </c>
      <c r="C5" s="187">
        <v>1</v>
      </c>
      <c r="D5" s="641" t="s">
        <v>293</v>
      </c>
      <c r="E5" s="389"/>
      <c r="F5" s="389"/>
      <c r="G5" s="389"/>
      <c r="H5" s="389"/>
      <c r="I5" s="641" t="s">
        <v>293</v>
      </c>
      <c r="J5" s="219"/>
      <c r="K5" s="220"/>
    </row>
    <row r="6" spans="1:11" s="16" customFormat="1" ht="24" customHeight="1" x14ac:dyDescent="0.3">
      <c r="A6" s="719" t="s">
        <v>824</v>
      </c>
      <c r="B6" s="738"/>
      <c r="C6" s="154">
        <v>2</v>
      </c>
      <c r="D6" s="656"/>
      <c r="E6" s="554" t="s">
        <v>362</v>
      </c>
      <c r="F6" s="555" t="s">
        <v>428</v>
      </c>
      <c r="G6" s="554" t="s">
        <v>429</v>
      </c>
      <c r="H6" s="554" t="s">
        <v>942</v>
      </c>
      <c r="I6" s="656"/>
      <c r="J6" s="550" t="s">
        <v>939</v>
      </c>
      <c r="K6" s="53" t="s">
        <v>943</v>
      </c>
    </row>
    <row r="7" spans="1:11" s="16" customFormat="1" ht="24" customHeight="1" x14ac:dyDescent="0.3">
      <c r="A7" s="677" t="s">
        <v>836</v>
      </c>
      <c r="B7" s="614"/>
      <c r="C7" s="154">
        <v>3</v>
      </c>
      <c r="D7" s="656"/>
      <c r="E7" s="36"/>
      <c r="F7" s="36"/>
      <c r="G7" s="36"/>
      <c r="H7" s="36"/>
      <c r="I7" s="656"/>
      <c r="J7" s="190"/>
      <c r="K7" s="51"/>
    </row>
    <row r="8" spans="1:11" s="221" customFormat="1" ht="24" customHeight="1" x14ac:dyDescent="0.3">
      <c r="A8" s="269"/>
      <c r="B8" s="222"/>
      <c r="C8" s="155">
        <v>4</v>
      </c>
      <c r="D8" s="656"/>
      <c r="E8" s="36" t="str">
        <f>양구SS!E6</f>
        <v>E1</v>
      </c>
      <c r="F8" s="36" t="str">
        <f>양구SS!F6</f>
        <v>PITR</v>
      </c>
      <c r="G8" s="36" t="str">
        <f>양구SS!G6</f>
        <v>주</v>
      </c>
      <c r="H8" s="36" t="str">
        <f>양구SS!H6</f>
        <v xml:space="preserve">양구-인제#2 </v>
      </c>
      <c r="I8" s="656"/>
      <c r="J8" s="190" t="str">
        <f>양구SS!J6</f>
        <v>양구-(송변PTPU:4)-인제</v>
      </c>
      <c r="K8" s="220"/>
    </row>
    <row r="9" spans="1:11" s="16" customFormat="1" ht="24" customHeight="1" x14ac:dyDescent="0.3">
      <c r="A9" s="245"/>
      <c r="B9" s="147"/>
      <c r="C9" s="154">
        <v>5</v>
      </c>
      <c r="D9" s="641" t="s">
        <v>293</v>
      </c>
      <c r="E9" s="36" t="str">
        <f>양구SS!E7</f>
        <v>E1</v>
      </c>
      <c r="F9" s="36" t="str">
        <f>양구SS!F7</f>
        <v>PITR</v>
      </c>
      <c r="G9" s="36" t="str">
        <f>양구SS!G7</f>
        <v>주</v>
      </c>
      <c r="H9" s="36" t="str">
        <f>양구SS!H7</f>
        <v>양구-인제#1</v>
      </c>
      <c r="I9" s="641" t="s">
        <v>293</v>
      </c>
      <c r="J9" s="190" t="str">
        <f>양구SS!J7</f>
        <v>양구-(송변PTPU:5)-인제</v>
      </c>
      <c r="K9" s="51"/>
    </row>
    <row r="10" spans="1:11" s="16" customFormat="1" ht="24" customHeight="1" x14ac:dyDescent="0.3">
      <c r="A10" s="245"/>
      <c r="B10" s="147"/>
      <c r="C10" s="154">
        <v>6</v>
      </c>
      <c r="D10" s="656"/>
      <c r="E10" s="775"/>
      <c r="F10" s="775"/>
      <c r="G10" s="775"/>
      <c r="H10" s="775"/>
      <c r="I10" s="656"/>
      <c r="J10" s="224"/>
      <c r="K10" s="51"/>
    </row>
    <row r="11" spans="1:11" s="16" customFormat="1" ht="24" customHeight="1" x14ac:dyDescent="0.3">
      <c r="A11" s="245"/>
      <c r="B11" s="147"/>
      <c r="C11" s="154">
        <v>7</v>
      </c>
      <c r="D11" s="656"/>
      <c r="E11" s="775"/>
      <c r="F11" s="775"/>
      <c r="G11" s="775"/>
      <c r="H11" s="775"/>
      <c r="I11" s="656"/>
      <c r="J11" s="224"/>
      <c r="K11" s="18"/>
    </row>
    <row r="12" spans="1:11" s="16" customFormat="1" ht="24" customHeight="1" x14ac:dyDescent="0.3">
      <c r="A12" s="245"/>
      <c r="B12" s="147"/>
      <c r="C12" s="154">
        <v>8</v>
      </c>
      <c r="D12" s="656"/>
      <c r="E12" s="775"/>
      <c r="F12" s="775"/>
      <c r="G12" s="775"/>
      <c r="H12" s="775"/>
      <c r="I12" s="656"/>
      <c r="J12" s="190"/>
      <c r="K12" s="18"/>
    </row>
    <row r="13" spans="1:11" s="16" customFormat="1" ht="24" customHeight="1" x14ac:dyDescent="0.3">
      <c r="A13" s="245"/>
      <c r="B13" s="147"/>
      <c r="C13" s="154">
        <v>9</v>
      </c>
      <c r="D13" s="641" t="s">
        <v>293</v>
      </c>
      <c r="E13" s="556" t="s">
        <v>362</v>
      </c>
      <c r="F13" s="557" t="s">
        <v>428</v>
      </c>
      <c r="G13" s="556" t="s">
        <v>429</v>
      </c>
      <c r="H13" s="556" t="s">
        <v>941</v>
      </c>
      <c r="I13" s="641" t="s">
        <v>293</v>
      </c>
      <c r="J13" s="550" t="s">
        <v>940</v>
      </c>
      <c r="K13" s="53" t="s">
        <v>943</v>
      </c>
    </row>
    <row r="14" spans="1:11" s="16" customFormat="1" ht="24" customHeight="1" x14ac:dyDescent="0.3">
      <c r="A14" s="245"/>
      <c r="B14" s="147"/>
      <c r="C14" s="154">
        <v>10</v>
      </c>
      <c r="D14" s="656"/>
      <c r="E14" s="36" t="str">
        <f>양구SS!E12</f>
        <v/>
      </c>
      <c r="F14" s="36" t="str">
        <f>양구SS!F12</f>
        <v/>
      </c>
      <c r="G14" s="36" t="str">
        <f>양구SS!G12</f>
        <v/>
      </c>
      <c r="H14" s="36" t="str">
        <f>양구SS!H12</f>
        <v/>
      </c>
      <c r="I14" s="656"/>
      <c r="J14" s="190" t="str">
        <f>양구SS!J12</f>
        <v/>
      </c>
      <c r="K14" s="51"/>
    </row>
    <row r="15" spans="1:11" s="16" customFormat="1" ht="24" customHeight="1" x14ac:dyDescent="0.3">
      <c r="A15" s="245"/>
      <c r="B15" s="147"/>
      <c r="C15" s="154">
        <v>11</v>
      </c>
      <c r="D15" s="656"/>
      <c r="E15" s="36" t="str">
        <f>양구SS!E13</f>
        <v/>
      </c>
      <c r="F15" s="36" t="str">
        <f>양구SS!F13</f>
        <v/>
      </c>
      <c r="G15" s="36" t="str">
        <f>양구SS!G13</f>
        <v/>
      </c>
      <c r="H15" s="36" t="str">
        <f>양구SS!H13</f>
        <v/>
      </c>
      <c r="I15" s="656"/>
      <c r="J15" s="190" t="str">
        <f>양구SS!J13</f>
        <v/>
      </c>
      <c r="K15" s="51"/>
    </row>
    <row r="16" spans="1:11" s="16" customFormat="1" ht="24" customHeight="1" x14ac:dyDescent="0.3">
      <c r="A16" s="245"/>
      <c r="B16" s="147"/>
      <c r="C16" s="154">
        <v>12</v>
      </c>
      <c r="D16" s="656"/>
      <c r="E16" s="36" t="str">
        <f>양구SS!E14</f>
        <v/>
      </c>
      <c r="F16" s="36" t="str">
        <f>양구SS!F14</f>
        <v/>
      </c>
      <c r="G16" s="36" t="str">
        <f>양구SS!G14</f>
        <v/>
      </c>
      <c r="H16" s="36" t="str">
        <f>양구SS!H14</f>
        <v/>
      </c>
      <c r="I16" s="656"/>
      <c r="J16" s="190" t="str">
        <f>양구SS!J14</f>
        <v/>
      </c>
      <c r="K16" s="18"/>
    </row>
    <row r="17" spans="1:11" s="16" customFormat="1" ht="24" customHeight="1" x14ac:dyDescent="0.3">
      <c r="A17" s="271" t="s">
        <v>418</v>
      </c>
      <c r="B17" s="145" t="s">
        <v>423</v>
      </c>
      <c r="C17" s="172">
        <v>1</v>
      </c>
      <c r="D17" s="739" t="s">
        <v>424</v>
      </c>
      <c r="E17" s="775"/>
      <c r="F17" s="775"/>
      <c r="G17" s="775"/>
      <c r="H17" s="775"/>
      <c r="I17" s="739" t="s">
        <v>424</v>
      </c>
      <c r="J17" s="195"/>
      <c r="K17" s="51"/>
    </row>
    <row r="18" spans="1:11" s="16" customFormat="1" ht="24" customHeight="1" x14ac:dyDescent="0.3">
      <c r="A18" s="722" t="s">
        <v>425</v>
      </c>
      <c r="B18" s="608"/>
      <c r="C18" s="154">
        <v>2</v>
      </c>
      <c r="D18" s="740"/>
      <c r="E18" s="775"/>
      <c r="F18" s="775"/>
      <c r="G18" s="775"/>
      <c r="H18" s="775"/>
      <c r="I18" s="740"/>
      <c r="J18" s="190"/>
      <c r="K18" s="51"/>
    </row>
    <row r="19" spans="1:11" s="16" customFormat="1" ht="24" customHeight="1" x14ac:dyDescent="0.3">
      <c r="A19" s="677" t="s">
        <v>491</v>
      </c>
      <c r="B19" s="614"/>
      <c r="C19" s="154">
        <v>3</v>
      </c>
      <c r="D19" s="740"/>
      <c r="E19" s="775" t="s">
        <v>362</v>
      </c>
      <c r="F19" s="775" t="s">
        <v>736</v>
      </c>
      <c r="G19" s="775" t="s">
        <v>29</v>
      </c>
      <c r="H19" s="775" t="s">
        <v>642</v>
      </c>
      <c r="I19" s="740"/>
      <c r="J19" s="224" t="s">
        <v>644</v>
      </c>
      <c r="K19" s="18"/>
    </row>
    <row r="20" spans="1:11" s="16" customFormat="1" ht="24" customHeight="1" x14ac:dyDescent="0.3">
      <c r="A20" s="245"/>
      <c r="B20" s="147"/>
      <c r="C20" s="154">
        <v>4</v>
      </c>
      <c r="D20" s="740"/>
      <c r="E20" s="775" t="s">
        <v>362</v>
      </c>
      <c r="F20" s="775" t="s">
        <v>736</v>
      </c>
      <c r="G20" s="775" t="s">
        <v>29</v>
      </c>
      <c r="H20" s="775" t="s">
        <v>643</v>
      </c>
      <c r="I20" s="740"/>
      <c r="J20" s="224" t="s">
        <v>645</v>
      </c>
      <c r="K20" s="18"/>
    </row>
    <row r="21" spans="1:11" s="16" customFormat="1" ht="24" customHeight="1" x14ac:dyDescent="0.3">
      <c r="A21" s="245"/>
      <c r="B21" s="147"/>
      <c r="C21" s="154">
        <v>5</v>
      </c>
      <c r="D21" s="740"/>
      <c r="E21" s="775"/>
      <c r="F21" s="775"/>
      <c r="G21" s="775"/>
      <c r="H21" s="775"/>
      <c r="I21" s="740"/>
      <c r="J21" s="190"/>
      <c r="K21" s="51"/>
    </row>
    <row r="22" spans="1:11" s="16" customFormat="1" ht="24" customHeight="1" x14ac:dyDescent="0.3">
      <c r="A22" s="245"/>
      <c r="B22" s="147"/>
      <c r="C22" s="154">
        <v>6</v>
      </c>
      <c r="D22" s="740"/>
      <c r="E22" s="775"/>
      <c r="F22" s="775"/>
      <c r="G22" s="775"/>
      <c r="H22" s="775"/>
      <c r="I22" s="740"/>
      <c r="J22" s="190"/>
      <c r="K22" s="51"/>
    </row>
    <row r="23" spans="1:11" s="16" customFormat="1" ht="24" customHeight="1" x14ac:dyDescent="0.3">
      <c r="A23" s="245"/>
      <c r="B23" s="147"/>
      <c r="C23" s="154">
        <v>7</v>
      </c>
      <c r="D23" s="740"/>
      <c r="E23" s="775"/>
      <c r="F23" s="775"/>
      <c r="G23" s="775"/>
      <c r="H23" s="775"/>
      <c r="I23" s="740"/>
      <c r="J23" s="190"/>
      <c r="K23" s="51"/>
    </row>
    <row r="24" spans="1:11" s="16" customFormat="1" ht="24" customHeight="1" x14ac:dyDescent="0.3">
      <c r="A24" s="245"/>
      <c r="B24" s="147"/>
      <c r="C24" s="154">
        <v>8</v>
      </c>
      <c r="D24" s="740"/>
      <c r="E24" s="775"/>
      <c r="F24" s="775"/>
      <c r="G24" s="775"/>
      <c r="H24" s="775"/>
      <c r="I24" s="740"/>
      <c r="J24" s="190"/>
      <c r="K24" s="51"/>
    </row>
    <row r="25" spans="1:11" s="16" customFormat="1" ht="24" customHeight="1" x14ac:dyDescent="0.3">
      <c r="A25" s="245"/>
      <c r="B25" s="147"/>
      <c r="C25" s="154">
        <v>9</v>
      </c>
      <c r="D25" s="740"/>
      <c r="E25" s="775"/>
      <c r="F25" s="775"/>
      <c r="G25" s="775"/>
      <c r="H25" s="775"/>
      <c r="I25" s="740"/>
      <c r="J25" s="190"/>
      <c r="K25" s="51"/>
    </row>
    <row r="26" spans="1:11" s="16" customFormat="1" ht="24" customHeight="1" x14ac:dyDescent="0.3">
      <c r="A26" s="245"/>
      <c r="B26" s="147"/>
      <c r="C26" s="154">
        <v>10</v>
      </c>
      <c r="D26" s="740"/>
      <c r="E26" s="775"/>
      <c r="F26" s="775"/>
      <c r="G26" s="775"/>
      <c r="H26" s="775"/>
      <c r="I26" s="740"/>
      <c r="J26" s="190"/>
      <c r="K26" s="51"/>
    </row>
    <row r="27" spans="1:11" s="16" customFormat="1" ht="24" customHeight="1" x14ac:dyDescent="0.3">
      <c r="A27" s="245"/>
      <c r="B27" s="147"/>
      <c r="C27" s="154">
        <v>11</v>
      </c>
      <c r="D27" s="740"/>
      <c r="E27" s="775"/>
      <c r="F27" s="775"/>
      <c r="G27" s="775"/>
      <c r="H27" s="775"/>
      <c r="I27" s="740"/>
      <c r="J27" s="190"/>
      <c r="K27" s="51"/>
    </row>
    <row r="28" spans="1:11" s="16" customFormat="1" ht="24" customHeight="1" x14ac:dyDescent="0.3">
      <c r="A28" s="245"/>
      <c r="B28" s="147"/>
      <c r="C28" s="154">
        <v>12</v>
      </c>
      <c r="D28" s="740"/>
      <c r="E28" s="775"/>
      <c r="F28" s="775"/>
      <c r="G28" s="775"/>
      <c r="H28" s="775"/>
      <c r="I28" s="740"/>
      <c r="J28" s="190"/>
      <c r="K28" s="51"/>
    </row>
    <row r="29" spans="1:11" s="16" customFormat="1" ht="24" customHeight="1" x14ac:dyDescent="0.3">
      <c r="A29" s="722"/>
      <c r="B29" s="608"/>
      <c r="C29" s="154">
        <v>1</v>
      </c>
      <c r="D29" s="735" t="s">
        <v>426</v>
      </c>
      <c r="E29" s="775"/>
      <c r="F29" s="775"/>
      <c r="G29" s="775"/>
      <c r="H29" s="775"/>
      <c r="I29" s="735" t="s">
        <v>426</v>
      </c>
      <c r="J29" s="190"/>
      <c r="K29" s="51"/>
    </row>
    <row r="30" spans="1:11" s="16" customFormat="1" ht="24" customHeight="1" x14ac:dyDescent="0.3">
      <c r="A30" s="272"/>
      <c r="B30" s="143"/>
      <c r="C30" s="154">
        <v>2</v>
      </c>
      <c r="D30" s="735"/>
      <c r="E30" s="775"/>
      <c r="F30" s="775"/>
      <c r="G30" s="775"/>
      <c r="H30" s="775"/>
      <c r="I30" s="735"/>
      <c r="J30" s="190"/>
      <c r="K30" s="53"/>
    </row>
    <row r="31" spans="1:11" s="16" customFormat="1" ht="24" customHeight="1" x14ac:dyDescent="0.3">
      <c r="A31" s="245"/>
      <c r="B31" s="147"/>
      <c r="C31" s="154">
        <v>3</v>
      </c>
      <c r="D31" s="735"/>
      <c r="E31" s="775"/>
      <c r="F31" s="775"/>
      <c r="G31" s="775"/>
      <c r="H31" s="775"/>
      <c r="I31" s="735"/>
      <c r="J31" s="190"/>
      <c r="K31" s="51"/>
    </row>
    <row r="32" spans="1:11" s="16" customFormat="1" ht="24" customHeight="1" x14ac:dyDescent="0.3">
      <c r="A32" s="270"/>
      <c r="B32" s="151"/>
      <c r="C32" s="162">
        <v>4</v>
      </c>
      <c r="D32" s="736"/>
      <c r="E32" s="775"/>
      <c r="F32" s="775"/>
      <c r="G32" s="775"/>
      <c r="H32" s="775"/>
      <c r="I32" s="736"/>
      <c r="J32" s="193"/>
      <c r="K32" s="51"/>
    </row>
    <row r="33" spans="1:11" s="16" customFormat="1" ht="24" customHeight="1" x14ac:dyDescent="0.3">
      <c r="A33" s="271" t="s">
        <v>23</v>
      </c>
      <c r="B33" s="145" t="s">
        <v>39</v>
      </c>
      <c r="C33" s="172">
        <v>1</v>
      </c>
      <c r="D33" s="739" t="s">
        <v>424</v>
      </c>
      <c r="E33" s="195"/>
      <c r="F33" s="195"/>
      <c r="G33" s="195"/>
      <c r="H33" s="195"/>
      <c r="I33" s="739" t="s">
        <v>424</v>
      </c>
      <c r="J33" s="195"/>
      <c r="K33" s="51"/>
    </row>
    <row r="34" spans="1:11" s="16" customFormat="1" ht="24" customHeight="1" x14ac:dyDescent="0.3">
      <c r="A34" s="722" t="s">
        <v>425</v>
      </c>
      <c r="B34" s="608"/>
      <c r="C34" s="154">
        <v>2</v>
      </c>
      <c r="D34" s="740"/>
      <c r="E34" s="154"/>
      <c r="F34" s="157"/>
      <c r="G34" s="154"/>
      <c r="H34" s="154"/>
      <c r="I34" s="740"/>
      <c r="J34" s="190"/>
      <c r="K34" s="51"/>
    </row>
    <row r="35" spans="1:11" s="16" customFormat="1" ht="24" customHeight="1" x14ac:dyDescent="0.3">
      <c r="A35" s="677" t="s">
        <v>491</v>
      </c>
      <c r="B35" s="614"/>
      <c r="C35" s="154">
        <v>3</v>
      </c>
      <c r="D35" s="740"/>
      <c r="E35" s="154"/>
      <c r="F35" s="157"/>
      <c r="G35" s="154"/>
      <c r="H35" s="154"/>
      <c r="I35" s="740"/>
      <c r="J35" s="190"/>
      <c r="K35" s="51"/>
    </row>
    <row r="36" spans="1:11" s="16" customFormat="1" ht="24" customHeight="1" x14ac:dyDescent="0.3">
      <c r="A36" s="245"/>
      <c r="B36" s="147"/>
      <c r="C36" s="154">
        <v>4</v>
      </c>
      <c r="D36" s="740"/>
      <c r="E36" s="154"/>
      <c r="F36" s="157"/>
      <c r="G36" s="154"/>
      <c r="H36" s="154"/>
      <c r="I36" s="740"/>
      <c r="J36" s="190"/>
      <c r="K36" s="51"/>
    </row>
    <row r="37" spans="1:11" s="16" customFormat="1" ht="24" customHeight="1" x14ac:dyDescent="0.3">
      <c r="A37" s="245"/>
      <c r="B37" s="147"/>
      <c r="C37" s="154">
        <v>5</v>
      </c>
      <c r="D37" s="740"/>
      <c r="E37" s="154" t="s">
        <v>362</v>
      </c>
      <c r="F37" s="157" t="s">
        <v>910</v>
      </c>
      <c r="G37" s="154" t="s">
        <v>429</v>
      </c>
      <c r="H37" s="154" t="s">
        <v>764</v>
      </c>
      <c r="I37" s="740"/>
      <c r="J37" s="190" t="s">
        <v>765</v>
      </c>
      <c r="K37" s="53"/>
    </row>
    <row r="38" spans="1:11" s="16" customFormat="1" ht="24" customHeight="1" x14ac:dyDescent="0.3">
      <c r="A38" s="245"/>
      <c r="B38" s="147"/>
      <c r="C38" s="154">
        <v>6</v>
      </c>
      <c r="D38" s="740"/>
      <c r="E38" s="154"/>
      <c r="F38" s="157"/>
      <c r="G38" s="154"/>
      <c r="H38" s="154"/>
      <c r="I38" s="740"/>
      <c r="J38" s="190"/>
      <c r="K38" s="53"/>
    </row>
    <row r="39" spans="1:11" s="16" customFormat="1" ht="24" customHeight="1" x14ac:dyDescent="0.3">
      <c r="A39" s="245"/>
      <c r="B39" s="147"/>
      <c r="C39" s="154">
        <v>7</v>
      </c>
      <c r="D39" s="740"/>
      <c r="E39" s="154"/>
      <c r="F39" s="157"/>
      <c r="G39" s="154"/>
      <c r="H39" s="154"/>
      <c r="I39" s="740"/>
      <c r="J39" s="190"/>
      <c r="K39" s="51"/>
    </row>
    <row r="40" spans="1:11" s="16" customFormat="1" ht="24" customHeight="1" x14ac:dyDescent="0.3">
      <c r="A40" s="245"/>
      <c r="B40" s="147"/>
      <c r="C40" s="154">
        <v>8</v>
      </c>
      <c r="D40" s="740"/>
      <c r="E40" s="154"/>
      <c r="F40" s="157"/>
      <c r="G40" s="154"/>
      <c r="H40" s="154"/>
      <c r="I40" s="740"/>
      <c r="J40" s="190"/>
      <c r="K40" s="51"/>
    </row>
    <row r="41" spans="1:11" s="16" customFormat="1" ht="24" customHeight="1" x14ac:dyDescent="0.3">
      <c r="A41" s="245"/>
      <c r="B41" s="147"/>
      <c r="C41" s="154">
        <v>9</v>
      </c>
      <c r="D41" s="740"/>
      <c r="E41" s="154" t="s">
        <v>362</v>
      </c>
      <c r="F41" s="157" t="s">
        <v>910</v>
      </c>
      <c r="G41" s="154" t="s">
        <v>429</v>
      </c>
      <c r="H41" s="154" t="s">
        <v>766</v>
      </c>
      <c r="I41" s="740"/>
      <c r="J41" s="190" t="s">
        <v>765</v>
      </c>
      <c r="K41" s="51"/>
    </row>
    <row r="42" spans="1:11" s="16" customFormat="1" ht="24" customHeight="1" x14ac:dyDescent="0.3">
      <c r="A42" s="245"/>
      <c r="B42" s="147"/>
      <c r="C42" s="154">
        <v>10</v>
      </c>
      <c r="D42" s="740"/>
      <c r="E42" s="154"/>
      <c r="F42" s="157"/>
      <c r="G42" s="154"/>
      <c r="H42" s="154"/>
      <c r="I42" s="740"/>
      <c r="J42" s="190"/>
      <c r="K42" s="51"/>
    </row>
    <row r="43" spans="1:11" s="16" customFormat="1" ht="24" customHeight="1" x14ac:dyDescent="0.3">
      <c r="A43" s="245"/>
      <c r="B43" s="147"/>
      <c r="C43" s="154">
        <v>11</v>
      </c>
      <c r="D43" s="740"/>
      <c r="E43" s="154"/>
      <c r="F43" s="157"/>
      <c r="G43" s="154"/>
      <c r="H43" s="154"/>
      <c r="I43" s="740"/>
      <c r="J43" s="190"/>
      <c r="K43" s="53"/>
    </row>
    <row r="44" spans="1:11" s="16" customFormat="1" ht="24" customHeight="1" x14ac:dyDescent="0.3">
      <c r="A44" s="245"/>
      <c r="B44" s="147"/>
      <c r="C44" s="154">
        <v>12</v>
      </c>
      <c r="D44" s="740"/>
      <c r="E44" s="154"/>
      <c r="F44" s="157"/>
      <c r="G44" s="154"/>
      <c r="H44" s="154"/>
      <c r="I44" s="740"/>
      <c r="J44" s="190"/>
      <c r="K44" s="53"/>
    </row>
    <row r="45" spans="1:11" s="16" customFormat="1" ht="24" customHeight="1" x14ac:dyDescent="0.3">
      <c r="A45" s="722"/>
      <c r="B45" s="608"/>
      <c r="C45" s="154">
        <v>1</v>
      </c>
      <c r="D45" s="735" t="s">
        <v>426</v>
      </c>
      <c r="E45" s="160"/>
      <c r="F45" s="157"/>
      <c r="G45" s="154"/>
      <c r="H45" s="154"/>
      <c r="I45" s="735" t="s">
        <v>426</v>
      </c>
      <c r="J45" s="190"/>
      <c r="K45" s="53"/>
    </row>
    <row r="46" spans="1:11" s="16" customFormat="1" ht="24" customHeight="1" x14ac:dyDescent="0.3">
      <c r="A46" s="245"/>
      <c r="B46" s="147"/>
      <c r="C46" s="154">
        <v>2</v>
      </c>
      <c r="D46" s="735"/>
      <c r="E46" s="160"/>
      <c r="F46" s="161"/>
      <c r="G46" s="160"/>
      <c r="H46" s="154"/>
      <c r="I46" s="735"/>
      <c r="J46" s="190"/>
      <c r="K46" s="53"/>
    </row>
    <row r="47" spans="1:11" s="16" customFormat="1" ht="24" customHeight="1" x14ac:dyDescent="0.3">
      <c r="A47" s="245"/>
      <c r="B47" s="147"/>
      <c r="C47" s="154">
        <v>3</v>
      </c>
      <c r="D47" s="735"/>
      <c r="E47" s="160"/>
      <c r="F47" s="157"/>
      <c r="G47" s="154"/>
      <c r="H47" s="154"/>
      <c r="I47" s="735"/>
      <c r="J47" s="190"/>
      <c r="K47" s="53"/>
    </row>
    <row r="48" spans="1:11" s="16" customFormat="1" ht="24" customHeight="1" x14ac:dyDescent="0.3">
      <c r="A48" s="270"/>
      <c r="B48" s="151"/>
      <c r="C48" s="162">
        <v>4</v>
      </c>
      <c r="D48" s="736"/>
      <c r="E48" s="163"/>
      <c r="F48" s="164"/>
      <c r="G48" s="162"/>
      <c r="H48" s="162"/>
      <c r="I48" s="736"/>
      <c r="J48" s="193"/>
      <c r="K48" s="18"/>
    </row>
    <row r="49" spans="1:11" ht="31.5" customHeight="1" x14ac:dyDescent="0.3">
      <c r="A49" s="271" t="s">
        <v>23</v>
      </c>
      <c r="B49" s="145" t="s">
        <v>40</v>
      </c>
      <c r="C49" s="172">
        <v>1</v>
      </c>
      <c r="D49" s="739" t="s">
        <v>424</v>
      </c>
      <c r="E49" s="172" t="s">
        <v>28</v>
      </c>
      <c r="F49" s="180" t="s">
        <v>421</v>
      </c>
      <c r="G49" s="172" t="s">
        <v>27</v>
      </c>
      <c r="H49" s="172" t="s">
        <v>430</v>
      </c>
      <c r="I49" s="739" t="s">
        <v>424</v>
      </c>
      <c r="J49" s="195" t="s">
        <v>432</v>
      </c>
    </row>
    <row r="50" spans="1:11" ht="31.5" customHeight="1" x14ac:dyDescent="0.3">
      <c r="A50" s="722" t="s">
        <v>425</v>
      </c>
      <c r="B50" s="608"/>
      <c r="C50" s="154">
        <v>2</v>
      </c>
      <c r="D50" s="740"/>
      <c r="E50" s="154" t="s">
        <v>28</v>
      </c>
      <c r="F50" s="157" t="s">
        <v>421</v>
      </c>
      <c r="G50" s="154" t="s">
        <v>27</v>
      </c>
      <c r="H50" s="172" t="s">
        <v>431</v>
      </c>
      <c r="I50" s="740"/>
      <c r="J50" s="190" t="s">
        <v>41</v>
      </c>
    </row>
    <row r="51" spans="1:11" ht="31.5" customHeight="1" x14ac:dyDescent="0.3">
      <c r="A51" s="677" t="s">
        <v>491</v>
      </c>
      <c r="B51" s="614"/>
      <c r="C51" s="154">
        <v>3</v>
      </c>
      <c r="D51" s="740"/>
      <c r="E51" s="585" t="s">
        <v>6</v>
      </c>
      <c r="F51" s="565" t="s">
        <v>596</v>
      </c>
      <c r="G51" s="585" t="s">
        <v>7</v>
      </c>
      <c r="H51" s="585" t="s">
        <v>608</v>
      </c>
      <c r="I51" s="740"/>
      <c r="J51" s="239" t="s">
        <v>601</v>
      </c>
      <c r="K51" s="784" t="s">
        <v>944</v>
      </c>
    </row>
    <row r="52" spans="1:11" ht="31.5" customHeight="1" x14ac:dyDescent="0.3">
      <c r="A52" s="245"/>
      <c r="B52" s="147"/>
      <c r="C52" s="154">
        <v>4</v>
      </c>
      <c r="D52" s="740"/>
      <c r="E52" s="154"/>
      <c r="F52" s="157"/>
      <c r="G52" s="154"/>
      <c r="H52" s="154"/>
      <c r="I52" s="740"/>
      <c r="J52" s="190"/>
    </row>
    <row r="53" spans="1:11" ht="31.5" customHeight="1" x14ac:dyDescent="0.3">
      <c r="A53" s="245"/>
      <c r="B53" s="147"/>
      <c r="C53" s="154">
        <v>5</v>
      </c>
      <c r="D53" s="740"/>
      <c r="E53" s="585" t="s">
        <v>362</v>
      </c>
      <c r="F53" s="565" t="s">
        <v>797</v>
      </c>
      <c r="G53" s="585"/>
      <c r="H53" s="585"/>
      <c r="I53" s="740"/>
      <c r="J53" s="239" t="s">
        <v>798</v>
      </c>
      <c r="K53" s="784" t="s">
        <v>944</v>
      </c>
    </row>
    <row r="54" spans="1:11" ht="31.5" customHeight="1" x14ac:dyDescent="0.3">
      <c r="A54" s="245"/>
      <c r="B54" s="147"/>
      <c r="C54" s="154">
        <v>6</v>
      </c>
      <c r="D54" s="740"/>
      <c r="E54" s="36" t="s">
        <v>362</v>
      </c>
      <c r="F54" s="37" t="s">
        <v>428</v>
      </c>
      <c r="G54" s="36" t="s">
        <v>429</v>
      </c>
      <c r="H54" s="36" t="s">
        <v>611</v>
      </c>
      <c r="I54" s="740"/>
      <c r="J54" s="190" t="s">
        <v>613</v>
      </c>
    </row>
    <row r="55" spans="1:11" ht="31.5" customHeight="1" x14ac:dyDescent="0.3">
      <c r="A55" s="245"/>
      <c r="B55" s="147"/>
      <c r="C55" s="154">
        <v>7</v>
      </c>
      <c r="D55" s="740"/>
      <c r="E55" s="36" t="s">
        <v>362</v>
      </c>
      <c r="F55" s="37" t="s">
        <v>428</v>
      </c>
      <c r="G55" s="36" t="s">
        <v>429</v>
      </c>
      <c r="H55" s="36" t="s">
        <v>612</v>
      </c>
      <c r="I55" s="740"/>
      <c r="J55" s="190" t="s">
        <v>614</v>
      </c>
    </row>
    <row r="56" spans="1:11" ht="31.5" customHeight="1" x14ac:dyDescent="0.3">
      <c r="A56" s="245"/>
      <c r="B56" s="147"/>
      <c r="C56" s="154">
        <v>8</v>
      </c>
      <c r="D56" s="740"/>
      <c r="E56" s="154"/>
      <c r="F56" s="157"/>
      <c r="G56" s="154"/>
      <c r="H56" s="154"/>
      <c r="I56" s="740"/>
      <c r="J56" s="190"/>
    </row>
    <row r="57" spans="1:11" ht="31.5" customHeight="1" x14ac:dyDescent="0.3">
      <c r="A57" s="245"/>
      <c r="B57" s="147"/>
      <c r="C57" s="154">
        <v>9</v>
      </c>
      <c r="D57" s="740"/>
      <c r="E57" s="154"/>
      <c r="F57" s="157"/>
      <c r="G57" s="154"/>
      <c r="H57" s="154"/>
      <c r="I57" s="740"/>
      <c r="J57" s="190"/>
    </row>
    <row r="58" spans="1:11" ht="31.5" customHeight="1" x14ac:dyDescent="0.3">
      <c r="A58" s="245"/>
      <c r="B58" s="147"/>
      <c r="C58" s="154">
        <v>10</v>
      </c>
      <c r="D58" s="740"/>
      <c r="E58" s="154"/>
      <c r="F58" s="157"/>
      <c r="G58" s="154"/>
      <c r="H58" s="154"/>
      <c r="I58" s="740"/>
      <c r="J58" s="190"/>
    </row>
    <row r="59" spans="1:11" ht="31.5" customHeight="1" x14ac:dyDescent="0.3">
      <c r="A59" s="245"/>
      <c r="B59" s="147"/>
      <c r="C59" s="154">
        <v>11</v>
      </c>
      <c r="D59" s="740"/>
      <c r="E59" s="154"/>
      <c r="F59" s="157"/>
      <c r="G59" s="154"/>
      <c r="H59" s="154"/>
      <c r="I59" s="740"/>
      <c r="J59" s="190"/>
    </row>
    <row r="60" spans="1:11" ht="31.5" customHeight="1" x14ac:dyDescent="0.3">
      <c r="A60" s="245"/>
      <c r="B60" s="147"/>
      <c r="C60" s="154">
        <v>12</v>
      </c>
      <c r="D60" s="740"/>
      <c r="E60" s="154"/>
      <c r="F60" s="157"/>
      <c r="G60" s="154"/>
      <c r="H60" s="154"/>
      <c r="I60" s="740"/>
      <c r="J60" s="190"/>
    </row>
    <row r="61" spans="1:11" ht="31.5" customHeight="1" x14ac:dyDescent="0.3">
      <c r="A61" s="722"/>
      <c r="B61" s="608"/>
      <c r="C61" s="154">
        <v>1</v>
      </c>
      <c r="D61" s="735" t="s">
        <v>426</v>
      </c>
      <c r="E61" s="160"/>
      <c r="F61" s="157"/>
      <c r="G61" s="154"/>
      <c r="H61" s="154"/>
      <c r="I61" s="735" t="s">
        <v>426</v>
      </c>
      <c r="J61" s="190"/>
    </row>
    <row r="62" spans="1:11" ht="31.5" customHeight="1" x14ac:dyDescent="0.3">
      <c r="A62" s="245"/>
      <c r="B62" s="147"/>
      <c r="C62" s="154">
        <v>2</v>
      </c>
      <c r="D62" s="735"/>
      <c r="E62" s="160"/>
      <c r="F62" s="161"/>
      <c r="G62" s="160"/>
      <c r="H62" s="154"/>
      <c r="I62" s="735"/>
      <c r="J62" s="190"/>
    </row>
    <row r="63" spans="1:11" ht="31.5" customHeight="1" x14ac:dyDescent="0.3">
      <c r="A63" s="245"/>
      <c r="B63" s="147"/>
      <c r="C63" s="154">
        <v>3</v>
      </c>
      <c r="D63" s="735"/>
      <c r="E63" s="160"/>
      <c r="F63" s="157"/>
      <c r="G63" s="154"/>
      <c r="H63" s="154"/>
      <c r="I63" s="735"/>
      <c r="J63" s="190"/>
    </row>
    <row r="64" spans="1:11" ht="31.5" customHeight="1" x14ac:dyDescent="0.3">
      <c r="A64" s="270"/>
      <c r="B64" s="151"/>
      <c r="C64" s="162">
        <v>4</v>
      </c>
      <c r="D64" s="736"/>
      <c r="E64" s="163"/>
      <c r="F64" s="164"/>
      <c r="G64" s="162"/>
      <c r="H64" s="162"/>
      <c r="I64" s="736"/>
      <c r="J64" s="193"/>
    </row>
    <row r="65" spans="1:11" ht="31.5" customHeight="1" x14ac:dyDescent="0.3">
      <c r="A65" s="583" t="s">
        <v>23</v>
      </c>
      <c r="B65" s="785" t="s">
        <v>212</v>
      </c>
      <c r="C65" s="786">
        <v>1</v>
      </c>
      <c r="D65" s="787" t="s">
        <v>322</v>
      </c>
      <c r="E65" s="786" t="str">
        <f>'춘천SS(구)'!E321</f>
        <v/>
      </c>
      <c r="F65" s="786" t="str">
        <f>'춘천SS(구)'!F321</f>
        <v/>
      </c>
      <c r="G65" s="786" t="str">
        <f>'춘천SS(구)'!G321</f>
        <v/>
      </c>
      <c r="H65" s="786" t="str">
        <f>'춘천SS(구)'!H321</f>
        <v/>
      </c>
      <c r="I65" s="788" t="s">
        <v>103</v>
      </c>
      <c r="J65" s="786" t="str">
        <f>'춘천SS(구)'!J321</f>
        <v/>
      </c>
      <c r="K65" s="821" t="s">
        <v>950</v>
      </c>
    </row>
    <row r="66" spans="1:11" ht="31.5" customHeight="1" x14ac:dyDescent="0.3">
      <c r="A66" s="726" t="s">
        <v>12</v>
      </c>
      <c r="B66" s="781"/>
      <c r="C66" s="585">
        <v>2</v>
      </c>
      <c r="D66" s="782"/>
      <c r="E66" s="585" t="str">
        <f>'춘천SS(구)'!E322</f>
        <v/>
      </c>
      <c r="F66" s="585" t="str">
        <f>'춘천SS(구)'!F322</f>
        <v/>
      </c>
      <c r="G66" s="585" t="str">
        <f>'춘천SS(구)'!G322</f>
        <v/>
      </c>
      <c r="H66" s="585" t="str">
        <f>'춘천SS(구)'!H322</f>
        <v/>
      </c>
      <c r="I66" s="789"/>
      <c r="J66" s="585" t="str">
        <f>'춘천SS(구)'!J322</f>
        <v/>
      </c>
      <c r="K66" s="6"/>
    </row>
    <row r="67" spans="1:11" ht="31.5" customHeight="1" x14ac:dyDescent="0.3">
      <c r="A67" s="558"/>
      <c r="B67" s="576"/>
      <c r="C67" s="470">
        <v>3</v>
      </c>
      <c r="D67" s="790"/>
      <c r="E67" s="585" t="str">
        <f>'춘천SS(구)'!E323</f>
        <v/>
      </c>
      <c r="F67" s="585" t="str">
        <f>'춘천SS(구)'!F323</f>
        <v/>
      </c>
      <c r="G67" s="585" t="str">
        <f>'춘천SS(구)'!G323</f>
        <v/>
      </c>
      <c r="H67" s="585" t="str">
        <f>'춘천SS(구)'!H323</f>
        <v/>
      </c>
      <c r="I67" s="791"/>
      <c r="J67" s="586"/>
      <c r="K67" s="6"/>
    </row>
    <row r="68" spans="1:11" ht="31.5" customHeight="1" x14ac:dyDescent="0.3">
      <c r="A68" s="558"/>
      <c r="B68" s="576"/>
      <c r="C68" s="786">
        <v>4</v>
      </c>
      <c r="D68" s="788" t="s">
        <v>322</v>
      </c>
      <c r="E68" s="786" t="str">
        <f>'춘천SS(구)'!E324</f>
        <v/>
      </c>
      <c r="F68" s="786" t="str">
        <f>'춘천SS(구)'!F324</f>
        <v/>
      </c>
      <c r="G68" s="786" t="str">
        <f>'춘천SS(구)'!G324</f>
        <v/>
      </c>
      <c r="H68" s="786" t="str">
        <f>'춘천SS(구)'!H324</f>
        <v/>
      </c>
      <c r="I68" s="788" t="s">
        <v>103</v>
      </c>
      <c r="J68" s="786"/>
      <c r="K68" s="6"/>
    </row>
    <row r="69" spans="1:11" ht="31.5" customHeight="1" x14ac:dyDescent="0.3">
      <c r="A69" s="558"/>
      <c r="B69" s="576"/>
      <c r="C69" s="585">
        <v>5</v>
      </c>
      <c r="D69" s="789"/>
      <c r="E69" s="585" t="str">
        <f>'춘천SS(구)'!E325</f>
        <v/>
      </c>
      <c r="F69" s="585" t="str">
        <f>'춘천SS(구)'!F325</f>
        <v>내선</v>
      </c>
      <c r="G69" s="585" t="str">
        <f>'춘천SS(구)'!G325</f>
        <v/>
      </c>
      <c r="H69" s="585" t="str">
        <f>'춘천SS(구)'!H325</f>
        <v>통신실(630)</v>
      </c>
      <c r="I69" s="789"/>
      <c r="J69" s="585" t="str">
        <f>'춘천SS(구)'!J325</f>
        <v>인제-5-춘천</v>
      </c>
      <c r="K69" s="6"/>
    </row>
    <row r="70" spans="1:11" ht="31.5" customHeight="1" x14ac:dyDescent="0.3">
      <c r="A70" s="558"/>
      <c r="B70" s="576"/>
      <c r="C70" s="586">
        <v>6</v>
      </c>
      <c r="D70" s="792"/>
      <c r="E70" s="585" t="str">
        <f>'춘천SS(구)'!E326</f>
        <v/>
      </c>
      <c r="F70" s="585" t="str">
        <f>'춘천SS(구)'!F326</f>
        <v/>
      </c>
      <c r="G70" s="585" t="str">
        <f>'춘천SS(구)'!G326</f>
        <v/>
      </c>
      <c r="H70" s="585" t="str">
        <f>'춘천SS(구)'!H326</f>
        <v/>
      </c>
      <c r="I70" s="792"/>
      <c r="J70" s="586"/>
      <c r="K70" s="6"/>
    </row>
    <row r="71" spans="1:11" ht="31.5" customHeight="1" x14ac:dyDescent="0.3">
      <c r="A71" s="558"/>
      <c r="B71" s="576"/>
      <c r="C71" s="561">
        <v>7</v>
      </c>
      <c r="D71" s="793" t="s">
        <v>18</v>
      </c>
      <c r="E71" s="786" t="str">
        <f>'춘천SS(구)'!E327</f>
        <v/>
      </c>
      <c r="F71" s="786"/>
      <c r="G71" s="786"/>
      <c r="H71" s="786"/>
      <c r="I71" s="793" t="s">
        <v>17</v>
      </c>
      <c r="J71" s="786"/>
      <c r="K71" s="6"/>
    </row>
    <row r="72" spans="1:11" ht="31.5" customHeight="1" x14ac:dyDescent="0.3">
      <c r="A72" s="558"/>
      <c r="B72" s="576"/>
      <c r="C72" s="585">
        <v>8</v>
      </c>
      <c r="D72" s="794"/>
      <c r="E72" s="585" t="str">
        <f>'춘천SS(구)'!E328</f>
        <v/>
      </c>
      <c r="F72" s="585" t="str">
        <f>'춘천SS(구)'!F328</f>
        <v>화재감시</v>
      </c>
      <c r="G72" s="585" t="str">
        <f>'춘천SS(구)'!G328</f>
        <v/>
      </c>
      <c r="H72" s="585" t="str">
        <f>'춘천SS(구)'!H328</f>
        <v>자동화재탐지기(646)</v>
      </c>
      <c r="I72" s="794"/>
      <c r="J72" s="585" t="str">
        <f>'춘천SS(구)'!J328</f>
        <v>춘천-8-인제-6-양구</v>
      </c>
      <c r="K72" s="6"/>
    </row>
    <row r="73" spans="1:11" ht="31.5" customHeight="1" x14ac:dyDescent="0.3">
      <c r="A73" s="558"/>
      <c r="B73" s="576"/>
      <c r="C73" s="470">
        <v>9</v>
      </c>
      <c r="D73" s="795"/>
      <c r="E73" s="585" t="str">
        <f>'춘천SS(구)'!E329</f>
        <v/>
      </c>
      <c r="F73" s="585" t="str">
        <f>'춘천SS(구)'!F329</f>
        <v>TWBP</v>
      </c>
      <c r="G73" s="585" t="str">
        <f>'춘천SS(구)'!G329</f>
        <v/>
      </c>
      <c r="H73" s="585" t="str">
        <f>'춘천SS(구)'!H329</f>
        <v>양구 TWBP</v>
      </c>
      <c r="I73" s="795"/>
      <c r="J73" s="586" t="str">
        <f>'춘천SS(구)'!J329</f>
        <v>춘천-9-인제-3-양구</v>
      </c>
      <c r="K73" s="6"/>
    </row>
    <row r="74" spans="1:11" ht="31.5" customHeight="1" x14ac:dyDescent="0.3">
      <c r="A74" s="558"/>
      <c r="B74" s="576"/>
      <c r="C74" s="786">
        <v>10</v>
      </c>
      <c r="D74" s="788" t="s">
        <v>18</v>
      </c>
      <c r="E74" s="786" t="str">
        <f>'춘천SS(구)'!E330</f>
        <v/>
      </c>
      <c r="F74" s="786"/>
      <c r="G74" s="786" t="str">
        <f>'춘천SS(구)'!G330</f>
        <v/>
      </c>
      <c r="H74" s="786"/>
      <c r="I74" s="788" t="s">
        <v>17</v>
      </c>
      <c r="J74" s="786"/>
      <c r="K74" s="6"/>
    </row>
    <row r="75" spans="1:11" ht="31.5" customHeight="1" x14ac:dyDescent="0.3">
      <c r="A75" s="558"/>
      <c r="B75" s="576"/>
      <c r="C75" s="585">
        <v>11</v>
      </c>
      <c r="D75" s="789"/>
      <c r="E75" s="585" t="str">
        <f>'춘천SS(구)'!E331</f>
        <v/>
      </c>
      <c r="F75" s="585" t="str">
        <f>'춘천SS(구)'!F331</f>
        <v>내선</v>
      </c>
      <c r="G75" s="585" t="str">
        <f>'춘천SS(구)'!G331</f>
        <v/>
      </c>
      <c r="H75" s="585" t="str">
        <f>'춘천SS(구)'!H331</f>
        <v>양구 통신실 (640)</v>
      </c>
      <c r="I75" s="789"/>
      <c r="J75" s="585" t="str">
        <f>'춘천SS(구)'!J331</f>
        <v>춘천-11-인제-5-양구</v>
      </c>
      <c r="K75" s="6"/>
    </row>
    <row r="76" spans="1:11" ht="31.5" customHeight="1" x14ac:dyDescent="0.3">
      <c r="A76" s="558"/>
      <c r="B76" s="576"/>
      <c r="C76" s="586">
        <v>12</v>
      </c>
      <c r="D76" s="792"/>
      <c r="E76" s="585" t="str">
        <f>'춘천SS(구)'!E332</f>
        <v/>
      </c>
      <c r="F76" s="585" t="str">
        <f>'춘천SS(구)'!F332</f>
        <v/>
      </c>
      <c r="G76" s="585" t="str">
        <f>'춘천SS(구)'!G332</f>
        <v/>
      </c>
      <c r="H76" s="585" t="str">
        <f>'춘천SS(구)'!H332</f>
        <v/>
      </c>
      <c r="I76" s="792"/>
      <c r="J76" s="586" t="str">
        <f>'춘천SS(구)'!J332</f>
        <v/>
      </c>
      <c r="K76" s="6"/>
    </row>
    <row r="77" spans="1:11" ht="31.5" customHeight="1" x14ac:dyDescent="0.3">
      <c r="A77" s="558"/>
      <c r="B77" s="576"/>
      <c r="C77" s="561">
        <v>13</v>
      </c>
      <c r="D77" s="796" t="s">
        <v>73</v>
      </c>
      <c r="E77" s="786"/>
      <c r="F77" s="786"/>
      <c r="G77" s="786"/>
      <c r="H77" s="786"/>
      <c r="I77" s="796" t="s">
        <v>17</v>
      </c>
      <c r="J77" s="786"/>
      <c r="K77" s="6"/>
    </row>
    <row r="78" spans="1:11" ht="31.5" customHeight="1" x14ac:dyDescent="0.3">
      <c r="A78" s="558"/>
      <c r="B78" s="576"/>
      <c r="C78" s="585">
        <v>14</v>
      </c>
      <c r="D78" s="789"/>
      <c r="E78" s="585"/>
      <c r="F78" s="585"/>
      <c r="G78" s="585"/>
      <c r="H78" s="585"/>
      <c r="I78" s="789"/>
      <c r="J78" s="585"/>
      <c r="K78" s="6"/>
    </row>
    <row r="79" spans="1:11" ht="31.5" customHeight="1" x14ac:dyDescent="0.3">
      <c r="A79" s="558"/>
      <c r="B79" s="576"/>
      <c r="C79" s="470">
        <v>15</v>
      </c>
      <c r="D79" s="791"/>
      <c r="E79" s="585"/>
      <c r="F79" s="585"/>
      <c r="G79" s="585"/>
      <c r="H79" s="585"/>
      <c r="I79" s="791"/>
      <c r="J79" s="586"/>
      <c r="K79" s="6"/>
    </row>
    <row r="80" spans="1:11" ht="31.5" customHeight="1" x14ac:dyDescent="0.3">
      <c r="A80" s="558"/>
      <c r="B80" s="576"/>
      <c r="C80" s="786">
        <v>16</v>
      </c>
      <c r="D80" s="797" t="s">
        <v>17</v>
      </c>
      <c r="E80" s="786"/>
      <c r="F80" s="786"/>
      <c r="G80" s="786"/>
      <c r="H80" s="786"/>
      <c r="I80" s="787" t="s">
        <v>17</v>
      </c>
      <c r="J80" s="786"/>
      <c r="K80" s="6"/>
    </row>
    <row r="81" spans="1:11" ht="31.5" customHeight="1" x14ac:dyDescent="0.3">
      <c r="A81" s="558"/>
      <c r="B81" s="576"/>
      <c r="C81" s="585">
        <v>17</v>
      </c>
      <c r="D81" s="794"/>
      <c r="E81" s="585"/>
      <c r="F81" s="585"/>
      <c r="G81" s="585"/>
      <c r="H81" s="585"/>
      <c r="I81" s="782"/>
      <c r="J81" s="585"/>
    </row>
    <row r="82" spans="1:11" ht="31.5" customHeight="1" x14ac:dyDescent="0.3">
      <c r="A82" s="558"/>
      <c r="B82" s="576"/>
      <c r="C82" s="586">
        <v>18</v>
      </c>
      <c r="D82" s="798"/>
      <c r="E82" s="585"/>
      <c r="F82" s="585"/>
      <c r="G82" s="585"/>
      <c r="H82" s="585"/>
      <c r="I82" s="799"/>
      <c r="J82" s="586"/>
    </row>
    <row r="83" spans="1:11" ht="31.5" customHeight="1" x14ac:dyDescent="0.3">
      <c r="A83" s="558"/>
      <c r="B83" s="576"/>
      <c r="C83" s="561">
        <v>19</v>
      </c>
      <c r="D83" s="778"/>
      <c r="E83" s="786" t="str">
        <f>'춘천SS(구)'!E339</f>
        <v/>
      </c>
      <c r="F83" s="786" t="str">
        <f>'춘천SS(구)'!F339</f>
        <v/>
      </c>
      <c r="G83" s="786" t="str">
        <f>'춘천SS(구)'!G339</f>
        <v/>
      </c>
      <c r="H83" s="786" t="str">
        <f>'춘천SS(구)'!H339</f>
        <v/>
      </c>
      <c r="I83" s="779"/>
      <c r="J83" s="786" t="str">
        <f>'춘천SS(구)'!J339</f>
        <v/>
      </c>
    </row>
    <row r="84" spans="1:11" ht="31.5" customHeight="1" x14ac:dyDescent="0.3">
      <c r="A84" s="558"/>
      <c r="B84" s="576"/>
      <c r="C84" s="585">
        <v>20</v>
      </c>
      <c r="D84" s="782"/>
      <c r="E84" s="585" t="str">
        <f>'춘천SS(구)'!E340</f>
        <v/>
      </c>
      <c r="F84" s="585" t="str">
        <f>'춘천SS(구)'!F340</f>
        <v/>
      </c>
      <c r="G84" s="585" t="str">
        <f>'춘천SS(구)'!G340</f>
        <v/>
      </c>
      <c r="H84" s="585" t="str">
        <f>'춘천SS(구)'!H340</f>
        <v/>
      </c>
      <c r="I84" s="783"/>
      <c r="J84" s="585" t="str">
        <f>'춘천SS(구)'!J340</f>
        <v/>
      </c>
    </row>
    <row r="85" spans="1:11" ht="31.5" customHeight="1" x14ac:dyDescent="0.3">
      <c r="A85" s="558"/>
      <c r="B85" s="576"/>
      <c r="C85" s="470">
        <v>21</v>
      </c>
      <c r="D85" s="790"/>
      <c r="E85" s="585" t="str">
        <f>'춘천SS(구)'!E341</f>
        <v/>
      </c>
      <c r="F85" s="585" t="str">
        <f>'춘천SS(구)'!F341</f>
        <v/>
      </c>
      <c r="G85" s="585" t="str">
        <f>'춘천SS(구)'!G341</f>
        <v/>
      </c>
      <c r="H85" s="585" t="str">
        <f>'춘천SS(구)'!H341</f>
        <v/>
      </c>
      <c r="I85" s="800"/>
      <c r="J85" s="586" t="str">
        <f>'춘천SS(구)'!J341</f>
        <v/>
      </c>
    </row>
    <row r="86" spans="1:11" ht="31.5" customHeight="1" x14ac:dyDescent="0.3">
      <c r="A86" s="558"/>
      <c r="B86" s="576"/>
      <c r="C86" s="786">
        <v>22</v>
      </c>
      <c r="D86" s="788"/>
      <c r="E86" s="786" t="str">
        <f>'춘천SS(구)'!E342</f>
        <v/>
      </c>
      <c r="F86" s="786" t="str">
        <f>'춘천SS(구)'!F342</f>
        <v/>
      </c>
      <c r="G86" s="786" t="str">
        <f>'춘천SS(구)'!G342</f>
        <v/>
      </c>
      <c r="H86" s="786" t="str">
        <f>'춘천SS(구)'!H342</f>
        <v/>
      </c>
      <c r="I86" s="788"/>
      <c r="J86" s="780" t="str">
        <f>'춘천SS(구)'!J342</f>
        <v/>
      </c>
    </row>
    <row r="87" spans="1:11" ht="31.5" customHeight="1" x14ac:dyDescent="0.3">
      <c r="A87" s="558"/>
      <c r="B87" s="576"/>
      <c r="C87" s="585">
        <v>23</v>
      </c>
      <c r="D87" s="789"/>
      <c r="E87" s="585" t="str">
        <f>'춘천SS(구)'!E343</f>
        <v/>
      </c>
      <c r="F87" s="585" t="str">
        <f>'춘천SS(구)'!F343</f>
        <v/>
      </c>
      <c r="G87" s="585" t="str">
        <f>'춘천SS(구)'!G343</f>
        <v/>
      </c>
      <c r="H87" s="585" t="str">
        <f>'춘천SS(구)'!H343</f>
        <v/>
      </c>
      <c r="I87" s="789"/>
      <c r="J87" s="239" t="str">
        <f>'춘천SS(구)'!J343</f>
        <v/>
      </c>
    </row>
    <row r="88" spans="1:11" ht="31.5" customHeight="1" x14ac:dyDescent="0.3">
      <c r="A88" s="558"/>
      <c r="B88" s="576"/>
      <c r="C88" s="586">
        <v>24</v>
      </c>
      <c r="D88" s="792"/>
      <c r="E88" s="585" t="str">
        <f>'춘천SS(구)'!E344</f>
        <v/>
      </c>
      <c r="F88" s="585" t="str">
        <f>'춘천SS(구)'!F344</f>
        <v/>
      </c>
      <c r="G88" s="585" t="str">
        <f>'춘천SS(구)'!G344</f>
        <v/>
      </c>
      <c r="H88" s="585" t="str">
        <f>'춘천SS(구)'!H344</f>
        <v/>
      </c>
      <c r="I88" s="792"/>
      <c r="J88" s="471" t="str">
        <f>'춘천SS(구)'!J344</f>
        <v/>
      </c>
    </row>
    <row r="89" spans="1:11" ht="31.5" customHeight="1" x14ac:dyDescent="0.3">
      <c r="A89" s="558"/>
      <c r="B89" s="576"/>
      <c r="C89" s="561">
        <v>25</v>
      </c>
      <c r="D89" s="796"/>
      <c r="E89" s="786" t="str">
        <f>'춘천SS(구)'!E345</f>
        <v/>
      </c>
      <c r="F89" s="786" t="str">
        <f>'춘천SS(구)'!F345</f>
        <v/>
      </c>
      <c r="G89" s="786" t="str">
        <f>'춘천SS(구)'!G345</f>
        <v/>
      </c>
      <c r="H89" s="786" t="str">
        <f>'춘천SS(구)'!H345</f>
        <v/>
      </c>
      <c r="I89" s="796"/>
      <c r="J89" s="786" t="str">
        <f>'춘천SS(구)'!J345</f>
        <v/>
      </c>
    </row>
    <row r="90" spans="1:11" ht="31.5" customHeight="1" x14ac:dyDescent="0.3">
      <c r="A90" s="558"/>
      <c r="B90" s="576"/>
      <c r="C90" s="585">
        <v>26</v>
      </c>
      <c r="D90" s="789"/>
      <c r="E90" s="585" t="str">
        <f>'춘천SS(구)'!E346</f>
        <v/>
      </c>
      <c r="F90" s="585" t="str">
        <f>'춘천SS(구)'!F346</f>
        <v/>
      </c>
      <c r="G90" s="585" t="str">
        <f>'춘천SS(구)'!G346</f>
        <v/>
      </c>
      <c r="H90" s="585" t="str">
        <f>'춘천SS(구)'!H346</f>
        <v/>
      </c>
      <c r="I90" s="789"/>
      <c r="J90" s="585" t="str">
        <f>'춘천SS(구)'!J346</f>
        <v/>
      </c>
    </row>
    <row r="91" spans="1:11" ht="31.5" customHeight="1" x14ac:dyDescent="0.3">
      <c r="A91" s="558"/>
      <c r="B91" s="576"/>
      <c r="C91" s="470">
        <v>27</v>
      </c>
      <c r="D91" s="791"/>
      <c r="E91" s="585" t="str">
        <f>'춘천SS(구)'!E347</f>
        <v/>
      </c>
      <c r="F91" s="585" t="str">
        <f>'춘천SS(구)'!F347</f>
        <v/>
      </c>
      <c r="G91" s="585" t="str">
        <f>'춘천SS(구)'!G347</f>
        <v/>
      </c>
      <c r="H91" s="585" t="str">
        <f>'춘천SS(구)'!H347</f>
        <v/>
      </c>
      <c r="I91" s="791"/>
      <c r="J91" s="586" t="str">
        <f>'춘천SS(구)'!J347</f>
        <v/>
      </c>
    </row>
    <row r="92" spans="1:11" ht="31.5" customHeight="1" x14ac:dyDescent="0.3">
      <c r="A92" s="558"/>
      <c r="B92" s="576"/>
      <c r="C92" s="786">
        <v>28</v>
      </c>
      <c r="D92" s="788"/>
      <c r="E92" s="786" t="str">
        <f>'춘천SS(구)'!E348</f>
        <v/>
      </c>
      <c r="F92" s="786" t="str">
        <f>'춘천SS(구)'!F348</f>
        <v/>
      </c>
      <c r="G92" s="786" t="str">
        <f>'춘천SS(구)'!G348</f>
        <v/>
      </c>
      <c r="H92" s="786" t="str">
        <f>'춘천SS(구)'!H348</f>
        <v/>
      </c>
      <c r="I92" s="788"/>
      <c r="J92" s="801" t="str">
        <f>'춘천SS(구)'!J348</f>
        <v/>
      </c>
    </row>
    <row r="93" spans="1:11" ht="31.5" customHeight="1" x14ac:dyDescent="0.3">
      <c r="A93" s="558"/>
      <c r="B93" s="576"/>
      <c r="C93" s="585">
        <v>29</v>
      </c>
      <c r="D93" s="789"/>
      <c r="E93" s="585" t="str">
        <f>'춘천SS(구)'!E349</f>
        <v/>
      </c>
      <c r="F93" s="585" t="str">
        <f>'춘천SS(구)'!F349</f>
        <v/>
      </c>
      <c r="G93" s="585" t="str">
        <f>'춘천SS(구)'!G349</f>
        <v/>
      </c>
      <c r="H93" s="585" t="str">
        <f>'춘천SS(구)'!H349</f>
        <v/>
      </c>
      <c r="I93" s="789"/>
      <c r="J93" s="239" t="str">
        <f>'춘천SS(구)'!J349</f>
        <v/>
      </c>
    </row>
    <row r="94" spans="1:11" ht="31.5" customHeight="1" x14ac:dyDescent="0.3">
      <c r="A94" s="578"/>
      <c r="B94" s="579"/>
      <c r="C94" s="586">
        <v>30</v>
      </c>
      <c r="D94" s="792"/>
      <c r="E94" s="586" t="str">
        <f>'춘천SS(구)'!E350</f>
        <v/>
      </c>
      <c r="F94" s="586" t="str">
        <f>'춘천SS(구)'!F350</f>
        <v/>
      </c>
      <c r="G94" s="586" t="str">
        <f>'춘천SS(구)'!G350</f>
        <v/>
      </c>
      <c r="H94" s="586" t="str">
        <f>'춘천SS(구)'!H350</f>
        <v/>
      </c>
      <c r="I94" s="792"/>
      <c r="J94" s="581" t="str">
        <f>'춘천SS(구)'!J350</f>
        <v/>
      </c>
    </row>
    <row r="95" spans="1:11" ht="31.5" customHeight="1" x14ac:dyDescent="0.3">
      <c r="A95" s="776" t="s">
        <v>418</v>
      </c>
      <c r="B95" s="777" t="s">
        <v>417</v>
      </c>
      <c r="C95" s="561">
        <v>1</v>
      </c>
      <c r="D95" s="778" t="s">
        <v>20</v>
      </c>
      <c r="E95" s="561" t="str">
        <f>양구SS!E43</f>
        <v/>
      </c>
      <c r="F95" s="561"/>
      <c r="G95" s="561"/>
      <c r="H95" s="561"/>
      <c r="I95" s="779" t="s">
        <v>15</v>
      </c>
      <c r="J95" s="780"/>
      <c r="K95" s="821" t="s">
        <v>950</v>
      </c>
    </row>
    <row r="96" spans="1:11" ht="31.5" customHeight="1" x14ac:dyDescent="0.3">
      <c r="A96" s="726" t="s">
        <v>419</v>
      </c>
      <c r="B96" s="781"/>
      <c r="C96" s="585">
        <v>2</v>
      </c>
      <c r="D96" s="782"/>
      <c r="E96" s="585" t="str">
        <f>양구SS!E44</f>
        <v/>
      </c>
      <c r="F96" s="585"/>
      <c r="G96" s="585"/>
      <c r="H96" s="585"/>
      <c r="I96" s="783"/>
      <c r="J96" s="239"/>
    </row>
    <row r="97" spans="1:10" s="6" customFormat="1" ht="31.5" customHeight="1" x14ac:dyDescent="0.3">
      <c r="A97" s="558"/>
      <c r="B97" s="576"/>
      <c r="C97" s="585">
        <v>3</v>
      </c>
      <c r="D97" s="782"/>
      <c r="E97" s="585" t="str">
        <f>양구SS!E45</f>
        <v/>
      </c>
      <c r="F97" s="585"/>
      <c r="G97" s="585"/>
      <c r="H97" s="585"/>
      <c r="I97" s="783"/>
      <c r="J97" s="239"/>
    </row>
    <row r="98" spans="1:10" s="6" customFormat="1" ht="31.5" customHeight="1" x14ac:dyDescent="0.3">
      <c r="A98" s="558"/>
      <c r="B98" s="576"/>
      <c r="C98" s="585">
        <v>4</v>
      </c>
      <c r="D98" s="782" t="s">
        <v>20</v>
      </c>
      <c r="E98" s="585" t="str">
        <f>양구SS!E46</f>
        <v/>
      </c>
      <c r="F98" s="585"/>
      <c r="G98" s="585"/>
      <c r="H98" s="585"/>
      <c r="I98" s="783" t="s">
        <v>15</v>
      </c>
      <c r="J98" s="239" t="str">
        <f>양구SS!J46</f>
        <v/>
      </c>
    </row>
    <row r="99" spans="1:10" s="6" customFormat="1" ht="31.5" customHeight="1" x14ac:dyDescent="0.3">
      <c r="A99" s="558"/>
      <c r="B99" s="576"/>
      <c r="C99" s="585">
        <v>5</v>
      </c>
      <c r="D99" s="782"/>
      <c r="E99" s="585" t="str">
        <f>양구SS!E47</f>
        <v/>
      </c>
      <c r="F99" s="585" t="str">
        <f>양구SS!F47</f>
        <v>내선</v>
      </c>
      <c r="G99" s="585" t="str">
        <f>양구SS!G47</f>
        <v/>
      </c>
      <c r="H99" s="585" t="str">
        <f>양구SS!H47</f>
        <v>양구 통신실 (640)</v>
      </c>
      <c r="I99" s="783"/>
      <c r="J99" s="239" t="str">
        <f>양구SS!J47</f>
        <v>춘천-11-인제-5-양구</v>
      </c>
    </row>
    <row r="100" spans="1:10" s="6" customFormat="1" ht="31.5" customHeight="1" x14ac:dyDescent="0.3">
      <c r="A100" s="558"/>
      <c r="B100" s="576"/>
      <c r="C100" s="585">
        <v>6</v>
      </c>
      <c r="D100" s="782"/>
      <c r="E100" s="585" t="str">
        <f>양구SS!E48</f>
        <v/>
      </c>
      <c r="F100" s="585" t="str">
        <f>양구SS!F48</f>
        <v>화재경보수신</v>
      </c>
      <c r="G100" s="585" t="str">
        <f>양구SS!G48</f>
        <v/>
      </c>
      <c r="H100" s="585">
        <f>양구SS!H48</f>
        <v>646</v>
      </c>
      <c r="I100" s="783"/>
      <c r="J100" s="239" t="str">
        <f>양구SS!J48</f>
        <v>춘천-8-인제-6-양구</v>
      </c>
    </row>
    <row r="101" spans="1:10" s="6" customFormat="1" ht="31.5" customHeight="1" x14ac:dyDescent="0.3">
      <c r="A101" s="558"/>
      <c r="B101" s="576"/>
      <c r="C101" s="585">
        <v>7</v>
      </c>
      <c r="D101" s="782" t="s">
        <v>20</v>
      </c>
      <c r="E101" s="585" t="str">
        <f>양구SS!E49</f>
        <v/>
      </c>
      <c r="F101" s="585" t="str">
        <f>양구SS!F49</f>
        <v/>
      </c>
      <c r="G101" s="585" t="str">
        <f>양구SS!G49</f>
        <v/>
      </c>
      <c r="H101" s="585" t="str">
        <f>양구SS!H49</f>
        <v/>
      </c>
      <c r="I101" s="782" t="s">
        <v>20</v>
      </c>
      <c r="J101" s="239"/>
    </row>
    <row r="102" spans="1:10" s="6" customFormat="1" ht="31.5" customHeight="1" x14ac:dyDescent="0.3">
      <c r="A102" s="558"/>
      <c r="B102" s="576"/>
      <c r="C102" s="585">
        <v>8</v>
      </c>
      <c r="D102" s="782"/>
      <c r="E102" s="585"/>
      <c r="F102" s="585"/>
      <c r="G102" s="585"/>
      <c r="H102" s="585"/>
      <c r="I102" s="782"/>
      <c r="J102" s="239"/>
    </row>
    <row r="103" spans="1:10" s="6" customFormat="1" ht="31.5" customHeight="1" x14ac:dyDescent="0.3">
      <c r="A103" s="558"/>
      <c r="B103" s="576"/>
      <c r="C103" s="585">
        <v>9</v>
      </c>
      <c r="D103" s="782"/>
      <c r="E103" s="585"/>
      <c r="F103" s="585"/>
      <c r="G103" s="585"/>
      <c r="H103" s="585"/>
      <c r="I103" s="782"/>
      <c r="J103" s="239"/>
    </row>
    <row r="104" spans="1:10" s="6" customFormat="1" ht="31.5" customHeight="1" x14ac:dyDescent="0.3">
      <c r="A104" s="558"/>
      <c r="B104" s="576"/>
      <c r="C104" s="585">
        <v>10</v>
      </c>
      <c r="D104" s="782" t="s">
        <v>20</v>
      </c>
      <c r="E104" s="585"/>
      <c r="F104" s="585"/>
      <c r="G104" s="585"/>
      <c r="H104" s="585"/>
      <c r="I104" s="782" t="s">
        <v>20</v>
      </c>
      <c r="J104" s="239"/>
    </row>
    <row r="105" spans="1:10" s="6" customFormat="1" ht="31.5" customHeight="1" x14ac:dyDescent="0.3">
      <c r="A105" s="558"/>
      <c r="B105" s="576"/>
      <c r="C105" s="585">
        <v>11</v>
      </c>
      <c r="D105" s="782"/>
      <c r="E105" s="585"/>
      <c r="F105" s="585"/>
      <c r="G105" s="585"/>
      <c r="H105" s="585"/>
      <c r="I105" s="782"/>
      <c r="J105" s="239"/>
    </row>
    <row r="106" spans="1:10" s="6" customFormat="1" ht="31.5" customHeight="1" x14ac:dyDescent="0.3">
      <c r="A106" s="558"/>
      <c r="B106" s="576"/>
      <c r="C106" s="585">
        <v>12</v>
      </c>
      <c r="D106" s="782"/>
      <c r="E106" s="585" t="str">
        <f>양구SS!E54</f>
        <v/>
      </c>
      <c r="F106" s="585" t="str">
        <f>양구SS!F54</f>
        <v/>
      </c>
      <c r="G106" s="585" t="str">
        <f>양구SS!G54</f>
        <v/>
      </c>
      <c r="H106" s="585" t="str">
        <f>양구SS!H54</f>
        <v/>
      </c>
      <c r="I106" s="782"/>
      <c r="J106" s="239" t="str">
        <f>양구SS!J54</f>
        <v/>
      </c>
    </row>
    <row r="107" spans="1:10" s="6" customFormat="1" ht="31.5" customHeight="1" x14ac:dyDescent="0.3">
      <c r="A107" s="558"/>
      <c r="B107" s="576"/>
      <c r="C107" s="585">
        <v>13</v>
      </c>
      <c r="D107" s="789"/>
      <c r="E107" s="585" t="str">
        <f>양구SS!E55</f>
        <v/>
      </c>
      <c r="F107" s="585" t="str">
        <f>양구SS!F55</f>
        <v/>
      </c>
      <c r="G107" s="585" t="str">
        <f>양구SS!G55</f>
        <v/>
      </c>
      <c r="H107" s="585" t="str">
        <f>양구SS!H55</f>
        <v/>
      </c>
      <c r="I107" s="789"/>
      <c r="J107" s="239" t="str">
        <f>양구SS!J55</f>
        <v/>
      </c>
    </row>
    <row r="108" spans="1:10" s="6" customFormat="1" ht="31.5" customHeight="1" x14ac:dyDescent="0.3">
      <c r="A108" s="558"/>
      <c r="B108" s="576"/>
      <c r="C108" s="585">
        <v>14</v>
      </c>
      <c r="D108" s="789"/>
      <c r="E108" s="585" t="str">
        <f>양구SS!E56</f>
        <v/>
      </c>
      <c r="F108" s="585" t="str">
        <f>양구SS!F56</f>
        <v/>
      </c>
      <c r="G108" s="585" t="str">
        <f>양구SS!G56</f>
        <v/>
      </c>
      <c r="H108" s="585" t="str">
        <f>양구SS!H56</f>
        <v/>
      </c>
      <c r="I108" s="789"/>
      <c r="J108" s="239" t="str">
        <f>양구SS!J56</f>
        <v/>
      </c>
    </row>
    <row r="109" spans="1:10" s="6" customFormat="1" ht="31.5" customHeight="1" x14ac:dyDescent="0.3">
      <c r="A109" s="558"/>
      <c r="B109" s="576"/>
      <c r="C109" s="585">
        <v>15</v>
      </c>
      <c r="D109" s="789"/>
      <c r="E109" s="585" t="str">
        <f>양구SS!E57</f>
        <v/>
      </c>
      <c r="F109" s="585" t="str">
        <f>양구SS!F57</f>
        <v/>
      </c>
      <c r="G109" s="585" t="str">
        <f>양구SS!G57</f>
        <v/>
      </c>
      <c r="H109" s="585" t="str">
        <f>양구SS!H57</f>
        <v/>
      </c>
      <c r="I109" s="789"/>
      <c r="J109" s="239" t="str">
        <f>양구SS!J57</f>
        <v/>
      </c>
    </row>
    <row r="110" spans="1:10" s="6" customFormat="1" ht="31.5" customHeight="1" x14ac:dyDescent="0.3">
      <c r="A110" s="558"/>
      <c r="B110" s="576"/>
      <c r="C110" s="585">
        <v>16</v>
      </c>
      <c r="D110" s="789"/>
      <c r="E110" s="585" t="str">
        <f>양구SS!E58</f>
        <v/>
      </c>
      <c r="F110" s="585" t="str">
        <f>양구SS!F58</f>
        <v/>
      </c>
      <c r="G110" s="585" t="str">
        <f>양구SS!G58</f>
        <v/>
      </c>
      <c r="H110" s="585" t="str">
        <f>양구SS!H58</f>
        <v/>
      </c>
      <c r="I110" s="789"/>
      <c r="J110" s="239" t="str">
        <f>양구SS!J58</f>
        <v/>
      </c>
    </row>
    <row r="111" spans="1:10" s="6" customFormat="1" ht="31.5" customHeight="1" x14ac:dyDescent="0.3">
      <c r="A111" s="558"/>
      <c r="B111" s="576"/>
      <c r="C111" s="585">
        <v>17</v>
      </c>
      <c r="D111" s="789"/>
      <c r="E111" s="585" t="str">
        <f>양구SS!E59</f>
        <v/>
      </c>
      <c r="F111" s="585" t="str">
        <f>양구SS!F59</f>
        <v/>
      </c>
      <c r="G111" s="585" t="str">
        <f>양구SS!G59</f>
        <v/>
      </c>
      <c r="H111" s="585" t="str">
        <f>양구SS!H59</f>
        <v/>
      </c>
      <c r="I111" s="789"/>
      <c r="J111" s="239" t="str">
        <f>양구SS!J59</f>
        <v/>
      </c>
    </row>
    <row r="112" spans="1:10" s="6" customFormat="1" ht="31.5" customHeight="1" x14ac:dyDescent="0.3">
      <c r="A112" s="558"/>
      <c r="B112" s="576"/>
      <c r="C112" s="585">
        <v>18</v>
      </c>
      <c r="D112" s="789"/>
      <c r="E112" s="585" t="str">
        <f>양구SS!E60</f>
        <v/>
      </c>
      <c r="F112" s="585" t="str">
        <f>양구SS!F60</f>
        <v/>
      </c>
      <c r="G112" s="585" t="str">
        <f>양구SS!G60</f>
        <v/>
      </c>
      <c r="H112" s="585" t="str">
        <f>양구SS!H60</f>
        <v/>
      </c>
      <c r="I112" s="789"/>
      <c r="J112" s="239" t="str">
        <f>양구SS!J60</f>
        <v/>
      </c>
    </row>
    <row r="113" spans="1:11" ht="31.5" customHeight="1" x14ac:dyDescent="0.3">
      <c r="A113" s="558"/>
      <c r="B113" s="576"/>
      <c r="C113" s="585">
        <v>19</v>
      </c>
      <c r="D113" s="789"/>
      <c r="E113" s="585"/>
      <c r="F113" s="585"/>
      <c r="G113" s="585"/>
      <c r="H113" s="585"/>
      <c r="I113" s="789"/>
      <c r="J113" s="239"/>
    </row>
    <row r="114" spans="1:11" ht="31.5" customHeight="1" x14ac:dyDescent="0.3">
      <c r="A114" s="558"/>
      <c r="B114" s="576"/>
      <c r="C114" s="585">
        <v>20</v>
      </c>
      <c r="D114" s="789"/>
      <c r="E114" s="585"/>
      <c r="F114" s="585"/>
      <c r="G114" s="585"/>
      <c r="H114" s="585"/>
      <c r="I114" s="789"/>
      <c r="J114" s="239"/>
    </row>
    <row r="115" spans="1:11" ht="31.5" customHeight="1" x14ac:dyDescent="0.3">
      <c r="A115" s="558"/>
      <c r="B115" s="576"/>
      <c r="C115" s="585">
        <v>21</v>
      </c>
      <c r="D115" s="789"/>
      <c r="E115" s="585"/>
      <c r="F115" s="585"/>
      <c r="G115" s="585"/>
      <c r="H115" s="585"/>
      <c r="I115" s="789"/>
      <c r="J115" s="239"/>
    </row>
    <row r="116" spans="1:11" ht="31.5" customHeight="1" x14ac:dyDescent="0.3">
      <c r="A116" s="558"/>
      <c r="B116" s="576"/>
      <c r="C116" s="585">
        <v>22</v>
      </c>
      <c r="D116" s="789"/>
      <c r="E116" s="585"/>
      <c r="F116" s="585"/>
      <c r="G116" s="585"/>
      <c r="H116" s="585"/>
      <c r="I116" s="789"/>
      <c r="J116" s="239"/>
    </row>
    <row r="117" spans="1:11" ht="31.5" customHeight="1" x14ac:dyDescent="0.3">
      <c r="A117" s="558"/>
      <c r="B117" s="576"/>
      <c r="C117" s="585">
        <v>23</v>
      </c>
      <c r="D117" s="789"/>
      <c r="E117" s="585"/>
      <c r="F117" s="585"/>
      <c r="G117" s="585"/>
      <c r="H117" s="585"/>
      <c r="I117" s="789"/>
      <c r="J117" s="239"/>
    </row>
    <row r="118" spans="1:11" ht="31.5" customHeight="1" x14ac:dyDescent="0.3">
      <c r="A118" s="558"/>
      <c r="B118" s="576"/>
      <c r="C118" s="585">
        <v>24</v>
      </c>
      <c r="D118" s="789"/>
      <c r="E118" s="585"/>
      <c r="F118" s="585"/>
      <c r="G118" s="585"/>
      <c r="H118" s="585"/>
      <c r="I118" s="789"/>
      <c r="J118" s="239"/>
    </row>
    <row r="119" spans="1:11" ht="31.5" customHeight="1" x14ac:dyDescent="0.3">
      <c r="A119" s="558"/>
      <c r="B119" s="576"/>
      <c r="C119" s="585">
        <v>25</v>
      </c>
      <c r="D119" s="789"/>
      <c r="E119" s="585"/>
      <c r="F119" s="585"/>
      <c r="G119" s="585"/>
      <c r="H119" s="585"/>
      <c r="I119" s="789"/>
      <c r="J119" s="239"/>
    </row>
    <row r="120" spans="1:11" ht="31.5" customHeight="1" x14ac:dyDescent="0.3">
      <c r="A120" s="558"/>
      <c r="B120" s="576"/>
      <c r="C120" s="585">
        <v>26</v>
      </c>
      <c r="D120" s="789"/>
      <c r="E120" s="585"/>
      <c r="F120" s="585"/>
      <c r="G120" s="585"/>
      <c r="H120" s="585"/>
      <c r="I120" s="789"/>
      <c r="J120" s="239"/>
    </row>
    <row r="121" spans="1:11" ht="31.5" customHeight="1" x14ac:dyDescent="0.3">
      <c r="A121" s="558"/>
      <c r="B121" s="576"/>
      <c r="C121" s="585">
        <v>27</v>
      </c>
      <c r="D121" s="789"/>
      <c r="E121" s="585"/>
      <c r="F121" s="585"/>
      <c r="G121" s="585"/>
      <c r="H121" s="585"/>
      <c r="I121" s="789"/>
      <c r="J121" s="239"/>
    </row>
    <row r="122" spans="1:11" ht="31.5" customHeight="1" x14ac:dyDescent="0.3">
      <c r="A122" s="558"/>
      <c r="B122" s="576"/>
      <c r="C122" s="585">
        <v>28</v>
      </c>
      <c r="D122" s="789"/>
      <c r="E122" s="585"/>
      <c r="F122" s="585"/>
      <c r="G122" s="585"/>
      <c r="H122" s="585"/>
      <c r="I122" s="789"/>
      <c r="J122" s="239"/>
    </row>
    <row r="123" spans="1:11" ht="31.5" customHeight="1" x14ac:dyDescent="0.3">
      <c r="A123" s="558"/>
      <c r="B123" s="576"/>
      <c r="C123" s="585">
        <v>29</v>
      </c>
      <c r="D123" s="789"/>
      <c r="E123" s="585"/>
      <c r="F123" s="585"/>
      <c r="G123" s="585"/>
      <c r="H123" s="585"/>
      <c r="I123" s="789"/>
      <c r="J123" s="239"/>
    </row>
    <row r="124" spans="1:11" ht="31.5" customHeight="1" x14ac:dyDescent="0.3">
      <c r="A124" s="578"/>
      <c r="B124" s="579"/>
      <c r="C124" s="586">
        <v>30</v>
      </c>
      <c r="D124" s="792"/>
      <c r="E124" s="585"/>
      <c r="F124" s="585"/>
      <c r="G124" s="585"/>
      <c r="H124" s="585"/>
      <c r="I124" s="792"/>
      <c r="J124" s="239"/>
    </row>
    <row r="125" spans="1:11" ht="28.5" customHeight="1" x14ac:dyDescent="0.3">
      <c r="A125" s="559" t="s">
        <v>23</v>
      </c>
      <c r="B125" s="560" t="s">
        <v>40</v>
      </c>
      <c r="C125" s="561">
        <v>1</v>
      </c>
      <c r="D125" s="743" t="s">
        <v>13</v>
      </c>
      <c r="E125" s="562"/>
      <c r="F125" s="563"/>
      <c r="G125" s="562"/>
      <c r="H125" s="562"/>
      <c r="I125" s="743" t="s">
        <v>13</v>
      </c>
      <c r="J125" s="564"/>
      <c r="K125" s="821" t="s">
        <v>950</v>
      </c>
    </row>
    <row r="126" spans="1:11" ht="28.5" customHeight="1" x14ac:dyDescent="0.3">
      <c r="A126" s="745" t="s">
        <v>420</v>
      </c>
      <c r="B126" s="746"/>
      <c r="C126" s="585">
        <v>2</v>
      </c>
      <c r="D126" s="744"/>
      <c r="E126" s="585"/>
      <c r="F126" s="565"/>
      <c r="G126" s="585"/>
      <c r="H126" s="585"/>
      <c r="I126" s="744"/>
      <c r="J126" s="239"/>
      <c r="K126" s="587"/>
    </row>
    <row r="127" spans="1:11" ht="28.5" customHeight="1" x14ac:dyDescent="0.3">
      <c r="A127" s="677" t="s">
        <v>491</v>
      </c>
      <c r="B127" s="614"/>
      <c r="C127" s="585">
        <v>3</v>
      </c>
      <c r="D127" s="744"/>
      <c r="E127" s="566"/>
      <c r="F127" s="567"/>
      <c r="G127" s="566"/>
      <c r="H127" s="566"/>
      <c r="I127" s="744"/>
      <c r="J127" s="568"/>
      <c r="K127" s="587"/>
    </row>
    <row r="128" spans="1:11" ht="28.5" customHeight="1" x14ac:dyDescent="0.3">
      <c r="A128" s="569"/>
      <c r="B128" s="570"/>
      <c r="C128" s="294">
        <v>4</v>
      </c>
      <c r="D128" s="744"/>
      <c r="E128" s="294"/>
      <c r="F128" s="571"/>
      <c r="G128" s="294"/>
      <c r="H128" s="294"/>
      <c r="I128" s="744"/>
      <c r="J128" s="239"/>
      <c r="K128" s="587"/>
    </row>
    <row r="129" spans="1:11" ht="28.5" customHeight="1" x14ac:dyDescent="0.3">
      <c r="A129" s="569"/>
      <c r="B129" s="570"/>
      <c r="C129" s="294">
        <v>5</v>
      </c>
      <c r="D129" s="744" t="s">
        <v>13</v>
      </c>
      <c r="E129" s="585"/>
      <c r="F129" s="565"/>
      <c r="G129" s="585"/>
      <c r="H129" s="585"/>
      <c r="I129" s="744" t="s">
        <v>13</v>
      </c>
      <c r="J129" s="239"/>
      <c r="K129" s="587"/>
    </row>
    <row r="130" spans="1:11" ht="28.5" customHeight="1" x14ac:dyDescent="0.3">
      <c r="A130" s="569"/>
      <c r="B130" s="570"/>
      <c r="C130" s="294">
        <v>6</v>
      </c>
      <c r="D130" s="744"/>
      <c r="E130" s="294" t="s">
        <v>28</v>
      </c>
      <c r="F130" s="571" t="s">
        <v>12</v>
      </c>
      <c r="G130" s="294"/>
      <c r="H130" s="294" t="s">
        <v>35</v>
      </c>
      <c r="I130" s="744"/>
      <c r="J130" s="572" t="s">
        <v>81</v>
      </c>
      <c r="K130" s="587"/>
    </row>
    <row r="131" spans="1:11" ht="28.5" customHeight="1" x14ac:dyDescent="0.3">
      <c r="A131" s="569"/>
      <c r="B131" s="570"/>
      <c r="C131" s="294">
        <v>7</v>
      </c>
      <c r="D131" s="744"/>
      <c r="E131" s="294"/>
      <c r="F131" s="573"/>
      <c r="G131" s="574"/>
      <c r="H131" s="575"/>
      <c r="I131" s="744"/>
      <c r="J131" s="575"/>
      <c r="K131" s="587"/>
    </row>
    <row r="132" spans="1:11" ht="28.5" customHeight="1" x14ac:dyDescent="0.3">
      <c r="A132" s="558"/>
      <c r="B132" s="576"/>
      <c r="C132" s="585">
        <v>8</v>
      </c>
      <c r="D132" s="744"/>
      <c r="E132" s="294"/>
      <c r="F132" s="571"/>
      <c r="G132" s="571"/>
      <c r="H132" s="571"/>
      <c r="I132" s="744"/>
      <c r="J132" s="577"/>
      <c r="K132" s="587"/>
    </row>
    <row r="133" spans="1:11" ht="28.5" customHeight="1" x14ac:dyDescent="0.3">
      <c r="A133" s="558"/>
      <c r="B133" s="576"/>
      <c r="C133" s="585">
        <v>9</v>
      </c>
      <c r="D133" s="744" t="s">
        <v>13</v>
      </c>
      <c r="E133" s="294"/>
      <c r="F133" s="565"/>
      <c r="G133" s="585"/>
      <c r="H133" s="571"/>
      <c r="I133" s="744" t="s">
        <v>13</v>
      </c>
      <c r="J133" s="239"/>
      <c r="K133" s="587"/>
    </row>
    <row r="134" spans="1:11" ht="28.5" customHeight="1" x14ac:dyDescent="0.3">
      <c r="A134" s="558"/>
      <c r="B134" s="576"/>
      <c r="C134" s="585">
        <v>10</v>
      </c>
      <c r="D134" s="744"/>
      <c r="E134" s="585"/>
      <c r="F134" s="565"/>
      <c r="G134" s="585"/>
      <c r="H134" s="585"/>
      <c r="I134" s="744"/>
      <c r="J134" s="239"/>
      <c r="K134" s="587"/>
    </row>
    <row r="135" spans="1:11" ht="28.5" customHeight="1" x14ac:dyDescent="0.3">
      <c r="A135" s="558"/>
      <c r="B135" s="576"/>
      <c r="C135" s="585">
        <v>11</v>
      </c>
      <c r="D135" s="744"/>
      <c r="E135" s="585"/>
      <c r="F135" s="565"/>
      <c r="G135" s="585"/>
      <c r="H135" s="585"/>
      <c r="I135" s="744"/>
      <c r="J135" s="239"/>
      <c r="K135" s="587"/>
    </row>
    <row r="136" spans="1:11" ht="28.5" customHeight="1" x14ac:dyDescent="0.3">
      <c r="A136" s="558"/>
      <c r="B136" s="576"/>
      <c r="C136" s="585">
        <v>12</v>
      </c>
      <c r="D136" s="744"/>
      <c r="E136" s="585"/>
      <c r="F136" s="565"/>
      <c r="G136" s="585"/>
      <c r="H136" s="585"/>
      <c r="I136" s="744"/>
      <c r="J136" s="239"/>
      <c r="K136" s="587"/>
    </row>
    <row r="137" spans="1:11" ht="28.5" customHeight="1" x14ac:dyDescent="0.3">
      <c r="A137" s="558"/>
      <c r="B137" s="576"/>
      <c r="C137" s="585">
        <v>13</v>
      </c>
      <c r="D137" s="741"/>
      <c r="E137" s="585"/>
      <c r="F137" s="565"/>
      <c r="G137" s="585"/>
      <c r="H137" s="585"/>
      <c r="I137" s="741"/>
      <c r="J137" s="239"/>
      <c r="K137" s="587"/>
    </row>
    <row r="138" spans="1:11" ht="28.5" customHeight="1" x14ac:dyDescent="0.3">
      <c r="A138" s="558"/>
      <c r="B138" s="576"/>
      <c r="C138" s="585">
        <v>14</v>
      </c>
      <c r="D138" s="741"/>
      <c r="E138" s="585"/>
      <c r="F138" s="565"/>
      <c r="G138" s="585"/>
      <c r="H138" s="585"/>
      <c r="I138" s="741"/>
      <c r="J138" s="239"/>
      <c r="K138" s="587"/>
    </row>
    <row r="139" spans="1:11" ht="28.5" customHeight="1" x14ac:dyDescent="0.3">
      <c r="A139" s="558"/>
      <c r="B139" s="576"/>
      <c r="C139" s="585">
        <v>15</v>
      </c>
      <c r="D139" s="741"/>
      <c r="E139" s="585"/>
      <c r="F139" s="565"/>
      <c r="G139" s="585"/>
      <c r="H139" s="585"/>
      <c r="I139" s="741"/>
      <c r="J139" s="239"/>
      <c r="K139" s="51"/>
    </row>
    <row r="140" spans="1:11" ht="28.5" customHeight="1" x14ac:dyDescent="0.3">
      <c r="A140" s="578"/>
      <c r="B140" s="579"/>
      <c r="C140" s="586">
        <v>16</v>
      </c>
      <c r="D140" s="742"/>
      <c r="E140" s="586"/>
      <c r="F140" s="580"/>
      <c r="G140" s="586"/>
      <c r="H140" s="586"/>
      <c r="I140" s="742"/>
      <c r="J140" s="581"/>
      <c r="K140" s="51"/>
    </row>
  </sheetData>
  <mergeCells count="83">
    <mergeCell ref="D133:D136"/>
    <mergeCell ref="I133:I136"/>
    <mergeCell ref="D137:D140"/>
    <mergeCell ref="I137:I140"/>
    <mergeCell ref="D125:D128"/>
    <mergeCell ref="I125:I128"/>
    <mergeCell ref="A126:B126"/>
    <mergeCell ref="A127:B127"/>
    <mergeCell ref="D129:D132"/>
    <mergeCell ref="I129:I132"/>
    <mergeCell ref="D49:D60"/>
    <mergeCell ref="I49:I60"/>
    <mergeCell ref="A50:B50"/>
    <mergeCell ref="A51:B51"/>
    <mergeCell ref="A96:B96"/>
    <mergeCell ref="D98:D100"/>
    <mergeCell ref="I98:I100"/>
    <mergeCell ref="I83:I85"/>
    <mergeCell ref="D86:D88"/>
    <mergeCell ref="I86:I88"/>
    <mergeCell ref="D89:D91"/>
    <mergeCell ref="I89:I91"/>
    <mergeCell ref="D92:D94"/>
    <mergeCell ref="I92:I94"/>
    <mergeCell ref="D77:D79"/>
    <mergeCell ref="I77:I79"/>
    <mergeCell ref="D80:D82"/>
    <mergeCell ref="I80:I82"/>
    <mergeCell ref="D83:D85"/>
    <mergeCell ref="D104:D106"/>
    <mergeCell ref="I104:I106"/>
    <mergeCell ref="D101:D103"/>
    <mergeCell ref="I101:I103"/>
    <mergeCell ref="D95:D97"/>
    <mergeCell ref="I95:I97"/>
    <mergeCell ref="D107:D109"/>
    <mergeCell ref="I107:I109"/>
    <mergeCell ref="D110:D112"/>
    <mergeCell ref="I110:I112"/>
    <mergeCell ref="A61:B61"/>
    <mergeCell ref="D61:D64"/>
    <mergeCell ref="I61:I64"/>
    <mergeCell ref="D65:D67"/>
    <mergeCell ref="I65:I67"/>
    <mergeCell ref="A66:B66"/>
    <mergeCell ref="D68:D70"/>
    <mergeCell ref="I68:I70"/>
    <mergeCell ref="D71:D73"/>
    <mergeCell ref="I71:I73"/>
    <mergeCell ref="D74:D76"/>
    <mergeCell ref="I74:I76"/>
    <mergeCell ref="D122:D124"/>
    <mergeCell ref="I122:I124"/>
    <mergeCell ref="D113:D115"/>
    <mergeCell ref="I113:I115"/>
    <mergeCell ref="D116:D118"/>
    <mergeCell ref="I116:I118"/>
    <mergeCell ref="D119:D121"/>
    <mergeCell ref="I119:I121"/>
    <mergeCell ref="A45:B45"/>
    <mergeCell ref="A1:J1"/>
    <mergeCell ref="E4:H4"/>
    <mergeCell ref="D5:D8"/>
    <mergeCell ref="I5:I8"/>
    <mergeCell ref="A6:B6"/>
    <mergeCell ref="A7:B7"/>
    <mergeCell ref="D45:D48"/>
    <mergeCell ref="I45:I48"/>
    <mergeCell ref="A19:B19"/>
    <mergeCell ref="A35:B35"/>
    <mergeCell ref="D17:D28"/>
    <mergeCell ref="I17:I28"/>
    <mergeCell ref="A18:B18"/>
    <mergeCell ref="D33:D44"/>
    <mergeCell ref="I33:I44"/>
    <mergeCell ref="A29:B29"/>
    <mergeCell ref="D29:D32"/>
    <mergeCell ref="A34:B34"/>
    <mergeCell ref="D9:D12"/>
    <mergeCell ref="I9:I12"/>
    <mergeCell ref="D13:D16"/>
    <mergeCell ref="I13:I16"/>
    <mergeCell ref="I29:I32"/>
  </mergeCells>
  <phoneticPr fontId="27" type="noConversion"/>
  <pageMargins left="0.7" right="0.7" top="0.75" bottom="0.75" header="0.3" footer="0.3"/>
  <pageSetup paperSize="9" scale="12" orientation="landscape" r:id="rId1"/>
  <colBreaks count="1" manualBreakCount="1">
    <brk id="10" max="1048575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view="pageBreakPreview" zoomScale="70" zoomScaleNormal="70" zoomScaleSheetLayoutView="70" workbookViewId="0">
      <selection activeCell="G13" sqref="G13"/>
    </sheetView>
  </sheetViews>
  <sheetFormatPr defaultRowHeight="16.5" x14ac:dyDescent="0.3"/>
  <cols>
    <col min="1" max="2" width="12.625" style="6" customWidth="1"/>
    <col min="3" max="4" width="7.625" style="6" customWidth="1"/>
    <col min="5" max="5" width="5.625" style="18" customWidth="1"/>
    <col min="6" max="6" width="12.625" style="19" customWidth="1"/>
    <col min="7" max="7" width="5.625" style="18" customWidth="1"/>
    <col min="8" max="8" width="21.75" style="18" bestFit="1" customWidth="1"/>
    <col min="9" max="9" width="7.625" style="6" customWidth="1"/>
    <col min="10" max="10" width="70.625" style="6" customWidth="1"/>
    <col min="11" max="11" width="17.25" style="6" customWidth="1"/>
    <col min="12" max="12" width="14.5" style="18" customWidth="1"/>
    <col min="13" max="13" width="4.125" style="6" customWidth="1"/>
    <col min="14" max="16384" width="9" style="6"/>
  </cols>
  <sheetData>
    <row r="1" spans="1:11" ht="60" customHeight="1" thickBot="1" x14ac:dyDescent="0.35">
      <c r="A1" s="752" t="s">
        <v>814</v>
      </c>
      <c r="B1" s="753"/>
      <c r="C1" s="753"/>
      <c r="D1" s="753"/>
      <c r="E1" s="753"/>
      <c r="F1" s="753"/>
      <c r="G1" s="753"/>
      <c r="H1" s="753"/>
      <c r="I1" s="753"/>
      <c r="J1" s="753"/>
      <c r="K1" s="753"/>
    </row>
    <row r="2" spans="1:11" ht="30" customHeight="1" x14ac:dyDescent="0.3">
      <c r="A2" s="240" t="s">
        <v>0</v>
      </c>
      <c r="B2" s="241" t="s">
        <v>1</v>
      </c>
      <c r="C2" s="241" t="s">
        <v>544</v>
      </c>
      <c r="D2" s="241" t="s">
        <v>545</v>
      </c>
      <c r="E2" s="734" t="s">
        <v>546</v>
      </c>
      <c r="F2" s="734"/>
      <c r="G2" s="734"/>
      <c r="H2" s="734"/>
      <c r="I2" s="241" t="s">
        <v>3</v>
      </c>
      <c r="J2" s="325" t="s">
        <v>5</v>
      </c>
    </row>
    <row r="3" spans="1:11" ht="30" customHeight="1" x14ac:dyDescent="0.3">
      <c r="A3" s="271" t="s">
        <v>45</v>
      </c>
      <c r="B3" s="322" t="s">
        <v>46</v>
      </c>
      <c r="C3" s="300">
        <v>1</v>
      </c>
      <c r="D3" s="748" t="s">
        <v>13</v>
      </c>
      <c r="E3" s="300" t="s">
        <v>28</v>
      </c>
      <c r="F3" s="323" t="s">
        <v>736</v>
      </c>
      <c r="G3" s="300" t="s">
        <v>29</v>
      </c>
      <c r="H3" s="300" t="s">
        <v>539</v>
      </c>
      <c r="I3" s="748" t="s">
        <v>13</v>
      </c>
      <c r="J3" s="324" t="s">
        <v>540</v>
      </c>
    </row>
    <row r="4" spans="1:11" ht="30" customHeight="1" x14ac:dyDescent="0.3">
      <c r="A4" s="722" t="s">
        <v>420</v>
      </c>
      <c r="B4" s="709"/>
      <c r="C4" s="26">
        <v>2</v>
      </c>
      <c r="D4" s="747"/>
      <c r="E4" s="26"/>
      <c r="F4" s="38"/>
      <c r="G4" s="26"/>
      <c r="H4" s="26"/>
      <c r="I4" s="747"/>
      <c r="J4" s="318"/>
    </row>
    <row r="5" spans="1:11" ht="30" customHeight="1" x14ac:dyDescent="0.3">
      <c r="A5" s="245"/>
      <c r="B5" s="26"/>
      <c r="C5" s="26">
        <v>3</v>
      </c>
      <c r="D5" s="747"/>
      <c r="E5" s="26"/>
      <c r="F5" s="38"/>
      <c r="G5" s="26"/>
      <c r="H5" s="26"/>
      <c r="I5" s="747"/>
      <c r="J5" s="318"/>
    </row>
    <row r="6" spans="1:11" ht="30" customHeight="1" x14ac:dyDescent="0.3">
      <c r="A6" s="245"/>
      <c r="B6" s="26"/>
      <c r="C6" s="26">
        <v>4</v>
      </c>
      <c r="D6" s="747"/>
      <c r="E6" s="26"/>
      <c r="F6" s="38"/>
      <c r="G6" s="26"/>
      <c r="H6" s="26"/>
      <c r="I6" s="747"/>
      <c r="J6" s="318"/>
    </row>
    <row r="7" spans="1:11" ht="30" customHeight="1" x14ac:dyDescent="0.3">
      <c r="A7" s="245"/>
      <c r="B7" s="26"/>
      <c r="C7" s="26">
        <v>5</v>
      </c>
      <c r="D7" s="747" t="s">
        <v>13</v>
      </c>
      <c r="E7" s="26"/>
      <c r="F7" s="38"/>
      <c r="G7" s="26"/>
      <c r="H7" s="26"/>
      <c r="I7" s="747" t="s">
        <v>13</v>
      </c>
      <c r="J7" s="318"/>
    </row>
    <row r="8" spans="1:11" ht="30" customHeight="1" x14ac:dyDescent="0.3">
      <c r="A8" s="245"/>
      <c r="B8" s="26"/>
      <c r="C8" s="26">
        <v>6</v>
      </c>
      <c r="D8" s="747"/>
      <c r="E8" s="465" t="s">
        <v>25</v>
      </c>
      <c r="F8" s="466" t="s">
        <v>26</v>
      </c>
      <c r="G8" s="465" t="s">
        <v>27</v>
      </c>
      <c r="H8" s="465" t="s">
        <v>541</v>
      </c>
      <c r="I8" s="747"/>
      <c r="J8" s="467" t="s">
        <v>542</v>
      </c>
      <c r="K8" s="468" t="s">
        <v>762</v>
      </c>
    </row>
    <row r="9" spans="1:11" ht="30" customHeight="1" x14ac:dyDescent="0.3">
      <c r="A9" s="245"/>
      <c r="B9" s="26"/>
      <c r="C9" s="26">
        <v>7</v>
      </c>
      <c r="D9" s="747"/>
      <c r="E9" s="26"/>
      <c r="F9" s="38"/>
      <c r="G9" s="26"/>
      <c r="H9" s="26"/>
      <c r="I9" s="747"/>
      <c r="J9" s="318"/>
    </row>
    <row r="10" spans="1:11" ht="30" customHeight="1" x14ac:dyDescent="0.3">
      <c r="A10" s="245"/>
      <c r="B10" s="26"/>
      <c r="C10" s="26">
        <v>8</v>
      </c>
      <c r="D10" s="747"/>
      <c r="E10" s="26"/>
      <c r="F10" s="38"/>
      <c r="G10" s="26"/>
      <c r="H10" s="26"/>
      <c r="I10" s="747"/>
      <c r="J10" s="318"/>
    </row>
    <row r="11" spans="1:11" ht="30" customHeight="1" x14ac:dyDescent="0.3">
      <c r="A11" s="245"/>
      <c r="B11" s="26"/>
      <c r="C11" s="26">
        <v>9</v>
      </c>
      <c r="D11" s="747" t="s">
        <v>13</v>
      </c>
      <c r="E11" s="26" t="s">
        <v>28</v>
      </c>
      <c r="F11" s="38" t="s">
        <v>736</v>
      </c>
      <c r="G11" s="26" t="s">
        <v>29</v>
      </c>
      <c r="H11" s="26" t="s">
        <v>175</v>
      </c>
      <c r="I11" s="747" t="s">
        <v>13</v>
      </c>
      <c r="J11" s="318" t="s">
        <v>248</v>
      </c>
    </row>
    <row r="12" spans="1:11" ht="30" customHeight="1" x14ac:dyDescent="0.3">
      <c r="A12" s="245"/>
      <c r="B12" s="26"/>
      <c r="C12" s="26">
        <v>10</v>
      </c>
      <c r="D12" s="747"/>
      <c r="E12" s="26"/>
      <c r="F12" s="38"/>
      <c r="G12" s="26"/>
      <c r="H12" s="26"/>
      <c r="I12" s="747"/>
      <c r="J12" s="318"/>
    </row>
    <row r="13" spans="1:11" ht="30" customHeight="1" x14ac:dyDescent="0.3">
      <c r="A13" s="245"/>
      <c r="B13" s="26"/>
      <c r="C13" s="26">
        <v>11</v>
      </c>
      <c r="D13" s="747"/>
      <c r="E13" s="26"/>
      <c r="F13" s="38"/>
      <c r="G13" s="26"/>
      <c r="H13" s="26"/>
      <c r="I13" s="747"/>
      <c r="J13" s="318"/>
    </row>
    <row r="14" spans="1:11" ht="30" customHeight="1" x14ac:dyDescent="0.3">
      <c r="A14" s="245"/>
      <c r="B14" s="26"/>
      <c r="C14" s="26">
        <v>12</v>
      </c>
      <c r="D14" s="747"/>
      <c r="E14" s="26"/>
      <c r="F14" s="38"/>
      <c r="G14" s="26"/>
      <c r="H14" s="26"/>
      <c r="I14" s="747"/>
      <c r="J14" s="318"/>
    </row>
    <row r="15" spans="1:11" ht="30" customHeight="1" x14ac:dyDescent="0.3">
      <c r="A15" s="245"/>
      <c r="B15" s="26"/>
      <c r="C15" s="26">
        <v>13</v>
      </c>
      <c r="D15" s="755"/>
      <c r="E15" s="26"/>
      <c r="F15" s="38"/>
      <c r="G15" s="26"/>
      <c r="H15" s="26"/>
      <c r="I15" s="755"/>
      <c r="J15" s="318"/>
    </row>
    <row r="16" spans="1:11" ht="30" customHeight="1" x14ac:dyDescent="0.3">
      <c r="A16" s="245"/>
      <c r="B16" s="26"/>
      <c r="C16" s="26">
        <v>14</v>
      </c>
      <c r="D16" s="755"/>
      <c r="E16" s="26"/>
      <c r="F16" s="38"/>
      <c r="G16" s="26"/>
      <c r="H16" s="26"/>
      <c r="I16" s="755"/>
      <c r="J16" s="318"/>
    </row>
    <row r="17" spans="1:10" ht="30" customHeight="1" x14ac:dyDescent="0.3">
      <c r="A17" s="245"/>
      <c r="B17" s="26"/>
      <c r="C17" s="26">
        <v>15</v>
      </c>
      <c r="D17" s="755"/>
      <c r="E17" s="26"/>
      <c r="F17" s="38"/>
      <c r="G17" s="26"/>
      <c r="H17" s="26"/>
      <c r="I17" s="755"/>
      <c r="J17" s="318"/>
    </row>
    <row r="18" spans="1:10" ht="30" customHeight="1" x14ac:dyDescent="0.3">
      <c r="A18" s="270"/>
      <c r="B18" s="286"/>
      <c r="C18" s="286">
        <v>16</v>
      </c>
      <c r="D18" s="756"/>
      <c r="E18" s="286"/>
      <c r="F18" s="287"/>
      <c r="G18" s="286"/>
      <c r="H18" s="286"/>
      <c r="I18" s="756"/>
      <c r="J18" s="326"/>
    </row>
    <row r="19" spans="1:10" ht="30" customHeight="1" x14ac:dyDescent="0.3">
      <c r="A19" s="271" t="s">
        <v>33</v>
      </c>
      <c r="B19" s="322" t="s">
        <v>46</v>
      </c>
      <c r="C19" s="300">
        <v>1</v>
      </c>
      <c r="D19" s="749" t="s">
        <v>199</v>
      </c>
      <c r="E19" s="300" t="s">
        <v>28</v>
      </c>
      <c r="F19" s="323" t="s">
        <v>37</v>
      </c>
      <c r="G19" s="300"/>
      <c r="H19" s="300" t="s">
        <v>175</v>
      </c>
      <c r="I19" s="749" t="s">
        <v>199</v>
      </c>
      <c r="J19" s="324" t="s">
        <v>543</v>
      </c>
    </row>
    <row r="20" spans="1:10" ht="30" customHeight="1" x14ac:dyDescent="0.3">
      <c r="A20" s="722" t="s">
        <v>197</v>
      </c>
      <c r="B20" s="709"/>
      <c r="C20" s="26">
        <v>2</v>
      </c>
      <c r="D20" s="749"/>
      <c r="E20" s="26"/>
      <c r="F20" s="38"/>
      <c r="G20" s="26"/>
      <c r="H20" s="26"/>
      <c r="I20" s="749"/>
      <c r="J20" s="318"/>
    </row>
    <row r="21" spans="1:10" ht="30" customHeight="1" x14ac:dyDescent="0.3">
      <c r="A21" s="245"/>
      <c r="B21" s="26"/>
      <c r="C21" s="26">
        <v>3</v>
      </c>
      <c r="D21" s="749"/>
      <c r="E21" s="26"/>
      <c r="F21" s="38"/>
      <c r="G21" s="26"/>
      <c r="H21" s="26"/>
      <c r="I21" s="749"/>
      <c r="J21" s="318"/>
    </row>
    <row r="22" spans="1:10" ht="30" customHeight="1" x14ac:dyDescent="0.3">
      <c r="A22" s="245"/>
      <c r="B22" s="26"/>
      <c r="C22" s="26">
        <v>4</v>
      </c>
      <c r="D22" s="749"/>
      <c r="E22" s="26"/>
      <c r="F22" s="38"/>
      <c r="G22" s="26"/>
      <c r="H22" s="26"/>
      <c r="I22" s="749"/>
      <c r="J22" s="318"/>
    </row>
    <row r="23" spans="1:10" ht="30" customHeight="1" x14ac:dyDescent="0.3">
      <c r="A23" s="245"/>
      <c r="B23" s="26"/>
      <c r="C23" s="26">
        <v>5</v>
      </c>
      <c r="D23" s="749"/>
      <c r="E23" s="26"/>
      <c r="F23" s="38"/>
      <c r="G23" s="26"/>
      <c r="H23" s="26"/>
      <c r="I23" s="749"/>
      <c r="J23" s="318"/>
    </row>
    <row r="24" spans="1:10" ht="30" customHeight="1" x14ac:dyDescent="0.3">
      <c r="A24" s="245"/>
      <c r="B24" s="26"/>
      <c r="C24" s="26">
        <v>6</v>
      </c>
      <c r="D24" s="749"/>
      <c r="E24" s="26"/>
      <c r="F24" s="38"/>
      <c r="G24" s="26"/>
      <c r="H24" s="26"/>
      <c r="I24" s="749"/>
      <c r="J24" s="318"/>
    </row>
    <row r="25" spans="1:10" ht="30" customHeight="1" x14ac:dyDescent="0.3">
      <c r="A25" s="245"/>
      <c r="B25" s="26"/>
      <c r="C25" s="26">
        <v>7</v>
      </c>
      <c r="D25" s="749"/>
      <c r="E25" s="26"/>
      <c r="F25" s="38"/>
      <c r="G25" s="26"/>
      <c r="H25" s="26"/>
      <c r="I25" s="749"/>
      <c r="J25" s="318"/>
    </row>
    <row r="26" spans="1:10" ht="30" customHeight="1" x14ac:dyDescent="0.3">
      <c r="A26" s="245"/>
      <c r="B26" s="26"/>
      <c r="C26" s="26">
        <v>8</v>
      </c>
      <c r="D26" s="749"/>
      <c r="E26" s="26"/>
      <c r="F26" s="38"/>
      <c r="G26" s="26"/>
      <c r="H26" s="26"/>
      <c r="I26" s="749"/>
      <c r="J26" s="318"/>
    </row>
    <row r="27" spans="1:10" ht="30" customHeight="1" x14ac:dyDescent="0.3">
      <c r="A27" s="245"/>
      <c r="B27" s="26"/>
      <c r="C27" s="26">
        <v>9</v>
      </c>
      <c r="D27" s="749"/>
      <c r="E27" s="26"/>
      <c r="F27" s="38"/>
      <c r="G27" s="26"/>
      <c r="H27" s="26"/>
      <c r="I27" s="749"/>
      <c r="J27" s="318"/>
    </row>
    <row r="28" spans="1:10" ht="30" customHeight="1" x14ac:dyDescent="0.3">
      <c r="A28" s="245"/>
      <c r="B28" s="26"/>
      <c r="C28" s="26">
        <v>10</v>
      </c>
      <c r="D28" s="749"/>
      <c r="E28" s="26"/>
      <c r="F28" s="38"/>
      <c r="G28" s="26"/>
      <c r="H28" s="26"/>
      <c r="I28" s="749"/>
      <c r="J28" s="318"/>
    </row>
    <row r="29" spans="1:10" ht="30" customHeight="1" x14ac:dyDescent="0.3">
      <c r="A29" s="245"/>
      <c r="B29" s="26"/>
      <c r="C29" s="26">
        <v>11</v>
      </c>
      <c r="D29" s="749"/>
      <c r="E29" s="26"/>
      <c r="F29" s="38"/>
      <c r="G29" s="26"/>
      <c r="H29" s="26"/>
      <c r="I29" s="749"/>
      <c r="J29" s="318"/>
    </row>
    <row r="30" spans="1:10" ht="30" customHeight="1" x14ac:dyDescent="0.3">
      <c r="A30" s="245"/>
      <c r="B30" s="26"/>
      <c r="C30" s="26">
        <v>12</v>
      </c>
      <c r="D30" s="750"/>
      <c r="E30" s="26"/>
      <c r="F30" s="38"/>
      <c r="G30" s="26"/>
      <c r="H30" s="26"/>
      <c r="I30" s="750"/>
      <c r="J30" s="318"/>
    </row>
    <row r="31" spans="1:10" ht="30" customHeight="1" x14ac:dyDescent="0.3">
      <c r="A31" s="722" t="s">
        <v>196</v>
      </c>
      <c r="B31" s="709"/>
      <c r="C31" s="26">
        <v>1</v>
      </c>
      <c r="D31" s="757" t="s">
        <v>73</v>
      </c>
      <c r="E31" s="33"/>
      <c r="F31" s="38"/>
      <c r="G31" s="26"/>
      <c r="H31" s="26"/>
      <c r="I31" s="757" t="s">
        <v>73</v>
      </c>
      <c r="J31" s="318"/>
    </row>
    <row r="32" spans="1:10" ht="30" customHeight="1" x14ac:dyDescent="0.3">
      <c r="A32" s="245"/>
      <c r="B32" s="26"/>
      <c r="C32" s="26">
        <v>2</v>
      </c>
      <c r="D32" s="707"/>
      <c r="E32" s="33"/>
      <c r="F32" s="32"/>
      <c r="G32" s="33"/>
      <c r="H32" s="26"/>
      <c r="I32" s="707"/>
      <c r="J32" s="318"/>
    </row>
    <row r="33" spans="1:10" ht="30" customHeight="1" x14ac:dyDescent="0.3">
      <c r="A33" s="245"/>
      <c r="B33" s="26"/>
      <c r="C33" s="26">
        <v>3</v>
      </c>
      <c r="D33" s="707"/>
      <c r="E33" s="33"/>
      <c r="F33" s="38"/>
      <c r="G33" s="26"/>
      <c r="H33" s="26"/>
      <c r="I33" s="707"/>
      <c r="J33" s="318"/>
    </row>
    <row r="34" spans="1:10" ht="30" customHeight="1" x14ac:dyDescent="0.3">
      <c r="A34" s="327"/>
      <c r="B34" s="299"/>
      <c r="C34" s="299">
        <v>4</v>
      </c>
      <c r="D34" s="707"/>
      <c r="E34" s="298"/>
      <c r="F34" s="328"/>
      <c r="G34" s="299"/>
      <c r="H34" s="299"/>
      <c r="I34" s="707"/>
      <c r="J34" s="329"/>
    </row>
    <row r="35" spans="1:10" ht="30" customHeight="1" x14ac:dyDescent="0.3">
      <c r="A35" s="330" t="s">
        <v>33</v>
      </c>
      <c r="B35" s="331" t="s">
        <v>46</v>
      </c>
      <c r="C35" s="332">
        <v>1</v>
      </c>
      <c r="D35" s="751" t="s">
        <v>20</v>
      </c>
      <c r="E35" s="332"/>
      <c r="F35" s="333"/>
      <c r="G35" s="332"/>
      <c r="H35" s="332"/>
      <c r="I35" s="751" t="s">
        <v>20</v>
      </c>
      <c r="J35" s="334"/>
    </row>
    <row r="36" spans="1:10" ht="30" customHeight="1" x14ac:dyDescent="0.3">
      <c r="A36" s="722" t="s">
        <v>37</v>
      </c>
      <c r="B36" s="709"/>
      <c r="C36" s="26">
        <v>2</v>
      </c>
      <c r="D36" s="721"/>
      <c r="E36" s="26"/>
      <c r="F36" s="134"/>
      <c r="G36" s="133"/>
      <c r="H36" s="133"/>
      <c r="I36" s="721"/>
      <c r="J36" s="529"/>
    </row>
    <row r="37" spans="1:10" ht="30" customHeight="1" x14ac:dyDescent="0.3">
      <c r="A37" s="245"/>
      <c r="B37" s="26"/>
      <c r="C37" s="26">
        <v>3</v>
      </c>
      <c r="D37" s="721"/>
      <c r="E37" s="26"/>
      <c r="F37" s="134"/>
      <c r="G37" s="133"/>
      <c r="H37" s="133"/>
      <c r="I37" s="721"/>
      <c r="J37" s="529"/>
    </row>
    <row r="38" spans="1:10" ht="30" customHeight="1" x14ac:dyDescent="0.3">
      <c r="A38" s="245"/>
      <c r="B38" s="26"/>
      <c r="C38" s="26">
        <v>4</v>
      </c>
      <c r="D38" s="718" t="s">
        <v>15</v>
      </c>
      <c r="E38" s="26"/>
      <c r="F38" s="134"/>
      <c r="G38" s="133"/>
      <c r="H38" s="133"/>
      <c r="I38" s="721" t="s">
        <v>20</v>
      </c>
      <c r="J38" s="529"/>
    </row>
    <row r="39" spans="1:10" ht="30" customHeight="1" x14ac:dyDescent="0.3">
      <c r="A39" s="245"/>
      <c r="B39" s="26"/>
      <c r="C39" s="26">
        <v>5</v>
      </c>
      <c r="D39" s="718"/>
      <c r="E39" s="26"/>
      <c r="F39" s="134"/>
      <c r="G39" s="133"/>
      <c r="H39" s="133"/>
      <c r="I39" s="721"/>
      <c r="J39" s="529"/>
    </row>
    <row r="40" spans="1:10" ht="30" customHeight="1" x14ac:dyDescent="0.3">
      <c r="A40" s="245"/>
      <c r="B40" s="26"/>
      <c r="C40" s="26">
        <v>6</v>
      </c>
      <c r="D40" s="718"/>
      <c r="E40" s="26"/>
      <c r="F40" s="134"/>
      <c r="G40" s="133"/>
      <c r="H40" s="133"/>
      <c r="I40" s="721"/>
      <c r="J40" s="529"/>
    </row>
    <row r="41" spans="1:10" ht="30" customHeight="1" x14ac:dyDescent="0.3">
      <c r="A41" s="245"/>
      <c r="B41" s="26"/>
      <c r="C41" s="26">
        <v>7</v>
      </c>
      <c r="D41" s="721" t="s">
        <v>20</v>
      </c>
      <c r="E41" s="26"/>
      <c r="F41" s="134"/>
      <c r="G41" s="133"/>
      <c r="H41" s="133"/>
      <c r="I41" s="721" t="s">
        <v>20</v>
      </c>
      <c r="J41" s="529"/>
    </row>
    <row r="42" spans="1:10" ht="30" customHeight="1" x14ac:dyDescent="0.3">
      <c r="A42" s="245"/>
      <c r="B42" s="26"/>
      <c r="C42" s="26">
        <v>8</v>
      </c>
      <c r="D42" s="721"/>
      <c r="E42" s="26"/>
      <c r="F42" s="134"/>
      <c r="G42" s="133"/>
      <c r="H42" s="133"/>
      <c r="I42" s="721"/>
      <c r="J42" s="529"/>
    </row>
    <row r="43" spans="1:10" ht="30" customHeight="1" x14ac:dyDescent="0.3">
      <c r="A43" s="245"/>
      <c r="B43" s="26"/>
      <c r="C43" s="26">
        <v>9</v>
      </c>
      <c r="D43" s="721"/>
      <c r="E43" s="26"/>
      <c r="F43" s="38"/>
      <c r="G43" s="26"/>
      <c r="H43" s="26"/>
      <c r="I43" s="721"/>
      <c r="J43" s="318"/>
    </row>
    <row r="44" spans="1:10" ht="30" customHeight="1" x14ac:dyDescent="0.3">
      <c r="A44" s="245"/>
      <c r="B44" s="26"/>
      <c r="C44" s="26">
        <v>10</v>
      </c>
      <c r="D44" s="718" t="s">
        <v>15</v>
      </c>
      <c r="E44" s="26"/>
      <c r="F44" s="38"/>
      <c r="G44" s="26"/>
      <c r="H44" s="26"/>
      <c r="I44" s="721" t="s">
        <v>20</v>
      </c>
      <c r="J44" s="318"/>
    </row>
    <row r="45" spans="1:10" ht="30" customHeight="1" x14ac:dyDescent="0.3">
      <c r="A45" s="245"/>
      <c r="B45" s="26"/>
      <c r="C45" s="26">
        <v>11</v>
      </c>
      <c r="D45" s="718"/>
      <c r="E45" s="26"/>
      <c r="F45" s="38"/>
      <c r="G45" s="26"/>
      <c r="H45" s="26"/>
      <c r="I45" s="721"/>
      <c r="J45" s="318"/>
    </row>
    <row r="46" spans="1:10" ht="30" customHeight="1" x14ac:dyDescent="0.3">
      <c r="A46" s="245"/>
      <c r="B46" s="26"/>
      <c r="C46" s="26">
        <v>12</v>
      </c>
      <c r="D46" s="718"/>
      <c r="E46" s="26"/>
      <c r="F46" s="38"/>
      <c r="G46" s="26"/>
      <c r="H46" s="26"/>
      <c r="I46" s="721"/>
      <c r="J46" s="318"/>
    </row>
    <row r="47" spans="1:10" ht="30" customHeight="1" x14ac:dyDescent="0.3">
      <c r="A47" s="245"/>
      <c r="B47" s="26"/>
      <c r="C47" s="26">
        <v>13</v>
      </c>
      <c r="D47" s="721" t="s">
        <v>20</v>
      </c>
      <c r="E47" s="26"/>
      <c r="F47" s="38"/>
      <c r="G47" s="26"/>
      <c r="H47" s="26"/>
      <c r="I47" s="721" t="s">
        <v>20</v>
      </c>
      <c r="J47" s="318"/>
    </row>
    <row r="48" spans="1:10" ht="30" customHeight="1" x14ac:dyDescent="0.3">
      <c r="A48" s="245"/>
      <c r="B48" s="26"/>
      <c r="C48" s="26">
        <v>14</v>
      </c>
      <c r="D48" s="721"/>
      <c r="E48" s="26"/>
      <c r="F48" s="38"/>
      <c r="G48" s="26"/>
      <c r="H48" s="26"/>
      <c r="I48" s="721"/>
      <c r="J48" s="318"/>
    </row>
    <row r="49" spans="1:10" ht="30" customHeight="1" x14ac:dyDescent="0.3">
      <c r="A49" s="245"/>
      <c r="B49" s="26"/>
      <c r="C49" s="26">
        <v>15</v>
      </c>
      <c r="D49" s="721"/>
      <c r="E49" s="26"/>
      <c r="F49" s="38"/>
      <c r="G49" s="26"/>
      <c r="H49" s="26"/>
      <c r="I49" s="721"/>
      <c r="J49" s="318"/>
    </row>
    <row r="50" spans="1:10" ht="30" customHeight="1" x14ac:dyDescent="0.3">
      <c r="A50" s="245"/>
      <c r="B50" s="26"/>
      <c r="C50" s="26">
        <v>16</v>
      </c>
      <c r="D50" s="721" t="s">
        <v>20</v>
      </c>
      <c r="E50" s="26"/>
      <c r="F50" s="496" t="s">
        <v>36</v>
      </c>
      <c r="G50" s="497"/>
      <c r="H50" s="497" t="s">
        <v>192</v>
      </c>
      <c r="I50" s="718" t="s">
        <v>15</v>
      </c>
      <c r="J50" s="498" t="str">
        <f>본부통신실!J66</f>
        <v>본부-20(C-MUX)-춘천-18(통합단말)11-북춘천-16(P32T)-춘천HP</v>
      </c>
    </row>
    <row r="51" spans="1:10" ht="30" customHeight="1" x14ac:dyDescent="0.3">
      <c r="A51" s="245"/>
      <c r="B51" s="26"/>
      <c r="C51" s="26">
        <v>17</v>
      </c>
      <c r="D51" s="721"/>
      <c r="E51" s="26"/>
      <c r="F51" s="38"/>
      <c r="G51" s="26"/>
      <c r="H51" s="26"/>
      <c r="I51" s="718"/>
      <c r="J51" s="318"/>
    </row>
    <row r="52" spans="1:10" ht="30" customHeight="1" x14ac:dyDescent="0.3">
      <c r="A52" s="245"/>
      <c r="B52" s="26"/>
      <c r="C52" s="26">
        <v>18</v>
      </c>
      <c r="D52" s="721"/>
      <c r="E52" s="26"/>
      <c r="F52" s="38"/>
      <c r="G52" s="26"/>
      <c r="H52" s="26"/>
      <c r="I52" s="718"/>
      <c r="J52" s="318"/>
    </row>
    <row r="53" spans="1:10" ht="30" customHeight="1" x14ac:dyDescent="0.3">
      <c r="A53" s="245"/>
      <c r="B53" s="26"/>
      <c r="C53" s="26">
        <v>19</v>
      </c>
      <c r="D53" s="714"/>
      <c r="E53" s="26"/>
      <c r="F53" s="38"/>
      <c r="G53" s="26"/>
      <c r="H53" s="26"/>
      <c r="I53" s="714"/>
      <c r="J53" s="318"/>
    </row>
    <row r="54" spans="1:10" ht="30" customHeight="1" x14ac:dyDescent="0.3">
      <c r="A54" s="245"/>
      <c r="B54" s="26"/>
      <c r="C54" s="26">
        <v>20</v>
      </c>
      <c r="D54" s="714"/>
      <c r="E54" s="26"/>
      <c r="F54" s="38"/>
      <c r="G54" s="26"/>
      <c r="H54" s="26"/>
      <c r="I54" s="714"/>
      <c r="J54" s="318"/>
    </row>
    <row r="55" spans="1:10" ht="30" customHeight="1" x14ac:dyDescent="0.3">
      <c r="A55" s="245"/>
      <c r="B55" s="26"/>
      <c r="C55" s="26">
        <v>21</v>
      </c>
      <c r="D55" s="714"/>
      <c r="E55" s="26"/>
      <c r="F55" s="38"/>
      <c r="G55" s="26"/>
      <c r="H55" s="26"/>
      <c r="I55" s="714"/>
      <c r="J55" s="318"/>
    </row>
    <row r="56" spans="1:10" ht="30" customHeight="1" x14ac:dyDescent="0.3">
      <c r="A56" s="245"/>
      <c r="B56" s="26"/>
      <c r="C56" s="26">
        <v>22</v>
      </c>
      <c r="D56" s="714"/>
      <c r="E56" s="26"/>
      <c r="F56" s="38"/>
      <c r="G56" s="26"/>
      <c r="H56" s="26"/>
      <c r="I56" s="714"/>
      <c r="J56" s="318"/>
    </row>
    <row r="57" spans="1:10" ht="30" customHeight="1" x14ac:dyDescent="0.3">
      <c r="A57" s="245"/>
      <c r="B57" s="26"/>
      <c r="C57" s="26">
        <v>23</v>
      </c>
      <c r="D57" s="714"/>
      <c r="E57" s="26"/>
      <c r="F57" s="38"/>
      <c r="G57" s="26"/>
      <c r="H57" s="26"/>
      <c r="I57" s="714"/>
      <c r="J57" s="318"/>
    </row>
    <row r="58" spans="1:10" ht="30" customHeight="1" x14ac:dyDescent="0.3">
      <c r="A58" s="245"/>
      <c r="B58" s="26"/>
      <c r="C58" s="26">
        <v>24</v>
      </c>
      <c r="D58" s="714"/>
      <c r="E58" s="26"/>
      <c r="F58" s="38"/>
      <c r="G58" s="26"/>
      <c r="H58" s="26"/>
      <c r="I58" s="714"/>
      <c r="J58" s="318"/>
    </row>
    <row r="59" spans="1:10" ht="30" customHeight="1" x14ac:dyDescent="0.3">
      <c r="A59" s="245"/>
      <c r="B59" s="26"/>
      <c r="C59" s="26">
        <v>25</v>
      </c>
      <c r="D59" s="714"/>
      <c r="E59" s="26"/>
      <c r="F59" s="38"/>
      <c r="G59" s="26"/>
      <c r="H59" s="26"/>
      <c r="I59" s="714"/>
      <c r="J59" s="318"/>
    </row>
    <row r="60" spans="1:10" ht="30" customHeight="1" x14ac:dyDescent="0.3">
      <c r="A60" s="245"/>
      <c r="B60" s="26"/>
      <c r="C60" s="26">
        <v>26</v>
      </c>
      <c r="D60" s="714"/>
      <c r="E60" s="26"/>
      <c r="F60" s="38"/>
      <c r="G60" s="26"/>
      <c r="H60" s="26"/>
      <c r="I60" s="714"/>
      <c r="J60" s="318"/>
    </row>
    <row r="61" spans="1:10" ht="30" customHeight="1" x14ac:dyDescent="0.3">
      <c r="A61" s="245"/>
      <c r="B61" s="26"/>
      <c r="C61" s="26">
        <v>27</v>
      </c>
      <c r="D61" s="714"/>
      <c r="E61" s="26"/>
      <c r="F61" s="38"/>
      <c r="G61" s="26"/>
      <c r="H61" s="26"/>
      <c r="I61" s="714"/>
      <c r="J61" s="318"/>
    </row>
    <row r="62" spans="1:10" ht="30" customHeight="1" x14ac:dyDescent="0.3">
      <c r="A62" s="245"/>
      <c r="B62" s="26"/>
      <c r="C62" s="26">
        <v>28</v>
      </c>
      <c r="D62" s="714"/>
      <c r="E62" s="26"/>
      <c r="F62" s="38"/>
      <c r="G62" s="26"/>
      <c r="H62" s="26"/>
      <c r="I62" s="714"/>
      <c r="J62" s="318"/>
    </row>
    <row r="63" spans="1:10" ht="30" customHeight="1" x14ac:dyDescent="0.3">
      <c r="A63" s="245"/>
      <c r="B63" s="26"/>
      <c r="C63" s="26">
        <v>29</v>
      </c>
      <c r="D63" s="714"/>
      <c r="E63" s="26"/>
      <c r="F63" s="38"/>
      <c r="G63" s="26"/>
      <c r="H63" s="26"/>
      <c r="I63" s="714"/>
      <c r="J63" s="318"/>
    </row>
    <row r="64" spans="1:10" ht="30" customHeight="1" thickBot="1" x14ac:dyDescent="0.35">
      <c r="A64" s="248"/>
      <c r="B64" s="319"/>
      <c r="C64" s="319">
        <v>30</v>
      </c>
      <c r="D64" s="754"/>
      <c r="E64" s="319"/>
      <c r="F64" s="320"/>
      <c r="G64" s="319"/>
      <c r="H64" s="319"/>
      <c r="I64" s="754"/>
      <c r="J64" s="321"/>
    </row>
  </sheetData>
  <mergeCells count="38">
    <mergeCell ref="A1:K1"/>
    <mergeCell ref="D62:D64"/>
    <mergeCell ref="I62:I64"/>
    <mergeCell ref="E2:H2"/>
    <mergeCell ref="D44:D46"/>
    <mergeCell ref="I44:I46"/>
    <mergeCell ref="D47:D49"/>
    <mergeCell ref="I47:I49"/>
    <mergeCell ref="D15:D18"/>
    <mergeCell ref="I15:I18"/>
    <mergeCell ref="D59:D61"/>
    <mergeCell ref="I59:I61"/>
    <mergeCell ref="A20:B20"/>
    <mergeCell ref="A31:B31"/>
    <mergeCell ref="D31:D34"/>
    <mergeCell ref="I31:I34"/>
    <mergeCell ref="A36:B36"/>
    <mergeCell ref="D19:D30"/>
    <mergeCell ref="D50:D52"/>
    <mergeCell ref="I50:I52"/>
    <mergeCell ref="I19:I30"/>
    <mergeCell ref="D35:D37"/>
    <mergeCell ref="I35:I37"/>
    <mergeCell ref="D56:D58"/>
    <mergeCell ref="D38:D40"/>
    <mergeCell ref="I38:I40"/>
    <mergeCell ref="D41:D43"/>
    <mergeCell ref="I41:I43"/>
    <mergeCell ref="I56:I58"/>
    <mergeCell ref="D53:D55"/>
    <mergeCell ref="I53:I55"/>
    <mergeCell ref="A4:B4"/>
    <mergeCell ref="D7:D10"/>
    <mergeCell ref="I7:I10"/>
    <mergeCell ref="D11:D14"/>
    <mergeCell ref="I11:I14"/>
    <mergeCell ref="D3:D6"/>
    <mergeCell ref="I3:I6"/>
  </mergeCells>
  <phoneticPr fontId="27" type="noConversion"/>
  <pageMargins left="0.7" right="0.7" top="0.75" bottom="0.75" header="0.3" footer="0.3"/>
  <pageSetup paperSize="9" scale="3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49"/>
  <sheetViews>
    <sheetView tabSelected="1" view="pageBreakPreview" zoomScale="85" zoomScaleNormal="100" zoomScaleSheetLayoutView="85" workbookViewId="0">
      <selection sqref="A1:J1"/>
    </sheetView>
  </sheetViews>
  <sheetFormatPr defaultRowHeight="16.5" x14ac:dyDescent="0.3"/>
  <cols>
    <col min="1" max="2" width="12.625" style="6" customWidth="1"/>
    <col min="3" max="4" width="7.625" style="6" customWidth="1"/>
    <col min="5" max="5" width="5.625" style="18" customWidth="1"/>
    <col min="6" max="6" width="12.625" style="19" customWidth="1"/>
    <col min="7" max="7" width="5.625" style="18" customWidth="1"/>
    <col min="8" max="8" width="21.75" style="18" bestFit="1" customWidth="1"/>
    <col min="9" max="9" width="7.625" style="6" customWidth="1"/>
    <col min="10" max="10" width="70.625" style="6" customWidth="1"/>
    <col min="11" max="11" width="17.25" style="6" customWidth="1"/>
    <col min="12" max="12" width="14.5" style="18" customWidth="1"/>
    <col min="13" max="13" width="4.125" style="6" customWidth="1"/>
    <col min="14" max="16384" width="9" style="6"/>
  </cols>
  <sheetData>
    <row r="1" spans="1:12" ht="38.25" x14ac:dyDescent="0.3">
      <c r="A1" s="713" t="s">
        <v>815</v>
      </c>
      <c r="B1" s="713"/>
      <c r="C1" s="713"/>
      <c r="D1" s="713"/>
      <c r="E1" s="713"/>
      <c r="F1" s="713"/>
      <c r="G1" s="713"/>
      <c r="H1" s="713"/>
      <c r="I1" s="713"/>
      <c r="J1" s="713"/>
      <c r="K1" s="94"/>
    </row>
    <row r="2" spans="1:12" x14ac:dyDescent="0.3">
      <c r="K2" s="587">
        <v>260324</v>
      </c>
    </row>
    <row r="3" spans="1:12" x14ac:dyDescent="0.3">
      <c r="J3" s="59"/>
      <c r="K3" s="59"/>
      <c r="L3" s="18" t="s">
        <v>949</v>
      </c>
    </row>
    <row r="4" spans="1:12" ht="30" customHeight="1" x14ac:dyDescent="0.15">
      <c r="A4" s="7" t="s">
        <v>0</v>
      </c>
      <c r="B4" s="8" t="s">
        <v>1</v>
      </c>
      <c r="C4" s="8" t="s">
        <v>2</v>
      </c>
      <c r="D4" s="8" t="s">
        <v>3</v>
      </c>
      <c r="E4" s="758" t="s">
        <v>4</v>
      </c>
      <c r="F4" s="758"/>
      <c r="G4" s="758"/>
      <c r="H4" s="758"/>
      <c r="I4" s="8" t="s">
        <v>3</v>
      </c>
      <c r="J4" s="9" t="s">
        <v>5</v>
      </c>
      <c r="K4" s="100" t="s">
        <v>204</v>
      </c>
    </row>
    <row r="5" spans="1:12" ht="15" customHeight="1" x14ac:dyDescent="0.15">
      <c r="A5" s="10"/>
      <c r="B5" s="11"/>
      <c r="C5" s="11"/>
      <c r="D5" s="11"/>
      <c r="E5" s="57"/>
      <c r="F5" s="58"/>
      <c r="G5" s="58"/>
      <c r="I5" s="11"/>
      <c r="J5" s="12"/>
      <c r="K5" s="100"/>
    </row>
    <row r="6" spans="1:12" s="16" customFormat="1" ht="24" customHeight="1" x14ac:dyDescent="0.3">
      <c r="A6" s="29" t="s">
        <v>216</v>
      </c>
      <c r="B6" s="30" t="s">
        <v>217</v>
      </c>
      <c r="C6" s="14">
        <v>1</v>
      </c>
      <c r="D6" s="760" t="s">
        <v>199</v>
      </c>
      <c r="E6" s="26" t="str">
        <f>북춘천SS!E21</f>
        <v/>
      </c>
      <c r="F6" s="26" t="str">
        <f>북춘천SS!F21</f>
        <v/>
      </c>
      <c r="G6" s="26" t="str">
        <f>북춘천SS!G21</f>
        <v/>
      </c>
      <c r="H6" s="26" t="str">
        <f>북춘천SS!H21</f>
        <v/>
      </c>
      <c r="I6" s="760" t="s">
        <v>199</v>
      </c>
      <c r="J6" s="31" t="str">
        <f>북춘천SS!J21</f>
        <v/>
      </c>
      <c r="K6" s="101"/>
      <c r="L6" s="51"/>
    </row>
    <row r="7" spans="1:12" s="16" customFormat="1" ht="24" customHeight="1" x14ac:dyDescent="0.3">
      <c r="A7" s="607" t="s">
        <v>197</v>
      </c>
      <c r="B7" s="709"/>
      <c r="C7" s="14">
        <v>2</v>
      </c>
      <c r="D7" s="749"/>
      <c r="E7" s="26"/>
      <c r="F7" s="26"/>
      <c r="G7" s="26"/>
      <c r="H7" s="26"/>
      <c r="I7" s="749"/>
      <c r="J7" s="31"/>
      <c r="K7" s="101"/>
      <c r="L7" s="51"/>
    </row>
    <row r="8" spans="1:12" s="16" customFormat="1" ht="24" customHeight="1" x14ac:dyDescent="0.3">
      <c r="A8" s="677" t="s">
        <v>491</v>
      </c>
      <c r="B8" s="614"/>
      <c r="C8" s="14">
        <v>3</v>
      </c>
      <c r="D8" s="749"/>
      <c r="E8" s="26"/>
      <c r="F8" s="26"/>
      <c r="G8" s="26"/>
      <c r="H8" s="26"/>
      <c r="I8" s="749"/>
      <c r="J8" s="31"/>
      <c r="K8" s="101"/>
      <c r="L8" s="51"/>
    </row>
    <row r="9" spans="1:12" s="16" customFormat="1" ht="24" customHeight="1" x14ac:dyDescent="0.3">
      <c r="A9" s="13"/>
      <c r="B9" s="14"/>
      <c r="C9" s="14">
        <v>4</v>
      </c>
      <c r="D9" s="749"/>
      <c r="E9" s="26"/>
      <c r="F9" s="26"/>
      <c r="G9" s="26"/>
      <c r="H9" s="26"/>
      <c r="I9" s="749"/>
      <c r="J9" s="31"/>
      <c r="K9" s="101"/>
      <c r="L9" s="51"/>
    </row>
    <row r="10" spans="1:12" s="16" customFormat="1" ht="24" customHeight="1" x14ac:dyDescent="0.3">
      <c r="A10" s="13"/>
      <c r="B10" s="14"/>
      <c r="C10" s="14">
        <v>5</v>
      </c>
      <c r="D10" s="749"/>
      <c r="E10" s="26"/>
      <c r="F10" s="26"/>
      <c r="G10" s="26"/>
      <c r="H10" s="26"/>
      <c r="I10" s="749"/>
      <c r="J10" s="31"/>
      <c r="K10" s="101"/>
      <c r="L10" s="51"/>
    </row>
    <row r="11" spans="1:12" s="16" customFormat="1" ht="24" customHeight="1" x14ac:dyDescent="0.3">
      <c r="A11" s="13"/>
      <c r="B11" s="14"/>
      <c r="C11" s="14">
        <v>6</v>
      </c>
      <c r="D11" s="749"/>
      <c r="E11" s="26"/>
      <c r="F11" s="26"/>
      <c r="G11" s="26"/>
      <c r="H11" s="26"/>
      <c r="I11" s="749"/>
      <c r="J11" s="31"/>
      <c r="K11" s="101"/>
      <c r="L11" s="51"/>
    </row>
    <row r="12" spans="1:12" s="16" customFormat="1" ht="24" customHeight="1" x14ac:dyDescent="0.3">
      <c r="A12" s="13"/>
      <c r="B12" s="14"/>
      <c r="C12" s="14">
        <v>7</v>
      </c>
      <c r="D12" s="749"/>
      <c r="E12" s="26" t="str">
        <f>북춘천SS!E27</f>
        <v>E1</v>
      </c>
      <c r="F12" s="26" t="s">
        <v>736</v>
      </c>
      <c r="G12" s="26" t="str">
        <f>북춘천SS!G27</f>
        <v>예비</v>
      </c>
      <c r="H12" s="26" t="str">
        <f>북춘천SS!H27</f>
        <v>가평-화천수력 PIU(예)</v>
      </c>
      <c r="I12" s="749"/>
      <c r="J12" s="31" t="str">
        <f>북춘천SS!J27</f>
        <v>가평-1(통합PTP)1-북춘천-7(PTP)-화천HP</v>
      </c>
      <c r="K12" s="101"/>
      <c r="L12" s="51"/>
    </row>
    <row r="13" spans="1:12" s="16" customFormat="1" ht="24" customHeight="1" x14ac:dyDescent="0.3">
      <c r="A13" s="13"/>
      <c r="B13" s="14"/>
      <c r="C13" s="14">
        <v>8</v>
      </c>
      <c r="D13" s="749"/>
      <c r="E13" s="26"/>
      <c r="F13" s="26"/>
      <c r="G13" s="26"/>
      <c r="H13" s="26"/>
      <c r="I13" s="749"/>
      <c r="J13" s="31"/>
      <c r="K13" s="101"/>
      <c r="L13" s="51"/>
    </row>
    <row r="14" spans="1:12" s="16" customFormat="1" ht="24" customHeight="1" x14ac:dyDescent="0.3">
      <c r="A14" s="13"/>
      <c r="B14" s="14"/>
      <c r="C14" s="14">
        <v>9</v>
      </c>
      <c r="D14" s="749"/>
      <c r="E14" s="26" t="str">
        <f>북춘천SS!E29</f>
        <v>E1</v>
      </c>
      <c r="F14" s="26" t="str">
        <f>북춘천SS!F29</f>
        <v>PIU</v>
      </c>
      <c r="G14" s="26" t="str">
        <f>북춘천SS!G29</f>
        <v>예비</v>
      </c>
      <c r="H14" s="26" t="str">
        <f>북춘천SS!H29</f>
        <v>북춘천-화천수력 PIU(예)</v>
      </c>
      <c r="I14" s="749"/>
      <c r="J14" s="31" t="str">
        <f>북춘천SS!J29</f>
        <v>북춘천-9(통합PTP)9-화천HP</v>
      </c>
      <c r="K14" s="101"/>
      <c r="L14" s="51"/>
    </row>
    <row r="15" spans="1:12" s="16" customFormat="1" ht="24" customHeight="1" x14ac:dyDescent="0.3">
      <c r="A15" s="13"/>
      <c r="B15" s="14"/>
      <c r="C15" s="14">
        <v>10</v>
      </c>
      <c r="D15" s="749"/>
      <c r="E15" s="26"/>
      <c r="F15" s="26"/>
      <c r="G15" s="26"/>
      <c r="H15" s="26"/>
      <c r="I15" s="749"/>
      <c r="J15" s="31"/>
      <c r="K15" s="101"/>
      <c r="L15" s="51"/>
    </row>
    <row r="16" spans="1:12" s="16" customFormat="1" ht="24" customHeight="1" x14ac:dyDescent="0.3">
      <c r="A16" s="13"/>
      <c r="B16" s="14"/>
      <c r="C16" s="14">
        <v>11</v>
      </c>
      <c r="D16" s="749"/>
      <c r="E16" s="26"/>
      <c r="F16" s="26"/>
      <c r="G16" s="26"/>
      <c r="H16" s="26"/>
      <c r="I16" s="749"/>
      <c r="J16" s="31"/>
      <c r="K16" s="101"/>
      <c r="L16" s="51"/>
    </row>
    <row r="17" spans="1:12" s="16" customFormat="1" ht="24" customHeight="1" x14ac:dyDescent="0.3">
      <c r="A17" s="13"/>
      <c r="B17" s="14"/>
      <c r="C17" s="14">
        <v>12</v>
      </c>
      <c r="D17" s="750"/>
      <c r="E17" s="26"/>
      <c r="F17" s="26"/>
      <c r="G17" s="26"/>
      <c r="H17" s="26"/>
      <c r="I17" s="750"/>
      <c r="J17" s="31"/>
      <c r="K17" s="101"/>
      <c r="L17" s="51"/>
    </row>
    <row r="18" spans="1:12" s="16" customFormat="1" ht="24" customHeight="1" x14ac:dyDescent="0.3">
      <c r="A18" s="607" t="s">
        <v>196</v>
      </c>
      <c r="B18" s="709"/>
      <c r="C18" s="14">
        <v>1</v>
      </c>
      <c r="D18" s="757" t="s">
        <v>73</v>
      </c>
      <c r="E18" s="26"/>
      <c r="F18" s="26"/>
      <c r="G18" s="26"/>
      <c r="H18" s="26"/>
      <c r="I18" s="757" t="s">
        <v>73</v>
      </c>
      <c r="J18" s="31"/>
      <c r="K18" s="101"/>
      <c r="L18" s="51"/>
    </row>
    <row r="19" spans="1:12" s="16" customFormat="1" ht="24" customHeight="1" x14ac:dyDescent="0.3">
      <c r="A19" s="13"/>
      <c r="B19" s="14"/>
      <c r="C19" s="14">
        <v>2</v>
      </c>
      <c r="D19" s="707"/>
      <c r="E19" s="26"/>
      <c r="F19" s="26"/>
      <c r="G19" s="26"/>
      <c r="H19" s="26"/>
      <c r="I19" s="707"/>
      <c r="J19" s="31"/>
      <c r="K19" s="101"/>
      <c r="L19" s="51"/>
    </row>
    <row r="20" spans="1:12" s="16" customFormat="1" ht="24" customHeight="1" x14ac:dyDescent="0.3">
      <c r="A20" s="13"/>
      <c r="B20" s="14"/>
      <c r="C20" s="14">
        <v>3</v>
      </c>
      <c r="D20" s="707"/>
      <c r="E20" s="26"/>
      <c r="F20" s="26"/>
      <c r="G20" s="26"/>
      <c r="H20" s="26"/>
      <c r="I20" s="707"/>
      <c r="J20" s="31"/>
      <c r="K20" s="101"/>
      <c r="L20" s="51"/>
    </row>
    <row r="21" spans="1:12" s="16" customFormat="1" ht="24" customHeight="1" x14ac:dyDescent="0.3">
      <c r="A21" s="13"/>
      <c r="B21" s="14"/>
      <c r="C21" s="14">
        <v>4</v>
      </c>
      <c r="D21" s="759"/>
      <c r="E21" s="26"/>
      <c r="F21" s="26"/>
      <c r="G21" s="26"/>
      <c r="H21" s="26"/>
      <c r="I21" s="759"/>
      <c r="J21" s="31"/>
      <c r="K21" s="101"/>
      <c r="L21" s="51"/>
    </row>
    <row r="22" spans="1:12" ht="26.25" customHeight="1" x14ac:dyDescent="0.3">
      <c r="A22" s="330" t="s">
        <v>47</v>
      </c>
      <c r="B22" s="149" t="s">
        <v>667</v>
      </c>
      <c r="C22" s="424">
        <v>1</v>
      </c>
      <c r="D22" s="761" t="s">
        <v>199</v>
      </c>
      <c r="E22" s="520" t="s">
        <v>6</v>
      </c>
      <c r="F22" s="333" t="s">
        <v>428</v>
      </c>
      <c r="G22" s="332" t="s">
        <v>655</v>
      </c>
      <c r="H22" s="332" t="s">
        <v>663</v>
      </c>
      <c r="I22" s="761" t="s">
        <v>199</v>
      </c>
      <c r="J22" s="521" t="s">
        <v>665</v>
      </c>
      <c r="K22" s="522"/>
    </row>
    <row r="23" spans="1:12" ht="26.25" customHeight="1" x14ac:dyDescent="0.3">
      <c r="A23" s="728" t="s">
        <v>661</v>
      </c>
      <c r="B23" s="729"/>
      <c r="C23" s="147">
        <v>2</v>
      </c>
      <c r="D23" s="723"/>
      <c r="E23" s="289" t="s">
        <v>6</v>
      </c>
      <c r="F23" s="38" t="s">
        <v>9</v>
      </c>
      <c r="G23" s="26" t="s">
        <v>655</v>
      </c>
      <c r="H23" s="26" t="s">
        <v>664</v>
      </c>
      <c r="I23" s="723"/>
      <c r="J23" s="31" t="s">
        <v>666</v>
      </c>
      <c r="K23" s="102"/>
    </row>
    <row r="24" spans="1:12" ht="26.25" customHeight="1" x14ac:dyDescent="0.3">
      <c r="A24" s="730"/>
      <c r="B24" s="731"/>
      <c r="C24" s="147">
        <v>3</v>
      </c>
      <c r="D24" s="723"/>
      <c r="E24" s="820" t="s">
        <v>6</v>
      </c>
      <c r="F24" s="277" t="s">
        <v>654</v>
      </c>
      <c r="G24" s="276" t="s">
        <v>29</v>
      </c>
      <c r="H24" s="276" t="s">
        <v>656</v>
      </c>
      <c r="I24" s="723"/>
      <c r="J24" s="120" t="s">
        <v>658</v>
      </c>
      <c r="K24" s="102"/>
    </row>
    <row r="25" spans="1:12" ht="26.25" customHeight="1" x14ac:dyDescent="0.3">
      <c r="A25" s="392"/>
      <c r="B25" s="393"/>
      <c r="C25" s="147">
        <v>4</v>
      </c>
      <c r="D25" s="723"/>
      <c r="E25" s="289"/>
      <c r="F25" s="38"/>
      <c r="G25" s="26"/>
      <c r="H25" s="26"/>
      <c r="I25" s="723"/>
      <c r="J25" s="31"/>
      <c r="K25" s="102"/>
    </row>
    <row r="26" spans="1:12" ht="26.25" customHeight="1" x14ac:dyDescent="0.3">
      <c r="A26" s="392"/>
      <c r="B26" s="393"/>
      <c r="C26" s="147">
        <v>5</v>
      </c>
      <c r="D26" s="723"/>
      <c r="E26" s="289"/>
      <c r="F26" s="38"/>
      <c r="G26" s="26"/>
      <c r="H26" s="26"/>
      <c r="I26" s="723"/>
      <c r="J26" s="31"/>
      <c r="K26" s="102"/>
    </row>
    <row r="27" spans="1:12" ht="26.25" customHeight="1" x14ac:dyDescent="0.3">
      <c r="A27" s="392"/>
      <c r="B27" s="393"/>
      <c r="C27" s="147">
        <v>6</v>
      </c>
      <c r="D27" s="723"/>
      <c r="E27" s="289"/>
      <c r="F27" s="38"/>
      <c r="G27" s="26"/>
      <c r="H27" s="26"/>
      <c r="I27" s="723"/>
      <c r="J27" s="31"/>
      <c r="K27" s="102"/>
    </row>
    <row r="28" spans="1:12" ht="26.25" customHeight="1" x14ac:dyDescent="0.3">
      <c r="A28" s="392"/>
      <c r="B28" s="393"/>
      <c r="C28" s="147">
        <v>7</v>
      </c>
      <c r="D28" s="723"/>
      <c r="E28" s="289"/>
      <c r="F28" s="38"/>
      <c r="G28" s="26"/>
      <c r="H28" s="26"/>
      <c r="I28" s="723"/>
      <c r="J28" s="31"/>
      <c r="K28" s="102"/>
    </row>
    <row r="29" spans="1:12" ht="26.25" customHeight="1" x14ac:dyDescent="0.3">
      <c r="A29" s="392"/>
      <c r="B29" s="393"/>
      <c r="C29" s="147">
        <v>8</v>
      </c>
      <c r="D29" s="723"/>
      <c r="E29" s="289"/>
      <c r="F29" s="38"/>
      <c r="G29" s="26"/>
      <c r="H29" s="26"/>
      <c r="I29" s="723"/>
      <c r="J29" s="31"/>
      <c r="K29" s="102"/>
    </row>
    <row r="30" spans="1:12" ht="26.25" customHeight="1" x14ac:dyDescent="0.3">
      <c r="A30" s="392"/>
      <c r="B30" s="393"/>
      <c r="C30" s="147">
        <v>9</v>
      </c>
      <c r="D30" s="723"/>
      <c r="E30" s="289"/>
      <c r="F30" s="38"/>
      <c r="G30" s="26"/>
      <c r="H30" s="26"/>
      <c r="I30" s="723"/>
      <c r="J30" s="31"/>
      <c r="K30" s="102"/>
    </row>
    <row r="31" spans="1:12" ht="26.25" customHeight="1" x14ac:dyDescent="0.3">
      <c r="A31" s="392"/>
      <c r="B31" s="393"/>
      <c r="C31" s="147">
        <v>10</v>
      </c>
      <c r="D31" s="723"/>
      <c r="E31" s="289"/>
      <c r="F31" s="38"/>
      <c r="G31" s="26"/>
      <c r="H31" s="26"/>
      <c r="I31" s="723"/>
      <c r="J31" s="31"/>
      <c r="K31" s="102"/>
    </row>
    <row r="32" spans="1:12" ht="26.25" customHeight="1" x14ac:dyDescent="0.3">
      <c r="A32" s="392"/>
      <c r="B32" s="393"/>
      <c r="C32" s="147">
        <v>11</v>
      </c>
      <c r="D32" s="723"/>
      <c r="E32" s="289"/>
      <c r="F32" s="38"/>
      <c r="G32" s="26"/>
      <c r="H32" s="26"/>
      <c r="I32" s="723"/>
      <c r="J32" s="31"/>
      <c r="K32" s="102"/>
    </row>
    <row r="33" spans="1:11" ht="26.25" customHeight="1" x14ac:dyDescent="0.3">
      <c r="A33" s="523"/>
      <c r="B33" s="524"/>
      <c r="C33" s="151">
        <v>12</v>
      </c>
      <c r="D33" s="762"/>
      <c r="E33" s="290"/>
      <c r="F33" s="287"/>
      <c r="G33" s="286"/>
      <c r="H33" s="286"/>
      <c r="I33" s="762"/>
      <c r="J33" s="142"/>
      <c r="K33" s="525"/>
    </row>
    <row r="34" spans="1:11" ht="27.75" customHeight="1" x14ac:dyDescent="0.3">
      <c r="A34" s="140" t="s">
        <v>34</v>
      </c>
      <c r="B34" s="322" t="s">
        <v>47</v>
      </c>
      <c r="C34" s="300">
        <v>1</v>
      </c>
      <c r="D34" s="749" t="s">
        <v>199</v>
      </c>
      <c r="E34" s="519" t="s">
        <v>28</v>
      </c>
      <c r="F34" s="323" t="s">
        <v>26</v>
      </c>
      <c r="G34" s="300" t="s">
        <v>429</v>
      </c>
      <c r="H34" s="507" t="s">
        <v>844</v>
      </c>
      <c r="I34" s="749" t="s">
        <v>199</v>
      </c>
      <c r="J34" s="509" t="s">
        <v>846</v>
      </c>
      <c r="K34" s="102" t="s">
        <v>848</v>
      </c>
    </row>
    <row r="35" spans="1:11" ht="27.75" customHeight="1" x14ac:dyDescent="0.3">
      <c r="A35" s="607" t="s">
        <v>197</v>
      </c>
      <c r="B35" s="709"/>
      <c r="C35" s="26">
        <v>2</v>
      </c>
      <c r="D35" s="749"/>
      <c r="E35" s="41" t="s">
        <v>28</v>
      </c>
      <c r="F35" s="38" t="s">
        <v>26</v>
      </c>
      <c r="G35" s="26" t="s">
        <v>29</v>
      </c>
      <c r="H35" s="31" t="s">
        <v>845</v>
      </c>
      <c r="I35" s="749"/>
      <c r="J35" s="154" t="s">
        <v>847</v>
      </c>
      <c r="K35" s="102" t="s">
        <v>848</v>
      </c>
    </row>
    <row r="36" spans="1:11" ht="27.75" customHeight="1" x14ac:dyDescent="0.3">
      <c r="A36" s="677" t="s">
        <v>491</v>
      </c>
      <c r="B36" s="614"/>
      <c r="C36" s="26">
        <v>3</v>
      </c>
      <c r="D36" s="749"/>
      <c r="E36" s="26"/>
      <c r="F36" s="38"/>
      <c r="G36" s="26"/>
      <c r="H36" s="26"/>
      <c r="I36" s="749"/>
      <c r="J36" s="31"/>
    </row>
    <row r="37" spans="1:11" ht="27.75" customHeight="1" x14ac:dyDescent="0.3">
      <c r="A37" s="13"/>
      <c r="B37" s="14"/>
      <c r="C37" s="26">
        <v>4</v>
      </c>
      <c r="D37" s="749"/>
      <c r="E37" s="26"/>
      <c r="F37" s="38"/>
      <c r="G37" s="26"/>
      <c r="H37" s="26"/>
      <c r="I37" s="749"/>
      <c r="J37" s="31"/>
    </row>
    <row r="38" spans="1:11" ht="27.75" customHeight="1" x14ac:dyDescent="0.3">
      <c r="A38" s="13"/>
      <c r="B38" s="14"/>
      <c r="C38" s="26">
        <v>5</v>
      </c>
      <c r="D38" s="749"/>
      <c r="E38" s="26"/>
      <c r="F38" s="38"/>
      <c r="G38" s="26"/>
      <c r="H38" s="26"/>
      <c r="I38" s="749"/>
      <c r="J38" s="31"/>
    </row>
    <row r="39" spans="1:11" ht="27.75" customHeight="1" x14ac:dyDescent="0.3">
      <c r="A39" s="13"/>
      <c r="B39" s="14"/>
      <c r="C39" s="26">
        <v>6</v>
      </c>
      <c r="D39" s="749"/>
      <c r="E39" s="26"/>
      <c r="F39" s="38"/>
      <c r="G39" s="14"/>
      <c r="H39" s="26"/>
      <c r="I39" s="749"/>
      <c r="J39" s="190"/>
    </row>
    <row r="40" spans="1:11" ht="27.75" customHeight="1" x14ac:dyDescent="0.3">
      <c r="A40" s="13"/>
      <c r="B40" s="14"/>
      <c r="C40" s="26">
        <v>7</v>
      </c>
      <c r="D40" s="749"/>
      <c r="E40" s="26"/>
      <c r="F40" s="38"/>
      <c r="G40" s="14"/>
      <c r="H40" s="26"/>
      <c r="I40" s="749"/>
      <c r="J40" s="190"/>
    </row>
    <row r="41" spans="1:11" ht="27.75" customHeight="1" x14ac:dyDescent="0.3">
      <c r="A41" s="13"/>
      <c r="B41" s="14"/>
      <c r="C41" s="26">
        <v>8</v>
      </c>
      <c r="D41" s="749"/>
      <c r="E41" s="26"/>
      <c r="F41" s="38"/>
      <c r="G41" s="26"/>
      <c r="H41" s="26"/>
      <c r="I41" s="749"/>
      <c r="J41" s="31"/>
    </row>
    <row r="42" spans="1:11" ht="27.75" customHeight="1" x14ac:dyDescent="0.3">
      <c r="A42" s="13"/>
      <c r="B42" s="14"/>
      <c r="C42" s="26">
        <v>9</v>
      </c>
      <c r="D42" s="749"/>
      <c r="E42" s="26"/>
      <c r="F42" s="38"/>
      <c r="G42" s="26"/>
      <c r="H42" s="26"/>
      <c r="I42" s="749"/>
      <c r="J42" s="31"/>
    </row>
    <row r="43" spans="1:11" ht="27.75" customHeight="1" x14ac:dyDescent="0.3">
      <c r="A43" s="13"/>
      <c r="B43" s="14"/>
      <c r="C43" s="26">
        <v>10</v>
      </c>
      <c r="D43" s="749"/>
      <c r="E43" s="26"/>
      <c r="F43" s="38"/>
      <c r="G43" s="26"/>
      <c r="H43" s="26"/>
      <c r="I43" s="749"/>
      <c r="J43" s="31"/>
    </row>
    <row r="44" spans="1:11" ht="27.75" customHeight="1" x14ac:dyDescent="0.3">
      <c r="A44" s="13"/>
      <c r="B44" s="14"/>
      <c r="C44" s="26">
        <v>11</v>
      </c>
      <c r="D44" s="749"/>
      <c r="E44" s="26"/>
      <c r="F44" s="38"/>
      <c r="G44" s="26"/>
      <c r="H44" s="26"/>
      <c r="I44" s="749"/>
      <c r="J44" s="31"/>
    </row>
    <row r="45" spans="1:11" ht="27.75" customHeight="1" x14ac:dyDescent="0.3">
      <c r="A45" s="13"/>
      <c r="B45" s="14"/>
      <c r="C45" s="26">
        <v>12</v>
      </c>
      <c r="D45" s="750"/>
      <c r="E45" s="26"/>
      <c r="F45" s="38"/>
      <c r="G45" s="26"/>
      <c r="H45" s="26"/>
      <c r="I45" s="750"/>
      <c r="J45" s="31"/>
    </row>
    <row r="46" spans="1:11" ht="27.75" customHeight="1" x14ac:dyDescent="0.3">
      <c r="A46" s="607" t="s">
        <v>196</v>
      </c>
      <c r="B46" s="709"/>
      <c r="C46" s="26">
        <v>1</v>
      </c>
      <c r="D46" s="757" t="s">
        <v>73</v>
      </c>
      <c r="E46" s="26"/>
      <c r="F46" s="38"/>
      <c r="G46" s="26"/>
      <c r="H46" s="26"/>
      <c r="I46" s="757" t="s">
        <v>73</v>
      </c>
      <c r="J46" s="31"/>
    </row>
    <row r="47" spans="1:11" ht="27.75" customHeight="1" x14ac:dyDescent="0.3">
      <c r="A47" s="13"/>
      <c r="B47" s="14"/>
      <c r="C47" s="26">
        <v>2</v>
      </c>
      <c r="D47" s="707"/>
      <c r="E47" s="26"/>
      <c r="F47" s="38"/>
      <c r="G47" s="26"/>
      <c r="H47" s="26"/>
      <c r="I47" s="707"/>
      <c r="J47" s="31"/>
    </row>
    <row r="48" spans="1:11" ht="27.75" customHeight="1" x14ac:dyDescent="0.3">
      <c r="A48" s="13"/>
      <c r="B48" s="14"/>
      <c r="C48" s="26">
        <v>3</v>
      </c>
      <c r="D48" s="707"/>
      <c r="E48" s="26"/>
      <c r="F48" s="38"/>
      <c r="G48" s="26"/>
      <c r="H48" s="26"/>
      <c r="I48" s="707"/>
      <c r="J48" s="31"/>
    </row>
    <row r="49" spans="1:10" ht="27.75" customHeight="1" x14ac:dyDescent="0.3">
      <c r="A49" s="13"/>
      <c r="B49" s="14"/>
      <c r="C49" s="26">
        <v>4</v>
      </c>
      <c r="D49" s="759"/>
      <c r="E49" s="26"/>
      <c r="F49" s="38"/>
      <c r="G49" s="26"/>
      <c r="H49" s="26"/>
      <c r="I49" s="759"/>
      <c r="J49" s="31"/>
    </row>
  </sheetData>
  <autoFilter ref="A5:J21"/>
  <dataConsolidate/>
  <mergeCells count="20">
    <mergeCell ref="A46:B46"/>
    <mergeCell ref="D46:D49"/>
    <mergeCell ref="I46:I49"/>
    <mergeCell ref="A36:B36"/>
    <mergeCell ref="D34:D45"/>
    <mergeCell ref="I34:I45"/>
    <mergeCell ref="A35:B35"/>
    <mergeCell ref="D22:D33"/>
    <mergeCell ref="I22:I33"/>
    <mergeCell ref="A23:B23"/>
    <mergeCell ref="A24:B24"/>
    <mergeCell ref="E4:H4"/>
    <mergeCell ref="A1:J1"/>
    <mergeCell ref="A18:B18"/>
    <mergeCell ref="D18:D21"/>
    <mergeCell ref="I18:I21"/>
    <mergeCell ref="D6:D17"/>
    <mergeCell ref="I6:I17"/>
    <mergeCell ref="A7:B7"/>
    <mergeCell ref="A8:B8"/>
  </mergeCells>
  <phoneticPr fontId="2" type="noConversion"/>
  <printOptions horizontalCentered="1"/>
  <pageMargins left="0.11811023622047245" right="0.11811023622047245" top="0.35433070866141736" bottom="0.35433070866141736" header="0.11811023622047245" footer="0.11811023622047245"/>
  <pageSetup paperSize="9" scale="36" fitToHeight="1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FF00"/>
    <pageSetUpPr fitToPage="1"/>
  </sheetPr>
  <dimension ref="A1:R76"/>
  <sheetViews>
    <sheetView view="pageBreakPreview" zoomScale="60" zoomScaleNormal="85" workbookViewId="0">
      <selection activeCell="H39" sqref="H39"/>
    </sheetView>
  </sheetViews>
  <sheetFormatPr defaultRowHeight="16.5" x14ac:dyDescent="0.3"/>
  <cols>
    <col min="1" max="1" width="14.625" style="1" customWidth="1"/>
    <col min="2" max="2" width="7.625" style="5" customWidth="1"/>
    <col min="3" max="3" width="7.625" style="1" customWidth="1"/>
    <col min="4" max="4" width="5.625" style="2" customWidth="1"/>
    <col min="5" max="5" width="12.625" style="3" customWidth="1"/>
    <col min="6" max="6" width="5.625" style="2" customWidth="1"/>
    <col min="7" max="7" width="31.75" style="2" customWidth="1"/>
    <col min="8" max="8" width="49.375" style="1" customWidth="1"/>
    <col min="9" max="9" width="18.5" style="54" customWidth="1"/>
    <col min="10" max="10" width="9" style="2"/>
    <col min="11" max="16384" width="9" style="1"/>
  </cols>
  <sheetData>
    <row r="1" spans="1:10" ht="38.25" x14ac:dyDescent="0.3">
      <c r="A1" s="764" t="s">
        <v>816</v>
      </c>
      <c r="B1" s="764"/>
      <c r="C1" s="764"/>
      <c r="D1" s="764"/>
      <c r="E1" s="764"/>
      <c r="F1" s="764"/>
      <c r="G1" s="764"/>
      <c r="H1" s="764"/>
    </row>
    <row r="4" spans="1:10" s="5" customFormat="1" ht="30" customHeight="1" x14ac:dyDescent="0.3">
      <c r="A4" s="71" t="s">
        <v>52</v>
      </c>
      <c r="B4" s="72" t="s">
        <v>2</v>
      </c>
      <c r="C4" s="72" t="s">
        <v>3</v>
      </c>
      <c r="D4" s="765" t="s">
        <v>53</v>
      </c>
      <c r="E4" s="765"/>
      <c r="F4" s="765"/>
      <c r="G4" s="765"/>
      <c r="H4" s="73" t="s">
        <v>5</v>
      </c>
      <c r="I4" s="55"/>
      <c r="J4" s="117"/>
    </row>
    <row r="5" spans="1:10" s="112" customFormat="1" ht="20.100000000000001" customHeight="1" x14ac:dyDescent="0.3">
      <c r="A5" s="114" t="s">
        <v>16</v>
      </c>
      <c r="B5" s="66">
        <v>1</v>
      </c>
      <c r="C5" s="763" t="s">
        <v>54</v>
      </c>
      <c r="D5" s="109" t="s">
        <v>139</v>
      </c>
      <c r="E5" s="110" t="s">
        <v>140</v>
      </c>
      <c r="F5" s="109" t="s">
        <v>141</v>
      </c>
      <c r="G5" s="109" t="s">
        <v>61</v>
      </c>
      <c r="H5" s="108" t="s">
        <v>142</v>
      </c>
      <c r="I5" s="113"/>
      <c r="J5" s="118" t="s">
        <v>221</v>
      </c>
    </row>
    <row r="6" spans="1:10" s="5" customFormat="1" ht="20.100000000000001" customHeight="1" x14ac:dyDescent="0.3">
      <c r="A6" s="74" t="s">
        <v>51</v>
      </c>
      <c r="B6" s="66">
        <v>2</v>
      </c>
      <c r="C6" s="763"/>
      <c r="D6" s="26" t="s">
        <v>6</v>
      </c>
      <c r="E6" s="38" t="s">
        <v>151</v>
      </c>
      <c r="F6" s="38"/>
      <c r="G6" s="38" t="s">
        <v>134</v>
      </c>
      <c r="H6" s="75" t="s">
        <v>527</v>
      </c>
      <c r="I6" s="70" t="s">
        <v>169</v>
      </c>
      <c r="J6" s="116" t="s">
        <v>220</v>
      </c>
    </row>
    <row r="7" spans="1:10" s="5" customFormat="1" ht="20.100000000000001" customHeight="1" x14ac:dyDescent="0.3">
      <c r="A7" s="76"/>
      <c r="B7" s="250"/>
      <c r="C7" s="763"/>
      <c r="D7" s="26"/>
      <c r="E7" s="38"/>
      <c r="F7" s="26"/>
      <c r="G7" s="26"/>
      <c r="H7" s="31"/>
      <c r="I7" s="55"/>
      <c r="J7" s="117"/>
    </row>
    <row r="8" spans="1:10" s="297" customFormat="1" ht="20.100000000000001" customHeight="1" x14ac:dyDescent="0.3">
      <c r="A8" s="257"/>
      <c r="B8" s="66">
        <v>4</v>
      </c>
      <c r="C8" s="763"/>
      <c r="D8" s="133" t="s">
        <v>6</v>
      </c>
      <c r="E8" s="134" t="s">
        <v>57</v>
      </c>
      <c r="F8" s="133"/>
      <c r="G8" s="133" t="s">
        <v>58</v>
      </c>
      <c r="H8" s="135" t="s">
        <v>62</v>
      </c>
      <c r="I8" s="295"/>
      <c r="J8" s="296"/>
    </row>
    <row r="9" spans="1:10" s="5" customFormat="1" ht="20.100000000000001" customHeight="1" x14ac:dyDescent="0.3">
      <c r="A9" s="76"/>
      <c r="B9" s="250">
        <v>5</v>
      </c>
      <c r="C9" s="763"/>
      <c r="D9" s="26"/>
      <c r="E9" s="38"/>
      <c r="F9" s="26"/>
      <c r="G9" s="26"/>
      <c r="H9" s="31"/>
      <c r="I9" s="55"/>
      <c r="J9" s="117"/>
    </row>
    <row r="10" spans="1:10" s="5" customFormat="1" ht="20.100000000000001" customHeight="1" x14ac:dyDescent="0.3">
      <c r="A10" s="76"/>
      <c r="B10" s="66">
        <v>6</v>
      </c>
      <c r="C10" s="763"/>
      <c r="D10" s="26" t="s">
        <v>6</v>
      </c>
      <c r="E10" s="38" t="s">
        <v>57</v>
      </c>
      <c r="F10" s="26"/>
      <c r="G10" s="26" t="s">
        <v>143</v>
      </c>
      <c r="H10" s="31" t="s">
        <v>144</v>
      </c>
      <c r="I10" s="70" t="s">
        <v>156</v>
      </c>
      <c r="J10" s="117"/>
    </row>
    <row r="11" spans="1:10" s="5" customFormat="1" ht="20.100000000000001" customHeight="1" x14ac:dyDescent="0.3">
      <c r="A11" s="76"/>
      <c r="B11" s="250">
        <v>7</v>
      </c>
      <c r="C11" s="763"/>
      <c r="D11" s="26"/>
      <c r="E11" s="46"/>
      <c r="F11" s="45"/>
      <c r="G11" s="45"/>
      <c r="H11" s="15"/>
      <c r="I11" s="55"/>
      <c r="J11" s="117"/>
    </row>
    <row r="12" spans="1:10" s="5" customFormat="1" ht="20.100000000000001" customHeight="1" x14ac:dyDescent="0.3">
      <c r="A12" s="76"/>
      <c r="B12" s="250">
        <v>8</v>
      </c>
      <c r="C12" s="763"/>
      <c r="D12" s="26"/>
      <c r="E12" s="38"/>
      <c r="F12" s="26"/>
      <c r="G12" s="26"/>
      <c r="H12" s="31"/>
      <c r="I12" s="55"/>
      <c r="J12" s="117"/>
    </row>
    <row r="13" spans="1:10" s="5" customFormat="1" ht="20.100000000000001" customHeight="1" x14ac:dyDescent="0.3">
      <c r="A13" s="76"/>
      <c r="B13" s="66">
        <v>9</v>
      </c>
      <c r="C13" s="763"/>
      <c r="D13" s="26" t="s">
        <v>6</v>
      </c>
      <c r="E13" s="38" t="s">
        <v>617</v>
      </c>
      <c r="F13" s="26"/>
      <c r="G13" s="26" t="s">
        <v>620</v>
      </c>
      <c r="H13" s="31" t="s">
        <v>619</v>
      </c>
      <c r="I13" s="55"/>
      <c r="J13" s="117"/>
    </row>
    <row r="14" spans="1:10" s="5" customFormat="1" ht="20.100000000000001" customHeight="1" x14ac:dyDescent="0.3">
      <c r="A14" s="76"/>
      <c r="B14" s="66">
        <v>10</v>
      </c>
      <c r="C14" s="763"/>
      <c r="D14" s="26" t="s">
        <v>6</v>
      </c>
      <c r="E14" s="38" t="s">
        <v>617</v>
      </c>
      <c r="F14" s="26"/>
      <c r="G14" s="26" t="s">
        <v>615</v>
      </c>
      <c r="H14" s="31" t="s">
        <v>519</v>
      </c>
      <c r="I14" s="55"/>
      <c r="J14" s="117"/>
    </row>
    <row r="15" spans="1:10" s="5" customFormat="1" ht="20.100000000000001" customHeight="1" x14ac:dyDescent="0.3">
      <c r="A15" s="76"/>
      <c r="B15" s="66">
        <v>11</v>
      </c>
      <c r="C15" s="763"/>
      <c r="D15" s="26" t="s">
        <v>6</v>
      </c>
      <c r="E15" s="38" t="s">
        <v>71</v>
      </c>
      <c r="F15" s="26"/>
      <c r="G15" s="26" t="s">
        <v>145</v>
      </c>
      <c r="H15" s="31" t="s">
        <v>146</v>
      </c>
      <c r="I15" s="55"/>
      <c r="J15" s="117"/>
    </row>
    <row r="16" spans="1:10" s="5" customFormat="1" ht="20.100000000000001" customHeight="1" x14ac:dyDescent="0.3">
      <c r="A16" s="76"/>
      <c r="B16" s="66">
        <v>12</v>
      </c>
      <c r="C16" s="763"/>
      <c r="D16" s="26" t="s">
        <v>6</v>
      </c>
      <c r="E16" s="38" t="s">
        <v>147</v>
      </c>
      <c r="F16" s="26"/>
      <c r="G16" s="26" t="s">
        <v>148</v>
      </c>
      <c r="H16" s="31" t="s">
        <v>149</v>
      </c>
      <c r="I16" s="55"/>
      <c r="J16" s="117"/>
    </row>
    <row r="17" spans="1:10" s="5" customFormat="1" ht="20.100000000000001" customHeight="1" x14ac:dyDescent="0.3">
      <c r="A17" s="76"/>
      <c r="B17" s="66">
        <v>13</v>
      </c>
      <c r="C17" s="763"/>
      <c r="D17" s="26" t="s">
        <v>28</v>
      </c>
      <c r="E17" s="38" t="s">
        <v>153</v>
      </c>
      <c r="F17" s="26"/>
      <c r="G17" s="26" t="s">
        <v>154</v>
      </c>
      <c r="H17" s="31" t="s">
        <v>520</v>
      </c>
      <c r="I17" s="55"/>
      <c r="J17" s="117"/>
    </row>
    <row r="18" spans="1:10" s="5" customFormat="1" ht="20.100000000000001" customHeight="1" x14ac:dyDescent="0.3">
      <c r="A18" s="76"/>
      <c r="B18" s="66">
        <v>14</v>
      </c>
      <c r="C18" s="763"/>
      <c r="D18" s="26" t="s">
        <v>150</v>
      </c>
      <c r="E18" s="38" t="s">
        <v>63</v>
      </c>
      <c r="F18" s="26"/>
      <c r="G18" s="26" t="s">
        <v>64</v>
      </c>
      <c r="H18" s="31" t="s">
        <v>521</v>
      </c>
      <c r="I18" s="55"/>
      <c r="J18" s="117"/>
    </row>
    <row r="19" spans="1:10" s="5" customFormat="1" ht="20.100000000000001" customHeight="1" x14ac:dyDescent="0.3">
      <c r="A19" s="76"/>
      <c r="B19" s="66">
        <v>15</v>
      </c>
      <c r="C19" s="763"/>
      <c r="D19" s="276" t="s">
        <v>28</v>
      </c>
      <c r="E19" s="277" t="s">
        <v>63</v>
      </c>
      <c r="F19" s="279"/>
      <c r="G19" s="276" t="s">
        <v>475</v>
      </c>
      <c r="H19" s="120" t="s">
        <v>522</v>
      </c>
      <c r="I19" s="301" t="s">
        <v>523</v>
      </c>
      <c r="J19" s="117"/>
    </row>
    <row r="20" spans="1:10" s="5" customFormat="1" ht="20.100000000000001" customHeight="1" x14ac:dyDescent="0.3">
      <c r="A20" s="76"/>
      <c r="B20" s="66">
        <v>16</v>
      </c>
      <c r="C20" s="763"/>
      <c r="D20" s="276" t="s">
        <v>28</v>
      </c>
      <c r="E20" s="253"/>
      <c r="F20" s="250"/>
      <c r="G20" s="252"/>
      <c r="H20" s="120" t="s">
        <v>524</v>
      </c>
      <c r="I20" s="301" t="s">
        <v>476</v>
      </c>
      <c r="J20" s="117"/>
    </row>
    <row r="21" spans="1:10" s="5" customFormat="1" ht="20.100000000000001" customHeight="1" x14ac:dyDescent="0.3">
      <c r="A21" s="76"/>
      <c r="B21" s="250">
        <v>17</v>
      </c>
      <c r="C21" s="763"/>
      <c r="D21" s="252"/>
      <c r="E21" s="253"/>
      <c r="F21" s="293"/>
      <c r="G21" s="252"/>
      <c r="H21" s="254"/>
      <c r="I21" s="55"/>
      <c r="J21" s="117"/>
    </row>
    <row r="22" spans="1:10" s="5" customFormat="1" ht="20.100000000000001" customHeight="1" x14ac:dyDescent="0.3">
      <c r="A22" s="76"/>
      <c r="B22" s="250">
        <v>18</v>
      </c>
      <c r="C22" s="763"/>
      <c r="D22" s="252"/>
      <c r="E22" s="253"/>
      <c r="F22" s="250"/>
      <c r="G22" s="252"/>
      <c r="H22" s="254"/>
      <c r="I22" s="55"/>
      <c r="J22" s="117"/>
    </row>
    <row r="23" spans="1:10" s="5" customFormat="1" ht="20.100000000000001" customHeight="1" x14ac:dyDescent="0.3">
      <c r="A23" s="76"/>
      <c r="B23" s="66">
        <v>19</v>
      </c>
      <c r="C23" s="763"/>
      <c r="D23" s="252" t="s">
        <v>6</v>
      </c>
      <c r="E23" s="253" t="s">
        <v>107</v>
      </c>
      <c r="F23" s="371"/>
      <c r="G23" s="252" t="s">
        <v>673</v>
      </c>
      <c r="H23" s="254" t="s">
        <v>674</v>
      </c>
      <c r="I23" s="55"/>
      <c r="J23" s="117"/>
    </row>
    <row r="24" spans="1:10" s="5" customFormat="1" ht="20.100000000000001" customHeight="1" x14ac:dyDescent="0.3">
      <c r="A24" s="76"/>
      <c r="B24" s="250">
        <v>20</v>
      </c>
      <c r="C24" s="763"/>
      <c r="D24" s="34"/>
      <c r="E24" s="35"/>
      <c r="F24" s="21"/>
      <c r="G24" s="69"/>
      <c r="H24" s="78"/>
      <c r="I24" s="61" t="s">
        <v>193</v>
      </c>
      <c r="J24" s="117"/>
    </row>
    <row r="25" spans="1:10" s="5" customFormat="1" ht="20.100000000000001" customHeight="1" x14ac:dyDescent="0.3">
      <c r="A25" s="76"/>
      <c r="B25" s="66">
        <v>21</v>
      </c>
      <c r="C25" s="763"/>
      <c r="D25" s="26" t="s">
        <v>28</v>
      </c>
      <c r="E25" s="38" t="s">
        <v>71</v>
      </c>
      <c r="F25" s="21"/>
      <c r="G25" s="20" t="s">
        <v>48</v>
      </c>
      <c r="H25" s="31" t="s">
        <v>525</v>
      </c>
      <c r="I25" s="55"/>
      <c r="J25" s="117"/>
    </row>
    <row r="26" spans="1:10" s="5" customFormat="1" ht="20.100000000000001" customHeight="1" x14ac:dyDescent="0.3">
      <c r="A26" s="76"/>
      <c r="B26" s="66">
        <v>22</v>
      </c>
      <c r="C26" s="763"/>
      <c r="D26" s="26" t="s">
        <v>28</v>
      </c>
      <c r="E26" s="38"/>
      <c r="F26" s="21"/>
      <c r="G26" s="20"/>
      <c r="H26" s="120" t="s">
        <v>526</v>
      </c>
      <c r="I26" s="301" t="s">
        <v>476</v>
      </c>
      <c r="J26" s="117"/>
    </row>
    <row r="27" spans="1:10" s="5" customFormat="1" ht="20.100000000000001" customHeight="1" x14ac:dyDescent="0.3">
      <c r="A27" s="76"/>
      <c r="B27" s="20">
        <v>23</v>
      </c>
      <c r="C27" s="763"/>
      <c r="D27" s="21"/>
      <c r="E27" s="22"/>
      <c r="F27" s="21"/>
      <c r="G27" s="20"/>
      <c r="H27" s="77"/>
      <c r="I27" s="55"/>
      <c r="J27" s="117"/>
    </row>
    <row r="28" spans="1:10" s="5" customFormat="1" ht="20.100000000000001" customHeight="1" x14ac:dyDescent="0.3">
      <c r="A28" s="76"/>
      <c r="B28" s="20">
        <v>24</v>
      </c>
      <c r="C28" s="763"/>
      <c r="D28" s="21"/>
      <c r="E28" s="22"/>
      <c r="F28" s="21"/>
      <c r="G28" s="20"/>
      <c r="H28" s="77"/>
      <c r="I28" s="55"/>
      <c r="J28" s="117"/>
    </row>
    <row r="29" spans="1:10" s="112" customFormat="1" ht="21.95" customHeight="1" x14ac:dyDescent="0.3">
      <c r="A29" s="251" t="s">
        <v>33</v>
      </c>
      <c r="B29" s="66">
        <v>1</v>
      </c>
      <c r="C29" s="766" t="s">
        <v>70</v>
      </c>
      <c r="D29" s="109" t="str">
        <f>D5</f>
        <v>T1</v>
      </c>
      <c r="E29" s="109" t="str">
        <f>E5</f>
        <v>PITR</v>
      </c>
      <c r="F29" s="109" t="str">
        <f>F5</f>
        <v>주</v>
      </c>
      <c r="G29" s="109" t="str">
        <f>G5</f>
        <v>154kV 춘천-북춘천#1,2</v>
      </c>
      <c r="H29" s="109" t="str">
        <f>H5</f>
        <v>춘천-(1:통합단말:1)-북춘천</v>
      </c>
      <c r="I29" s="113"/>
      <c r="J29" s="119"/>
    </row>
    <row r="30" spans="1:10" s="5" customFormat="1" ht="21.95" customHeight="1" x14ac:dyDescent="0.3">
      <c r="A30" s="121" t="s">
        <v>56</v>
      </c>
      <c r="B30" s="66">
        <v>2</v>
      </c>
      <c r="C30" s="766"/>
      <c r="D30" s="20"/>
      <c r="E30" s="23"/>
      <c r="F30" s="23"/>
      <c r="G30" s="23"/>
      <c r="H30" s="79"/>
      <c r="I30" s="70"/>
      <c r="J30" s="117"/>
    </row>
    <row r="31" spans="1:10" s="5" customFormat="1" ht="21.95" customHeight="1" x14ac:dyDescent="0.3">
      <c r="A31" s="273" t="s">
        <v>528</v>
      </c>
      <c r="B31" s="66">
        <v>3</v>
      </c>
      <c r="C31" s="766"/>
      <c r="D31" s="20"/>
      <c r="E31" s="23"/>
      <c r="F31" s="23"/>
      <c r="G31" s="23"/>
      <c r="H31" s="79"/>
      <c r="I31" s="53" t="s">
        <v>173</v>
      </c>
      <c r="J31" s="117"/>
    </row>
    <row r="32" spans="1:10" s="5" customFormat="1" ht="21.95" customHeight="1" x14ac:dyDescent="0.3">
      <c r="A32" s="76"/>
      <c r="B32" s="66">
        <v>4</v>
      </c>
      <c r="C32" s="766"/>
      <c r="D32" s="20"/>
      <c r="E32" s="23"/>
      <c r="F32" s="69"/>
      <c r="G32" s="69"/>
      <c r="H32" s="31"/>
      <c r="I32" s="53" t="s">
        <v>174</v>
      </c>
      <c r="J32" s="117"/>
    </row>
    <row r="33" spans="1:18" s="5" customFormat="1" ht="21.95" customHeight="1" x14ac:dyDescent="0.3">
      <c r="A33" s="76"/>
      <c r="B33" s="250">
        <v>5</v>
      </c>
      <c r="C33" s="766"/>
      <c r="D33" s="20"/>
      <c r="E33" s="23"/>
      <c r="F33" s="23"/>
      <c r="G33" s="23"/>
      <c r="H33" s="31"/>
      <c r="I33" s="53" t="s">
        <v>176</v>
      </c>
      <c r="J33" s="117"/>
    </row>
    <row r="34" spans="1:18" s="5" customFormat="1" ht="21.95" customHeight="1" x14ac:dyDescent="0.3">
      <c r="A34" s="76"/>
      <c r="B34" s="250">
        <v>6</v>
      </c>
      <c r="C34" s="766"/>
      <c r="D34" s="26"/>
      <c r="E34" s="38"/>
      <c r="F34" s="26"/>
      <c r="G34" s="26"/>
      <c r="H34" s="31"/>
      <c r="I34" s="55"/>
      <c r="J34" s="117"/>
    </row>
    <row r="35" spans="1:18" s="5" customFormat="1" ht="21.95" customHeight="1" x14ac:dyDescent="0.3">
      <c r="A35" s="76"/>
      <c r="B35" s="66">
        <v>7</v>
      </c>
      <c r="C35" s="766"/>
      <c r="D35" s="500" t="str">
        <f>D17</f>
        <v>E1</v>
      </c>
      <c r="E35" s="500" t="str">
        <f>E17</f>
        <v>CCTV</v>
      </c>
      <c r="F35" s="500"/>
      <c r="G35" s="500" t="str">
        <f>G17</f>
        <v>북춘천 집수정 카메라</v>
      </c>
      <c r="H35" s="500" t="str">
        <f>H17</f>
        <v>춘천-(13:통합단말:7)-북춘천</v>
      </c>
      <c r="I35" s="501" t="s">
        <v>799</v>
      </c>
      <c r="J35" s="301"/>
      <c r="K35" s="502"/>
      <c r="L35" s="502"/>
      <c r="M35" s="502"/>
      <c r="N35" s="502"/>
      <c r="O35" s="502"/>
      <c r="P35" s="502"/>
      <c r="Q35" s="502"/>
      <c r="R35" s="502"/>
    </row>
    <row r="36" spans="1:18" s="5" customFormat="1" ht="21.95" customHeight="1" x14ac:dyDescent="0.3">
      <c r="A36" s="76"/>
      <c r="B36" s="66">
        <v>8</v>
      </c>
      <c r="C36" s="766"/>
      <c r="D36" s="26" t="str">
        <f>D10</f>
        <v>E1</v>
      </c>
      <c r="E36" s="26" t="str">
        <f>E10</f>
        <v>LAN</v>
      </c>
      <c r="F36" s="26">
        <f>F10</f>
        <v>0</v>
      </c>
      <c r="G36" s="26" t="str">
        <f>G10</f>
        <v>춘천수력</v>
      </c>
      <c r="H36" s="26" t="str">
        <f>H10</f>
        <v>춘천-(6:통합단말:8)-북춘천-11-춘천HP</v>
      </c>
      <c r="I36" s="70" t="s">
        <v>177</v>
      </c>
      <c r="J36" s="117"/>
    </row>
    <row r="37" spans="1:18" s="5" customFormat="1" ht="21.95" customHeight="1" x14ac:dyDescent="0.3">
      <c r="A37" s="76"/>
      <c r="B37" s="66" t="s">
        <v>624</v>
      </c>
      <c r="C37" s="766" t="s">
        <v>69</v>
      </c>
      <c r="D37" s="69" t="s">
        <v>30</v>
      </c>
      <c r="E37" s="38" t="s">
        <v>151</v>
      </c>
      <c r="F37" s="38" t="s">
        <v>29</v>
      </c>
      <c r="G37" s="38" t="s">
        <v>134</v>
      </c>
      <c r="H37" s="75" t="s">
        <v>527</v>
      </c>
      <c r="I37" s="70" t="s">
        <v>169</v>
      </c>
      <c r="J37" s="117"/>
    </row>
    <row r="38" spans="1:18" s="5" customFormat="1" ht="21.95" customHeight="1" x14ac:dyDescent="0.3">
      <c r="A38" s="76"/>
      <c r="B38" s="250" t="s">
        <v>625</v>
      </c>
      <c r="C38" s="766"/>
      <c r="D38" s="69" t="s">
        <v>30</v>
      </c>
      <c r="E38" s="4"/>
      <c r="F38" s="20"/>
      <c r="G38" s="20"/>
      <c r="H38" s="77"/>
      <c r="I38" s="55"/>
      <c r="J38" s="117"/>
    </row>
    <row r="39" spans="1:18" s="5" customFormat="1" ht="21.95" customHeight="1" x14ac:dyDescent="0.3">
      <c r="A39" s="76"/>
      <c r="B39" s="250" t="s">
        <v>626</v>
      </c>
      <c r="C39" s="766"/>
      <c r="D39" s="69" t="s">
        <v>30</v>
      </c>
      <c r="E39" s="4"/>
      <c r="F39" s="20"/>
      <c r="G39" s="20"/>
      <c r="H39" s="77"/>
      <c r="I39" s="55"/>
      <c r="J39" s="117"/>
    </row>
    <row r="40" spans="1:18" s="5" customFormat="1" ht="21.95" customHeight="1" x14ac:dyDescent="0.3">
      <c r="A40" s="76"/>
      <c r="B40" s="250" t="s">
        <v>627</v>
      </c>
      <c r="C40" s="766"/>
      <c r="D40" s="69" t="s">
        <v>30</v>
      </c>
      <c r="E40" s="4"/>
      <c r="F40" s="20"/>
      <c r="G40" s="20"/>
      <c r="H40" s="77"/>
      <c r="I40" s="55"/>
      <c r="J40" s="117"/>
    </row>
    <row r="41" spans="1:18" s="5" customFormat="1" ht="21.95" customHeight="1" x14ac:dyDescent="0.3">
      <c r="A41" s="76"/>
      <c r="B41" s="66" t="s">
        <v>628</v>
      </c>
      <c r="C41" s="766"/>
      <c r="D41" s="26" t="s">
        <v>6</v>
      </c>
      <c r="E41" s="23" t="s">
        <v>368</v>
      </c>
      <c r="F41" s="23"/>
      <c r="G41" s="23" t="s">
        <v>616</v>
      </c>
      <c r="H41" s="31" t="s">
        <v>519</v>
      </c>
      <c r="J41" s="117"/>
    </row>
    <row r="42" spans="1:18" s="5" customFormat="1" ht="21.95" customHeight="1" x14ac:dyDescent="0.3">
      <c r="A42" s="76"/>
      <c r="B42" s="250" t="s">
        <v>629</v>
      </c>
      <c r="C42" s="766"/>
      <c r="D42" s="20"/>
      <c r="E42" s="4"/>
      <c r="F42" s="20"/>
      <c r="G42" s="20"/>
      <c r="H42" s="77"/>
      <c r="I42" s="55"/>
      <c r="J42" s="117"/>
    </row>
    <row r="43" spans="1:18" s="5" customFormat="1" ht="21.95" customHeight="1" x14ac:dyDescent="0.3">
      <c r="A43" s="76"/>
      <c r="B43" s="250" t="s">
        <v>630</v>
      </c>
      <c r="C43" s="766"/>
      <c r="D43" s="20"/>
      <c r="E43" s="4"/>
      <c r="F43" s="20"/>
      <c r="G43" s="20"/>
      <c r="H43" s="77"/>
      <c r="I43" s="55"/>
      <c r="J43" s="117"/>
    </row>
    <row r="44" spans="1:18" s="5" customFormat="1" ht="21.95" customHeight="1" x14ac:dyDescent="0.3">
      <c r="A44" s="76"/>
      <c r="B44" s="250" t="s">
        <v>631</v>
      </c>
      <c r="C44" s="766"/>
      <c r="D44" s="20"/>
      <c r="E44" s="4"/>
      <c r="F44" s="20"/>
      <c r="G44" s="20"/>
      <c r="H44" s="77"/>
      <c r="I44" s="55"/>
      <c r="J44" s="117"/>
    </row>
    <row r="45" spans="1:18" s="5" customFormat="1" ht="21.95" customHeight="1" x14ac:dyDescent="0.3">
      <c r="A45" s="251" t="s">
        <v>34</v>
      </c>
      <c r="B45" s="66">
        <v>1</v>
      </c>
      <c r="C45" s="766" t="s">
        <v>65</v>
      </c>
      <c r="D45" s="109"/>
      <c r="E45" s="110"/>
      <c r="F45" s="109"/>
      <c r="G45" s="109"/>
      <c r="H45" s="108"/>
      <c r="I45" s="53" t="s">
        <v>173</v>
      </c>
      <c r="J45" s="117"/>
    </row>
    <row r="46" spans="1:18" s="5" customFormat="1" ht="21.95" customHeight="1" x14ac:dyDescent="0.3">
      <c r="A46" s="121" t="s">
        <v>59</v>
      </c>
      <c r="B46" s="66">
        <v>2</v>
      </c>
      <c r="C46" s="766"/>
      <c r="D46" s="26" t="s">
        <v>111</v>
      </c>
      <c r="E46" s="26" t="s">
        <v>112</v>
      </c>
      <c r="F46" s="26" t="s">
        <v>113</v>
      </c>
      <c r="G46" s="26" t="s">
        <v>110</v>
      </c>
      <c r="H46" s="31" t="s">
        <v>219</v>
      </c>
      <c r="I46" s="53" t="s">
        <v>174</v>
      </c>
      <c r="J46" s="117"/>
    </row>
    <row r="47" spans="1:18" s="112" customFormat="1" ht="21.95" customHeight="1" x14ac:dyDescent="0.3">
      <c r="A47" s="273" t="s">
        <v>528</v>
      </c>
      <c r="B47" s="66">
        <v>3</v>
      </c>
      <c r="C47" s="766"/>
      <c r="D47" s="133" t="s">
        <v>28</v>
      </c>
      <c r="E47" s="133" t="s">
        <v>30</v>
      </c>
      <c r="F47" s="133"/>
      <c r="G47" s="133" t="s">
        <v>256</v>
      </c>
      <c r="H47" s="135" t="s">
        <v>155</v>
      </c>
      <c r="I47" s="113"/>
      <c r="J47" s="119"/>
    </row>
    <row r="48" spans="1:18" s="5" customFormat="1" ht="21.95" customHeight="1" x14ac:dyDescent="0.3">
      <c r="A48" s="76"/>
      <c r="B48" s="66">
        <v>4</v>
      </c>
      <c r="C48" s="766"/>
      <c r="D48" s="26" t="s">
        <v>28</v>
      </c>
      <c r="E48" s="26" t="s">
        <v>368</v>
      </c>
      <c r="F48" s="26"/>
      <c r="G48" s="31" t="s">
        <v>618</v>
      </c>
      <c r="H48" s="353" t="s">
        <v>564</v>
      </c>
      <c r="I48" s="352" t="s">
        <v>565</v>
      </c>
      <c r="J48" s="117"/>
    </row>
    <row r="49" spans="1:10" s="5" customFormat="1" ht="21.95" customHeight="1" x14ac:dyDescent="0.3">
      <c r="A49" s="76"/>
      <c r="B49" s="66">
        <v>5</v>
      </c>
      <c r="C49" s="766"/>
      <c r="D49" s="26" t="s">
        <v>25</v>
      </c>
      <c r="E49" s="26" t="s">
        <v>26</v>
      </c>
      <c r="F49" s="26" t="s">
        <v>27</v>
      </c>
      <c r="G49" s="26" t="s">
        <v>257</v>
      </c>
      <c r="H49" s="31" t="s">
        <v>258</v>
      </c>
      <c r="I49" s="55"/>
      <c r="J49" s="117"/>
    </row>
    <row r="50" spans="1:10" s="5" customFormat="1" ht="21.95" customHeight="1" x14ac:dyDescent="0.3">
      <c r="A50" s="76"/>
      <c r="B50" s="66">
        <v>6</v>
      </c>
      <c r="C50" s="766"/>
      <c r="D50" s="20"/>
      <c r="E50" s="4"/>
      <c r="F50" s="4"/>
      <c r="G50" s="4"/>
      <c r="H50" s="378"/>
      <c r="I50" s="55"/>
      <c r="J50" s="117"/>
    </row>
    <row r="51" spans="1:10" s="5" customFormat="1" ht="21.95" customHeight="1" x14ac:dyDescent="0.3">
      <c r="A51" s="76"/>
      <c r="B51" s="250">
        <v>7</v>
      </c>
      <c r="C51" s="766"/>
      <c r="D51" s="379"/>
      <c r="E51" s="380"/>
      <c r="F51" s="250"/>
      <c r="G51" s="309"/>
      <c r="H51" s="354"/>
      <c r="I51" s="55"/>
      <c r="J51" s="117"/>
    </row>
    <row r="52" spans="1:10" s="5" customFormat="1" ht="21.95" customHeight="1" x14ac:dyDescent="0.3">
      <c r="A52" s="76"/>
      <c r="B52" s="250">
        <v>8</v>
      </c>
      <c r="C52" s="766"/>
      <c r="D52" s="379"/>
      <c r="E52" s="380"/>
      <c r="F52" s="377"/>
      <c r="G52" s="309"/>
      <c r="H52" s="354"/>
      <c r="I52" s="55"/>
      <c r="J52" s="117"/>
    </row>
    <row r="53" spans="1:10" s="5" customFormat="1" ht="21.95" customHeight="1" x14ac:dyDescent="0.3">
      <c r="A53" s="76"/>
      <c r="B53" s="66" t="s">
        <v>624</v>
      </c>
      <c r="C53" s="766" t="s">
        <v>66</v>
      </c>
      <c r="D53" s="24" t="s">
        <v>57</v>
      </c>
      <c r="E53" s="381" t="s">
        <v>63</v>
      </c>
      <c r="F53" s="382"/>
      <c r="G53" s="382" t="s">
        <v>64</v>
      </c>
      <c r="H53" s="378" t="s">
        <v>521</v>
      </c>
      <c r="I53" s="55"/>
      <c r="J53" s="117"/>
    </row>
    <row r="54" spans="1:10" s="5" customFormat="1" ht="21.95" customHeight="1" x14ac:dyDescent="0.3">
      <c r="A54" s="76"/>
      <c r="B54" s="250" t="s">
        <v>625</v>
      </c>
      <c r="C54" s="766"/>
      <c r="D54" s="20"/>
      <c r="E54" s="4"/>
      <c r="F54" s="20"/>
      <c r="G54" s="20"/>
      <c r="H54" s="77"/>
      <c r="I54" s="55"/>
      <c r="J54" s="117"/>
    </row>
    <row r="55" spans="1:10" s="5" customFormat="1" ht="21.95" customHeight="1" x14ac:dyDescent="0.3">
      <c r="A55" s="76"/>
      <c r="B55" s="250" t="s">
        <v>626</v>
      </c>
      <c r="C55" s="766"/>
      <c r="D55" s="20"/>
      <c r="E55" s="4"/>
      <c r="F55" s="20"/>
      <c r="G55" s="20"/>
      <c r="H55" s="77"/>
      <c r="I55" s="55"/>
      <c r="J55" s="117"/>
    </row>
    <row r="56" spans="1:10" s="5" customFormat="1" ht="21.95" customHeight="1" x14ac:dyDescent="0.3">
      <c r="A56" s="76"/>
      <c r="B56" s="250" t="s">
        <v>627</v>
      </c>
      <c r="C56" s="766"/>
      <c r="D56" s="20"/>
      <c r="E56" s="4"/>
      <c r="F56" s="20"/>
      <c r="G56" s="20"/>
      <c r="H56" s="77"/>
      <c r="I56" s="55"/>
      <c r="J56" s="117"/>
    </row>
    <row r="57" spans="1:10" s="5" customFormat="1" ht="21.95" customHeight="1" x14ac:dyDescent="0.3">
      <c r="A57" s="76"/>
      <c r="B57" s="250" t="s">
        <v>628</v>
      </c>
      <c r="C57" s="766"/>
      <c r="D57" s="252"/>
      <c r="E57" s="253"/>
      <c r="F57" s="250"/>
      <c r="G57" s="252"/>
      <c r="H57" s="254"/>
      <c r="I57" s="55"/>
      <c r="J57" s="117"/>
    </row>
    <row r="58" spans="1:10" s="5" customFormat="1" ht="21.95" customHeight="1" x14ac:dyDescent="0.3">
      <c r="A58" s="76"/>
      <c r="B58" s="66" t="s">
        <v>629</v>
      </c>
      <c r="C58" s="766"/>
      <c r="D58" s="373" t="s">
        <v>28</v>
      </c>
      <c r="E58" s="374" t="s">
        <v>107</v>
      </c>
      <c r="F58" s="375"/>
      <c r="G58" s="373" t="s">
        <v>259</v>
      </c>
      <c r="H58" s="376" t="s">
        <v>96</v>
      </c>
      <c r="I58" s="55"/>
      <c r="J58" s="117"/>
    </row>
    <row r="59" spans="1:10" s="5" customFormat="1" ht="21.95" customHeight="1" x14ac:dyDescent="0.3">
      <c r="A59" s="76"/>
      <c r="B59" s="250" t="s">
        <v>630</v>
      </c>
      <c r="C59" s="766"/>
      <c r="D59" s="26"/>
      <c r="E59" s="46"/>
      <c r="F59" s="45"/>
      <c r="G59" s="45"/>
      <c r="H59" s="15"/>
      <c r="I59" s="56" t="s">
        <v>168</v>
      </c>
      <c r="J59" s="117"/>
    </row>
    <row r="60" spans="1:10" s="5" customFormat="1" ht="21.95" customHeight="1" x14ac:dyDescent="0.3">
      <c r="A60" s="76"/>
      <c r="B60" s="250" t="s">
        <v>631</v>
      </c>
      <c r="C60" s="766"/>
      <c r="D60" s="20"/>
      <c r="E60" s="4"/>
      <c r="F60" s="20"/>
      <c r="G60" s="20"/>
      <c r="H60" s="77"/>
      <c r="I60" s="55"/>
      <c r="J60" s="117"/>
    </row>
    <row r="61" spans="1:10" s="5" customFormat="1" ht="21.95" customHeight="1" x14ac:dyDescent="0.3">
      <c r="A61" s="251" t="s">
        <v>48</v>
      </c>
      <c r="B61" s="66">
        <v>1</v>
      </c>
      <c r="C61" s="766" t="s">
        <v>67</v>
      </c>
      <c r="D61" s="109" t="s">
        <v>139</v>
      </c>
      <c r="E61" s="110" t="s">
        <v>9</v>
      </c>
      <c r="F61" s="109" t="s">
        <v>178</v>
      </c>
      <c r="G61" s="109" t="s">
        <v>257</v>
      </c>
      <c r="H61" s="108" t="s">
        <v>258</v>
      </c>
      <c r="I61" s="55"/>
      <c r="J61" s="117"/>
    </row>
    <row r="62" spans="1:10" s="5" customFormat="1" ht="21.95" customHeight="1" x14ac:dyDescent="0.3">
      <c r="A62" s="121" t="s">
        <v>60</v>
      </c>
      <c r="B62" s="250">
        <v>2</v>
      </c>
      <c r="C62" s="766"/>
      <c r="D62" s="20"/>
      <c r="E62" s="23"/>
      <c r="F62" s="23"/>
      <c r="G62" s="23"/>
      <c r="H62" s="79"/>
      <c r="I62" s="348"/>
      <c r="J62" s="117"/>
    </row>
    <row r="63" spans="1:10" s="5" customFormat="1" ht="21.95" customHeight="1" x14ac:dyDescent="0.3">
      <c r="A63" s="273" t="s">
        <v>555</v>
      </c>
      <c r="B63" s="133">
        <v>3</v>
      </c>
      <c r="C63" s="766"/>
      <c r="D63" s="69"/>
      <c r="E63" s="4"/>
      <c r="F63" s="20"/>
      <c r="G63" s="20"/>
      <c r="H63" s="78"/>
      <c r="I63" s="55"/>
      <c r="J63" s="117"/>
    </row>
    <row r="64" spans="1:10" s="5" customFormat="1" ht="21.95" customHeight="1" x14ac:dyDescent="0.3">
      <c r="A64" s="76"/>
      <c r="B64" s="133">
        <v>4</v>
      </c>
      <c r="C64" s="766"/>
      <c r="D64" s="27"/>
      <c r="E64" s="28"/>
      <c r="F64" s="27"/>
      <c r="G64" s="27"/>
      <c r="H64" s="80"/>
      <c r="I64" s="55"/>
      <c r="J64" s="117"/>
    </row>
    <row r="65" spans="1:10" s="5" customFormat="1" ht="21.95" customHeight="1" x14ac:dyDescent="0.3">
      <c r="A65" s="76"/>
      <c r="B65" s="250">
        <v>5</v>
      </c>
      <c r="C65" s="766"/>
      <c r="D65" s="20"/>
      <c r="E65" s="23"/>
      <c r="F65" s="23"/>
      <c r="G65" s="23"/>
      <c r="H65" s="31"/>
      <c r="I65" s="53" t="s">
        <v>176</v>
      </c>
      <c r="J65" s="117"/>
    </row>
    <row r="66" spans="1:10" s="5" customFormat="1" ht="21.95" customHeight="1" x14ac:dyDescent="0.3">
      <c r="A66" s="76"/>
      <c r="B66" s="250">
        <v>6</v>
      </c>
      <c r="C66" s="766"/>
      <c r="D66" s="69"/>
      <c r="E66" s="23"/>
      <c r="F66" s="20"/>
      <c r="G66" s="69"/>
      <c r="H66" s="78"/>
      <c r="I66" s="61" t="s">
        <v>193</v>
      </c>
      <c r="J66" s="117"/>
    </row>
    <row r="67" spans="1:10" s="5" customFormat="1" ht="21.95" customHeight="1" x14ac:dyDescent="0.3">
      <c r="A67" s="76"/>
      <c r="B67" s="20">
        <v>7</v>
      </c>
      <c r="C67" s="766"/>
      <c r="D67" s="20"/>
      <c r="E67" s="4"/>
      <c r="F67" s="20"/>
      <c r="G67" s="20"/>
      <c r="H67" s="77"/>
      <c r="I67" s="55"/>
      <c r="J67" s="117"/>
    </row>
    <row r="68" spans="1:10" s="5" customFormat="1" ht="21.95" customHeight="1" x14ac:dyDescent="0.3">
      <c r="A68" s="76"/>
      <c r="B68" s="20">
        <v>8</v>
      </c>
      <c r="C68" s="766"/>
      <c r="D68" s="20"/>
      <c r="E68" s="4"/>
      <c r="F68" s="20"/>
      <c r="G68" s="20"/>
      <c r="H68" s="77"/>
      <c r="I68" s="55"/>
      <c r="J68" s="117"/>
    </row>
    <row r="69" spans="1:10" s="5" customFormat="1" ht="21.95" customHeight="1" x14ac:dyDescent="0.3">
      <c r="A69" s="76"/>
      <c r="B69" s="66" t="s">
        <v>624</v>
      </c>
      <c r="C69" s="766" t="s">
        <v>68</v>
      </c>
      <c r="D69" s="20" t="s">
        <v>57</v>
      </c>
      <c r="E69" s="277" t="s">
        <v>63</v>
      </c>
      <c r="F69" s="279"/>
      <c r="G69" s="276" t="s">
        <v>475</v>
      </c>
      <c r="H69" s="120" t="s">
        <v>522</v>
      </c>
      <c r="I69" s="301" t="s">
        <v>523</v>
      </c>
      <c r="J69" s="117"/>
    </row>
    <row r="70" spans="1:10" s="5" customFormat="1" ht="21.95" customHeight="1" x14ac:dyDescent="0.3">
      <c r="A70" s="76"/>
      <c r="B70" s="66" t="s">
        <v>625</v>
      </c>
      <c r="C70" s="766"/>
      <c r="D70" s="20" t="s">
        <v>57</v>
      </c>
      <c r="E70" s="4"/>
      <c r="F70" s="20"/>
      <c r="G70" s="20"/>
      <c r="H70" s="120" t="s">
        <v>526</v>
      </c>
      <c r="I70" s="301" t="s">
        <v>476</v>
      </c>
      <c r="J70" s="117"/>
    </row>
    <row r="71" spans="1:10" s="5" customFormat="1" ht="21.95" customHeight="1" x14ac:dyDescent="0.3">
      <c r="A71" s="76"/>
      <c r="B71" s="66" t="s">
        <v>626</v>
      </c>
      <c r="C71" s="766"/>
      <c r="D71" s="20" t="s">
        <v>57</v>
      </c>
      <c r="E71" s="4"/>
      <c r="F71" s="20"/>
      <c r="G71" s="20"/>
      <c r="H71" s="120" t="s">
        <v>524</v>
      </c>
      <c r="I71" s="301" t="s">
        <v>476</v>
      </c>
      <c r="J71" s="117"/>
    </row>
    <row r="72" spans="1:10" s="5" customFormat="1" ht="21.95" customHeight="1" x14ac:dyDescent="0.3">
      <c r="A72" s="76"/>
      <c r="B72" s="250" t="s">
        <v>627</v>
      </c>
      <c r="C72" s="766"/>
      <c r="D72" s="20" t="s">
        <v>57</v>
      </c>
      <c r="E72" s="4"/>
      <c r="F72" s="20"/>
      <c r="G72" s="20"/>
      <c r="H72" s="77"/>
      <c r="I72" s="55"/>
      <c r="J72" s="117"/>
    </row>
    <row r="73" spans="1:10" s="5" customFormat="1" ht="21.95" customHeight="1" x14ac:dyDescent="0.3">
      <c r="A73" s="76"/>
      <c r="B73" s="250" t="s">
        <v>628</v>
      </c>
      <c r="C73" s="766"/>
      <c r="D73" s="20"/>
      <c r="E73" s="4"/>
      <c r="F73" s="20"/>
      <c r="G73" s="20"/>
      <c r="H73" s="77"/>
      <c r="I73" s="55"/>
      <c r="J73" s="117"/>
    </row>
    <row r="74" spans="1:10" s="5" customFormat="1" ht="21.95" customHeight="1" x14ac:dyDescent="0.3">
      <c r="A74" s="76"/>
      <c r="B74" s="250" t="s">
        <v>629</v>
      </c>
      <c r="C74" s="766"/>
      <c r="D74" s="20"/>
      <c r="E74" s="4"/>
      <c r="F74" s="20"/>
      <c r="G74" s="20"/>
      <c r="H74" s="77"/>
      <c r="I74" s="55"/>
      <c r="J74" s="117"/>
    </row>
    <row r="75" spans="1:10" s="5" customFormat="1" ht="21.95" customHeight="1" x14ac:dyDescent="0.3">
      <c r="A75" s="76"/>
      <c r="B75" s="250" t="s">
        <v>630</v>
      </c>
      <c r="C75" s="766"/>
      <c r="D75" s="20"/>
      <c r="E75" s="4"/>
      <c r="F75" s="20"/>
      <c r="G75" s="20"/>
      <c r="H75" s="77"/>
      <c r="I75" s="55"/>
      <c r="J75" s="117"/>
    </row>
    <row r="76" spans="1:10" s="5" customFormat="1" ht="21.95" customHeight="1" x14ac:dyDescent="0.3">
      <c r="A76" s="81"/>
      <c r="B76" s="250" t="s">
        <v>631</v>
      </c>
      <c r="C76" s="767"/>
      <c r="D76" s="82"/>
      <c r="E76" s="84"/>
      <c r="F76" s="82"/>
      <c r="G76" s="82"/>
      <c r="H76" s="85"/>
      <c r="I76" s="55"/>
      <c r="J76" s="117"/>
    </row>
  </sheetData>
  <mergeCells count="9">
    <mergeCell ref="C5:C28"/>
    <mergeCell ref="A1:H1"/>
    <mergeCell ref="D4:G4"/>
    <mergeCell ref="C69:C76"/>
    <mergeCell ref="C61:C68"/>
    <mergeCell ref="C53:C60"/>
    <mergeCell ref="C45:C52"/>
    <mergeCell ref="C37:C44"/>
    <mergeCell ref="C29:C36"/>
  </mergeCells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69" fitToHeight="4" orientation="portrait" r:id="rId1"/>
  <rowBreaks count="1" manualBreakCount="1">
    <brk id="28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I100"/>
  <sheetViews>
    <sheetView view="pageBreakPreview" topLeftCell="A70" zoomScale="60" zoomScaleNormal="100" workbookViewId="0">
      <selection activeCell="G55" sqref="G55"/>
    </sheetView>
  </sheetViews>
  <sheetFormatPr defaultRowHeight="16.5" x14ac:dyDescent="0.3"/>
  <cols>
    <col min="1" max="1" width="14.625" style="1" customWidth="1"/>
    <col min="2" max="2" width="7.625" style="5" customWidth="1"/>
    <col min="3" max="3" width="7.625" style="1" customWidth="1"/>
    <col min="4" max="4" width="5.625" style="2" customWidth="1"/>
    <col min="5" max="5" width="12.625" style="3" customWidth="1"/>
    <col min="6" max="6" width="5.625" style="2" customWidth="1"/>
    <col min="7" max="7" width="31.75" style="2" customWidth="1"/>
    <col min="8" max="8" width="49.375" style="1" customWidth="1"/>
    <col min="9" max="9" width="17.875" style="1" customWidth="1"/>
    <col min="10" max="16384" width="9" style="1"/>
  </cols>
  <sheetData>
    <row r="1" spans="1:8" ht="38.25" x14ac:dyDescent="0.3">
      <c r="A1" s="764" t="s">
        <v>817</v>
      </c>
      <c r="B1" s="764"/>
      <c r="C1" s="764"/>
      <c r="D1" s="764"/>
      <c r="E1" s="764"/>
      <c r="F1" s="764"/>
      <c r="G1" s="764"/>
      <c r="H1" s="764"/>
    </row>
    <row r="4" spans="1:8" s="5" customFormat="1" ht="30" customHeight="1" x14ac:dyDescent="0.3">
      <c r="A4" s="71" t="s">
        <v>52</v>
      </c>
      <c r="B4" s="72" t="s">
        <v>2</v>
      </c>
      <c r="C4" s="72" t="s">
        <v>3</v>
      </c>
      <c r="D4" s="765" t="s">
        <v>53</v>
      </c>
      <c r="E4" s="765"/>
      <c r="F4" s="765"/>
      <c r="G4" s="765"/>
      <c r="H4" s="73" t="s">
        <v>5</v>
      </c>
    </row>
    <row r="5" spans="1:8" s="5" customFormat="1" ht="20.100000000000001" customHeight="1" x14ac:dyDescent="0.3">
      <c r="A5" s="114" t="s">
        <v>16</v>
      </c>
      <c r="B5" s="111">
        <v>1</v>
      </c>
      <c r="C5" s="768" t="s">
        <v>54</v>
      </c>
      <c r="D5" s="109"/>
      <c r="E5" s="110"/>
      <c r="F5" s="308"/>
      <c r="G5" s="308"/>
      <c r="H5" s="108"/>
    </row>
    <row r="6" spans="1:8" s="5" customFormat="1" ht="20.100000000000001" customHeight="1" x14ac:dyDescent="0.3">
      <c r="A6" s="302" t="s">
        <v>51</v>
      </c>
      <c r="B6" s="250">
        <v>2</v>
      </c>
      <c r="C6" s="768"/>
      <c r="D6" s="252"/>
      <c r="E6" s="253"/>
      <c r="F6" s="252"/>
      <c r="G6" s="252"/>
      <c r="H6" s="254"/>
    </row>
    <row r="7" spans="1:8" s="5" customFormat="1" ht="20.100000000000001" customHeight="1" x14ac:dyDescent="0.3">
      <c r="A7" s="275" t="s">
        <v>528</v>
      </c>
      <c r="B7" s="250">
        <v>3</v>
      </c>
      <c r="C7" s="768"/>
      <c r="D7" s="303"/>
      <c r="E7" s="258"/>
      <c r="F7" s="303"/>
      <c r="G7" s="303"/>
      <c r="H7" s="135"/>
    </row>
    <row r="8" spans="1:8" s="5" customFormat="1" ht="20.100000000000001" customHeight="1" x14ac:dyDescent="0.3">
      <c r="A8" s="257"/>
      <c r="B8" s="250">
        <v>4</v>
      </c>
      <c r="C8" s="768"/>
      <c r="D8" s="252"/>
      <c r="E8" s="253"/>
      <c r="F8" s="252"/>
      <c r="G8" s="252"/>
      <c r="H8" s="254"/>
    </row>
    <row r="9" spans="1:8" s="5" customFormat="1" ht="20.100000000000001" customHeight="1" x14ac:dyDescent="0.3">
      <c r="A9" s="257"/>
      <c r="B9" s="66">
        <v>5</v>
      </c>
      <c r="C9" s="768"/>
      <c r="D9" s="133" t="s">
        <v>6</v>
      </c>
      <c r="E9" s="253" t="s">
        <v>147</v>
      </c>
      <c r="F9" s="252"/>
      <c r="G9" s="252" t="s">
        <v>506</v>
      </c>
      <c r="H9" s="254" t="s">
        <v>529</v>
      </c>
    </row>
    <row r="10" spans="1:8" s="112" customFormat="1" ht="20.100000000000001" customHeight="1" x14ac:dyDescent="0.3">
      <c r="A10" s="257"/>
      <c r="B10" s="66">
        <v>6</v>
      </c>
      <c r="C10" s="768"/>
      <c r="D10" s="133" t="s">
        <v>139</v>
      </c>
      <c r="E10" s="134" t="s">
        <v>140</v>
      </c>
      <c r="F10" s="133" t="s">
        <v>141</v>
      </c>
      <c r="G10" s="133" t="s">
        <v>157</v>
      </c>
      <c r="H10" s="135" t="s">
        <v>158</v>
      </c>
    </row>
    <row r="11" spans="1:8" s="5" customFormat="1" ht="20.100000000000001" customHeight="1" x14ac:dyDescent="0.3">
      <c r="A11" s="257"/>
      <c r="B11" s="66">
        <v>7</v>
      </c>
      <c r="C11" s="768"/>
      <c r="D11" s="133" t="s">
        <v>159</v>
      </c>
      <c r="E11" s="134" t="s">
        <v>160</v>
      </c>
      <c r="F11" s="133"/>
      <c r="G11" s="133" t="s">
        <v>161</v>
      </c>
      <c r="H11" s="135" t="s">
        <v>162</v>
      </c>
    </row>
    <row r="12" spans="1:8" s="5" customFormat="1" ht="20.100000000000001" customHeight="1" x14ac:dyDescent="0.3">
      <c r="A12" s="257"/>
      <c r="B12" s="250">
        <v>8</v>
      </c>
      <c r="C12" s="768"/>
      <c r="D12" s="133"/>
      <c r="E12" s="134"/>
      <c r="F12" s="133"/>
      <c r="G12" s="133"/>
      <c r="H12" s="135"/>
    </row>
    <row r="13" spans="1:8" s="5" customFormat="1" ht="20.100000000000001" customHeight="1" x14ac:dyDescent="0.3">
      <c r="A13" s="257"/>
      <c r="B13" s="66">
        <v>9</v>
      </c>
      <c r="C13" s="768"/>
      <c r="D13" s="133" t="s">
        <v>6</v>
      </c>
      <c r="E13" s="134" t="s">
        <v>617</v>
      </c>
      <c r="F13" s="133"/>
      <c r="G13" s="135" t="s">
        <v>570</v>
      </c>
      <c r="H13" s="135" t="str">
        <f>H79</f>
        <v xml:space="preserve">서홍천 ECSU-(2:통합단말:9)-춘천(구)(PTP#2 : 4) - 본부CSU - ~
</v>
      </c>
    </row>
    <row r="14" spans="1:8" s="5" customFormat="1" ht="20.100000000000001" customHeight="1" x14ac:dyDescent="0.3">
      <c r="A14" s="257"/>
      <c r="B14" s="66">
        <v>10</v>
      </c>
      <c r="C14" s="768"/>
      <c r="D14" s="133" t="s">
        <v>28</v>
      </c>
      <c r="E14" s="380" t="s">
        <v>368</v>
      </c>
      <c r="F14" s="309"/>
      <c r="G14" s="309" t="s">
        <v>530</v>
      </c>
      <c r="H14" s="135" t="s">
        <v>513</v>
      </c>
    </row>
    <row r="15" spans="1:8" s="5" customFormat="1" ht="20.100000000000001" customHeight="1" x14ac:dyDescent="0.3">
      <c r="A15" s="257"/>
      <c r="B15" s="66">
        <v>11</v>
      </c>
      <c r="C15" s="768"/>
      <c r="D15" s="133" t="s">
        <v>28</v>
      </c>
      <c r="E15" s="380" t="s">
        <v>368</v>
      </c>
      <c r="F15" s="309"/>
      <c r="G15" s="309" t="s">
        <v>531</v>
      </c>
      <c r="H15" s="135" t="s">
        <v>514</v>
      </c>
    </row>
    <row r="16" spans="1:8" s="5" customFormat="1" ht="20.100000000000001" customHeight="1" x14ac:dyDescent="0.3">
      <c r="A16" s="257"/>
      <c r="B16" s="66">
        <v>12</v>
      </c>
      <c r="C16" s="768"/>
      <c r="D16" s="133" t="s">
        <v>28</v>
      </c>
      <c r="E16" s="380" t="s">
        <v>368</v>
      </c>
      <c r="F16" s="309"/>
      <c r="G16" s="309" t="s">
        <v>532</v>
      </c>
      <c r="H16" s="135" t="s">
        <v>515</v>
      </c>
    </row>
    <row r="17" spans="1:9" s="5" customFormat="1" ht="20.100000000000001" customHeight="1" x14ac:dyDescent="0.3">
      <c r="A17" s="257"/>
      <c r="B17" s="250">
        <v>13</v>
      </c>
      <c r="C17" s="768"/>
      <c r="D17" s="252"/>
      <c r="E17" s="253"/>
      <c r="F17" s="252"/>
      <c r="G17" s="252"/>
      <c r="H17" s="254"/>
    </row>
    <row r="18" spans="1:9" s="5" customFormat="1" ht="20.100000000000001" customHeight="1" x14ac:dyDescent="0.3">
      <c r="A18" s="257"/>
      <c r="B18" s="66">
        <v>14</v>
      </c>
      <c r="C18" s="768"/>
      <c r="D18" s="309" t="s">
        <v>6</v>
      </c>
      <c r="E18" s="134" t="s">
        <v>151</v>
      </c>
      <c r="F18" s="134" t="s">
        <v>29</v>
      </c>
      <c r="G18" s="134" t="s">
        <v>135</v>
      </c>
      <c r="H18" s="304" t="s">
        <v>536</v>
      </c>
      <c r="I18" s="70" t="s">
        <v>170</v>
      </c>
    </row>
    <row r="19" spans="1:9" s="5" customFormat="1" ht="20.100000000000001" customHeight="1" x14ac:dyDescent="0.3">
      <c r="A19" s="257"/>
      <c r="B19" s="66">
        <v>15</v>
      </c>
      <c r="C19" s="768"/>
      <c r="D19" s="309" t="s">
        <v>6</v>
      </c>
      <c r="E19" s="134" t="s">
        <v>151</v>
      </c>
      <c r="F19" s="134" t="s">
        <v>29</v>
      </c>
      <c r="G19" s="134" t="s">
        <v>136</v>
      </c>
      <c r="H19" s="304" t="s">
        <v>537</v>
      </c>
      <c r="I19" s="70" t="s">
        <v>137</v>
      </c>
    </row>
    <row r="20" spans="1:9" s="5" customFormat="1" ht="20.100000000000001" customHeight="1" x14ac:dyDescent="0.3">
      <c r="A20" s="257"/>
      <c r="B20" s="66">
        <v>16</v>
      </c>
      <c r="C20" s="768"/>
      <c r="D20" s="133" t="s">
        <v>28</v>
      </c>
      <c r="E20" s="134" t="s">
        <v>151</v>
      </c>
      <c r="F20" s="262" t="s">
        <v>29</v>
      </c>
      <c r="G20" s="133" t="s">
        <v>533</v>
      </c>
      <c r="H20" s="135" t="s">
        <v>534</v>
      </c>
      <c r="I20" s="301"/>
    </row>
    <row r="21" spans="1:9" s="5" customFormat="1" ht="20.100000000000001" customHeight="1" x14ac:dyDescent="0.3">
      <c r="A21" s="257"/>
      <c r="B21" s="66">
        <v>17</v>
      </c>
      <c r="C21" s="768"/>
      <c r="D21" s="384" t="s">
        <v>28</v>
      </c>
      <c r="E21" s="385"/>
      <c r="F21" s="386"/>
      <c r="G21" s="384" t="s">
        <v>641</v>
      </c>
      <c r="H21" s="383" t="s">
        <v>535</v>
      </c>
      <c r="I21" s="301" t="s">
        <v>852</v>
      </c>
    </row>
    <row r="22" spans="1:9" s="5" customFormat="1" ht="20.100000000000001" customHeight="1" x14ac:dyDescent="0.3">
      <c r="A22" s="257"/>
      <c r="B22" s="250">
        <v>18</v>
      </c>
      <c r="C22" s="768"/>
      <c r="D22" s="252" t="s">
        <v>28</v>
      </c>
      <c r="E22" s="253" t="s">
        <v>151</v>
      </c>
      <c r="F22" s="250" t="s">
        <v>29</v>
      </c>
      <c r="G22" s="252" t="s">
        <v>849</v>
      </c>
      <c r="H22" s="254" t="s">
        <v>850</v>
      </c>
    </row>
    <row r="23" spans="1:9" s="5" customFormat="1" ht="20.100000000000001" customHeight="1" x14ac:dyDescent="0.3">
      <c r="A23" s="257"/>
      <c r="B23" s="250">
        <v>19</v>
      </c>
      <c r="C23" s="768"/>
      <c r="D23" s="252"/>
      <c r="E23" s="253"/>
      <c r="F23" s="306"/>
      <c r="G23" s="252"/>
      <c r="H23" s="254"/>
    </row>
    <row r="24" spans="1:9" s="5" customFormat="1" ht="20.100000000000001" customHeight="1" x14ac:dyDescent="0.3">
      <c r="A24" s="257"/>
      <c r="B24" s="250">
        <v>20</v>
      </c>
      <c r="C24" s="768"/>
      <c r="D24" s="306"/>
      <c r="E24" s="307"/>
      <c r="F24" s="306"/>
      <c r="G24" s="250"/>
      <c r="H24" s="260"/>
    </row>
    <row r="25" spans="1:9" s="5" customFormat="1" ht="20.100000000000001" customHeight="1" x14ac:dyDescent="0.3">
      <c r="A25" s="257"/>
      <c r="B25" s="250">
        <v>21</v>
      </c>
      <c r="C25" s="768"/>
      <c r="D25" s="306"/>
      <c r="E25" s="307"/>
      <c r="F25" s="306"/>
      <c r="G25" s="250"/>
      <c r="H25" s="260"/>
    </row>
    <row r="26" spans="1:9" s="5" customFormat="1" ht="20.100000000000001" customHeight="1" x14ac:dyDescent="0.3">
      <c r="A26" s="257"/>
      <c r="B26" s="66">
        <v>22</v>
      </c>
      <c r="C26" s="768"/>
      <c r="D26" s="133" t="s">
        <v>6</v>
      </c>
      <c r="E26" s="134" t="s">
        <v>71</v>
      </c>
      <c r="F26" s="133"/>
      <c r="G26" s="133" t="s">
        <v>163</v>
      </c>
      <c r="H26" s="135" t="s">
        <v>164</v>
      </c>
    </row>
    <row r="27" spans="1:9" s="5" customFormat="1" ht="20.100000000000001" customHeight="1" x14ac:dyDescent="0.3">
      <c r="A27" s="257"/>
      <c r="B27" s="250">
        <v>23</v>
      </c>
      <c r="C27" s="768"/>
      <c r="D27" s="133"/>
      <c r="E27" s="134"/>
      <c r="F27" s="133"/>
      <c r="G27" s="133"/>
      <c r="H27" s="135"/>
    </row>
    <row r="28" spans="1:9" s="5" customFormat="1" ht="20.100000000000001" customHeight="1" x14ac:dyDescent="0.3">
      <c r="A28" s="257"/>
      <c r="B28" s="66">
        <v>24</v>
      </c>
      <c r="C28" s="768"/>
      <c r="D28" s="133" t="s">
        <v>6</v>
      </c>
      <c r="E28" s="134" t="s">
        <v>71</v>
      </c>
      <c r="F28" s="133"/>
      <c r="G28" s="133" t="s">
        <v>166</v>
      </c>
      <c r="H28" s="135" t="s">
        <v>167</v>
      </c>
    </row>
    <row r="29" spans="1:9" s="5" customFormat="1" ht="21.95" customHeight="1" x14ac:dyDescent="0.3">
      <c r="A29" s="251" t="s">
        <v>43</v>
      </c>
      <c r="B29" s="111">
        <v>1</v>
      </c>
      <c r="C29" s="771" t="s">
        <v>99</v>
      </c>
      <c r="D29" s="315"/>
      <c r="E29" s="316"/>
      <c r="F29" s="315"/>
      <c r="G29" s="315"/>
      <c r="H29" s="317"/>
      <c r="I29" s="274"/>
    </row>
    <row r="30" spans="1:9" s="112" customFormat="1" ht="21.95" customHeight="1" x14ac:dyDescent="0.3">
      <c r="A30" s="256" t="s">
        <v>56</v>
      </c>
      <c r="B30" s="250">
        <v>2</v>
      </c>
      <c r="C30" s="771"/>
      <c r="D30" s="137"/>
      <c r="E30" s="138"/>
      <c r="F30" s="137"/>
      <c r="G30" s="137"/>
      <c r="H30" s="310"/>
      <c r="I30" s="274"/>
    </row>
    <row r="31" spans="1:9" s="112" customFormat="1" ht="21.95" customHeight="1" x14ac:dyDescent="0.3">
      <c r="A31" s="275" t="s">
        <v>528</v>
      </c>
      <c r="B31" s="66">
        <v>3</v>
      </c>
      <c r="C31" s="771"/>
      <c r="D31" s="133" t="s">
        <v>139</v>
      </c>
      <c r="E31" s="134" t="s">
        <v>140</v>
      </c>
      <c r="F31" s="133" t="s">
        <v>141</v>
      </c>
      <c r="G31" s="133" t="s">
        <v>157</v>
      </c>
      <c r="H31" s="135" t="s">
        <v>158</v>
      </c>
    </row>
    <row r="32" spans="1:9" s="112" customFormat="1" ht="21.95" customHeight="1" x14ac:dyDescent="0.3">
      <c r="A32" s="257"/>
      <c r="B32" s="66">
        <v>4</v>
      </c>
      <c r="C32" s="771"/>
      <c r="D32" s="133" t="s">
        <v>159</v>
      </c>
      <c r="E32" s="134" t="s">
        <v>160</v>
      </c>
      <c r="F32" s="133"/>
      <c r="G32" s="133" t="s">
        <v>161</v>
      </c>
      <c r="H32" s="135" t="s">
        <v>162</v>
      </c>
    </row>
    <row r="33" spans="1:9" s="5" customFormat="1" ht="21.95" customHeight="1" x14ac:dyDescent="0.3">
      <c r="A33" s="257"/>
      <c r="B33" s="66">
        <v>5</v>
      </c>
      <c r="C33" s="771"/>
      <c r="D33" s="26" t="s">
        <v>8</v>
      </c>
      <c r="E33" s="38" t="s">
        <v>9</v>
      </c>
      <c r="F33" s="26" t="s">
        <v>558</v>
      </c>
      <c r="G33" s="26" t="s">
        <v>559</v>
      </c>
      <c r="H33" s="31" t="s">
        <v>560</v>
      </c>
    </row>
    <row r="34" spans="1:9" s="5" customFormat="1" ht="21.95" customHeight="1" x14ac:dyDescent="0.3">
      <c r="A34" s="257"/>
      <c r="B34" s="250">
        <v>6</v>
      </c>
      <c r="C34" s="771"/>
      <c r="D34" s="276"/>
      <c r="E34" s="277"/>
      <c r="F34" s="276"/>
      <c r="G34" s="276"/>
      <c r="H34" s="274"/>
      <c r="I34" s="274"/>
    </row>
    <row r="35" spans="1:9" s="5" customFormat="1" ht="21.95" customHeight="1" x14ac:dyDescent="0.3">
      <c r="A35" s="257"/>
      <c r="B35" s="66">
        <v>7</v>
      </c>
      <c r="C35" s="771"/>
      <c r="D35" s="382" t="s">
        <v>28</v>
      </c>
      <c r="E35" s="38" t="s">
        <v>26</v>
      </c>
      <c r="F35" s="26" t="s">
        <v>29</v>
      </c>
      <c r="G35" s="26" t="s">
        <v>493</v>
      </c>
      <c r="H35" s="31" t="s">
        <v>512</v>
      </c>
    </row>
    <row r="36" spans="1:9" s="5" customFormat="1" ht="21.95" customHeight="1" x14ac:dyDescent="0.3">
      <c r="A36" s="257"/>
      <c r="B36" s="66">
        <v>8</v>
      </c>
      <c r="C36" s="771"/>
      <c r="D36" s="20" t="s">
        <v>28</v>
      </c>
      <c r="E36" s="38" t="s">
        <v>26</v>
      </c>
      <c r="F36" s="26" t="s">
        <v>29</v>
      </c>
      <c r="G36" s="26" t="s">
        <v>492</v>
      </c>
      <c r="H36" s="31" t="s">
        <v>511</v>
      </c>
    </row>
    <row r="37" spans="1:9" s="5" customFormat="1" ht="21.95" customHeight="1" x14ac:dyDescent="0.3">
      <c r="A37" s="257"/>
      <c r="B37" s="66">
        <v>9</v>
      </c>
      <c r="C37" s="771"/>
      <c r="D37" s="20" t="s">
        <v>28</v>
      </c>
      <c r="E37" s="4" t="s">
        <v>368</v>
      </c>
      <c r="F37" s="20"/>
      <c r="G37" s="20" t="s">
        <v>621</v>
      </c>
      <c r="H37" s="77" t="s">
        <v>831</v>
      </c>
    </row>
    <row r="38" spans="1:9" s="5" customFormat="1" ht="21.95" customHeight="1" x14ac:dyDescent="0.3">
      <c r="A38" s="257"/>
      <c r="B38" s="66">
        <v>10</v>
      </c>
      <c r="C38" s="771"/>
      <c r="D38" s="20" t="s">
        <v>28</v>
      </c>
      <c r="E38" s="4" t="s">
        <v>368</v>
      </c>
      <c r="F38" s="20"/>
      <c r="G38" s="20" t="s">
        <v>622</v>
      </c>
      <c r="H38" s="77" t="s">
        <v>834</v>
      </c>
    </row>
    <row r="39" spans="1:9" s="5" customFormat="1" ht="21.95" customHeight="1" x14ac:dyDescent="0.3">
      <c r="A39" s="257"/>
      <c r="B39" s="66">
        <v>11</v>
      </c>
      <c r="C39" s="771"/>
      <c r="D39" s="20" t="s">
        <v>28</v>
      </c>
      <c r="E39" s="4" t="s">
        <v>368</v>
      </c>
      <c r="F39" s="20"/>
      <c r="G39" s="20" t="s">
        <v>623</v>
      </c>
      <c r="H39" s="77" t="s">
        <v>835</v>
      </c>
    </row>
    <row r="40" spans="1:9" s="5" customFormat="1" ht="21.95" customHeight="1" x14ac:dyDescent="0.3">
      <c r="A40" s="257"/>
      <c r="B40" s="250">
        <v>12</v>
      </c>
      <c r="C40" s="771"/>
      <c r="D40" s="20"/>
      <c r="E40" s="4"/>
      <c r="F40" s="20"/>
      <c r="G40" s="20"/>
      <c r="H40" s="77"/>
    </row>
    <row r="41" spans="1:9" s="5" customFormat="1" ht="21.95" customHeight="1" x14ac:dyDescent="0.3">
      <c r="A41" s="257"/>
      <c r="B41" s="250">
        <v>13</v>
      </c>
      <c r="C41" s="771"/>
      <c r="D41" s="20"/>
      <c r="E41" s="4"/>
      <c r="F41" s="20"/>
      <c r="G41" s="20"/>
      <c r="H41" s="77"/>
    </row>
    <row r="42" spans="1:9" s="5" customFormat="1" ht="21.95" customHeight="1" x14ac:dyDescent="0.3">
      <c r="A42" s="257"/>
      <c r="B42" s="250">
        <v>14</v>
      </c>
      <c r="C42" s="771"/>
      <c r="D42" s="20"/>
      <c r="E42" s="4"/>
      <c r="F42" s="20"/>
      <c r="G42" s="20"/>
      <c r="H42" s="77"/>
    </row>
    <row r="43" spans="1:9" s="5" customFormat="1" ht="21.95" customHeight="1" x14ac:dyDescent="0.3">
      <c r="A43" s="257"/>
      <c r="B43" s="250">
        <v>15</v>
      </c>
      <c r="C43" s="771"/>
      <c r="D43" s="20"/>
      <c r="E43" s="4"/>
      <c r="F43" s="20"/>
      <c r="G43" s="20"/>
      <c r="H43" s="77"/>
    </row>
    <row r="44" spans="1:9" s="5" customFormat="1" ht="21.95" customHeight="1" x14ac:dyDescent="0.3">
      <c r="A44" s="257"/>
      <c r="B44" s="250">
        <v>16</v>
      </c>
      <c r="C44" s="771"/>
      <c r="D44" s="20"/>
      <c r="E44" s="4"/>
      <c r="F44" s="20"/>
      <c r="G44" s="20"/>
      <c r="H44" s="77"/>
    </row>
    <row r="45" spans="1:9" s="98" customFormat="1" ht="21.95" customHeight="1" x14ac:dyDescent="0.3">
      <c r="A45" s="257"/>
      <c r="B45" s="66" t="s">
        <v>632</v>
      </c>
      <c r="C45" s="771" t="s">
        <v>69</v>
      </c>
      <c r="D45" s="303" t="s">
        <v>30</v>
      </c>
      <c r="E45" s="134" t="s">
        <v>151</v>
      </c>
      <c r="F45" s="134"/>
      <c r="G45" s="134" t="s">
        <v>135</v>
      </c>
      <c r="H45" s="304" t="s">
        <v>536</v>
      </c>
      <c r="I45" s="99" t="s">
        <v>170</v>
      </c>
    </row>
    <row r="46" spans="1:9" s="5" customFormat="1" ht="21.95" customHeight="1" x14ac:dyDescent="0.3">
      <c r="A46" s="257"/>
      <c r="B46" s="250" t="s">
        <v>633</v>
      </c>
      <c r="C46" s="771"/>
      <c r="D46" s="69" t="s">
        <v>30</v>
      </c>
      <c r="E46" s="4" t="s">
        <v>151</v>
      </c>
      <c r="F46" s="20" t="s">
        <v>29</v>
      </c>
      <c r="G46" s="20" t="s">
        <v>851</v>
      </c>
      <c r="H46" s="254" t="s">
        <v>850</v>
      </c>
      <c r="I46" s="527" t="s">
        <v>853</v>
      </c>
    </row>
    <row r="47" spans="1:9" s="5" customFormat="1" ht="21.95" customHeight="1" x14ac:dyDescent="0.3">
      <c r="A47" s="76"/>
      <c r="B47" s="250" t="s">
        <v>634</v>
      </c>
      <c r="C47" s="771"/>
      <c r="D47" s="69" t="s">
        <v>30</v>
      </c>
      <c r="E47" s="4"/>
      <c r="F47" s="20"/>
      <c r="G47" s="20"/>
      <c r="H47" s="77"/>
    </row>
    <row r="48" spans="1:9" s="5" customFormat="1" ht="21.95" customHeight="1" x14ac:dyDescent="0.3">
      <c r="A48" s="76"/>
      <c r="B48" s="250" t="s">
        <v>635</v>
      </c>
      <c r="C48" s="771"/>
      <c r="D48" s="69" t="s">
        <v>30</v>
      </c>
      <c r="E48" s="4"/>
      <c r="F48" s="20"/>
      <c r="G48" s="20"/>
      <c r="H48" s="77"/>
    </row>
    <row r="49" spans="1:8" s="5" customFormat="1" ht="21.95" customHeight="1" x14ac:dyDescent="0.3">
      <c r="A49" s="76"/>
      <c r="B49" s="250" t="s">
        <v>636</v>
      </c>
      <c r="C49" s="771"/>
      <c r="D49" s="20"/>
      <c r="E49" s="4"/>
      <c r="F49" s="20"/>
      <c r="G49" s="20"/>
      <c r="H49" s="77"/>
    </row>
    <row r="50" spans="1:8" s="5" customFormat="1" ht="21.95" customHeight="1" x14ac:dyDescent="0.3">
      <c r="A50" s="76"/>
      <c r="B50" s="250" t="s">
        <v>637</v>
      </c>
      <c r="C50" s="771"/>
      <c r="D50" s="20"/>
      <c r="E50" s="4"/>
      <c r="F50" s="20"/>
      <c r="G50" s="20"/>
      <c r="H50" s="77"/>
    </row>
    <row r="51" spans="1:8" s="5" customFormat="1" ht="21.95" customHeight="1" x14ac:dyDescent="0.3">
      <c r="A51" s="76"/>
      <c r="B51" s="250" t="s">
        <v>638</v>
      </c>
      <c r="C51" s="771"/>
      <c r="D51" s="20"/>
      <c r="E51" s="4"/>
      <c r="F51" s="20"/>
      <c r="G51" s="20"/>
      <c r="H51" s="77"/>
    </row>
    <row r="52" spans="1:8" s="5" customFormat="1" ht="21.95" customHeight="1" x14ac:dyDescent="0.3">
      <c r="A52" s="76"/>
      <c r="B52" s="250" t="s">
        <v>639</v>
      </c>
      <c r="C52" s="771"/>
      <c r="D52" s="20"/>
      <c r="E52" s="4"/>
      <c r="F52" s="20"/>
      <c r="G52" s="20"/>
      <c r="H52" s="77"/>
    </row>
    <row r="53" spans="1:8" s="5" customFormat="1" ht="21.95" customHeight="1" x14ac:dyDescent="0.3">
      <c r="A53" s="251" t="s">
        <v>506</v>
      </c>
      <c r="B53" s="66">
        <v>1</v>
      </c>
      <c r="C53" s="769" t="s">
        <v>99</v>
      </c>
      <c r="D53" s="109" t="s">
        <v>215</v>
      </c>
      <c r="E53" s="110" t="s">
        <v>140</v>
      </c>
      <c r="F53" s="109" t="s">
        <v>29</v>
      </c>
      <c r="G53" s="109" t="s">
        <v>507</v>
      </c>
      <c r="H53" s="108" t="s">
        <v>512</v>
      </c>
    </row>
    <row r="54" spans="1:8" s="5" customFormat="1" ht="21.95" customHeight="1" x14ac:dyDescent="0.3">
      <c r="A54" s="121" t="s">
        <v>59</v>
      </c>
      <c r="B54" s="66">
        <v>2</v>
      </c>
      <c r="C54" s="769"/>
      <c r="D54" s="133" t="s">
        <v>8</v>
      </c>
      <c r="E54" s="134" t="s">
        <v>9</v>
      </c>
      <c r="F54" s="133" t="s">
        <v>558</v>
      </c>
      <c r="G54" s="133" t="s">
        <v>572</v>
      </c>
      <c r="H54" s="135" t="s">
        <v>573</v>
      </c>
    </row>
    <row r="55" spans="1:8" s="5" customFormat="1" ht="21.95" customHeight="1" x14ac:dyDescent="0.3">
      <c r="A55" s="275" t="s">
        <v>528</v>
      </c>
      <c r="B55" s="66">
        <v>3</v>
      </c>
      <c r="C55" s="769"/>
      <c r="D55" s="133" t="s">
        <v>28</v>
      </c>
      <c r="E55" s="134" t="s">
        <v>26</v>
      </c>
      <c r="F55" s="252" t="s">
        <v>29</v>
      </c>
      <c r="G55" s="133" t="s">
        <v>508</v>
      </c>
      <c r="H55" s="135" t="s">
        <v>511</v>
      </c>
    </row>
    <row r="56" spans="1:8" s="5" customFormat="1" ht="21.95" customHeight="1" x14ac:dyDescent="0.3">
      <c r="A56" s="76"/>
      <c r="B56" s="250">
        <v>4</v>
      </c>
      <c r="C56" s="769"/>
      <c r="D56" s="252"/>
      <c r="E56" s="134"/>
      <c r="F56" s="252"/>
      <c r="G56" s="252"/>
      <c r="H56" s="254"/>
    </row>
    <row r="57" spans="1:8" s="5" customFormat="1" ht="21.95" customHeight="1" x14ac:dyDescent="0.3">
      <c r="A57" s="76"/>
      <c r="B57" s="66">
        <v>5</v>
      </c>
      <c r="C57" s="769"/>
      <c r="D57" s="252" t="s">
        <v>25</v>
      </c>
      <c r="E57" s="134" t="s">
        <v>26</v>
      </c>
      <c r="F57" s="252" t="s">
        <v>29</v>
      </c>
      <c r="G57" s="252" t="s">
        <v>509</v>
      </c>
      <c r="H57" s="135" t="s">
        <v>510</v>
      </c>
    </row>
    <row r="58" spans="1:8" s="5" customFormat="1" ht="21.95" customHeight="1" x14ac:dyDescent="0.3">
      <c r="A58" s="76"/>
      <c r="B58" s="250">
        <v>6</v>
      </c>
      <c r="C58" s="769"/>
      <c r="D58" s="252"/>
      <c r="E58" s="253"/>
      <c r="F58" s="252"/>
      <c r="G58" s="252"/>
      <c r="H58" s="254"/>
    </row>
    <row r="59" spans="1:8" s="5" customFormat="1" ht="21.95" customHeight="1" x14ac:dyDescent="0.3">
      <c r="A59" s="76"/>
      <c r="B59" s="250">
        <v>7</v>
      </c>
      <c r="C59" s="769"/>
      <c r="D59" s="252"/>
      <c r="E59" s="253"/>
      <c r="F59" s="250"/>
      <c r="G59" s="252"/>
      <c r="H59" s="254"/>
    </row>
    <row r="60" spans="1:8" s="5" customFormat="1" ht="21.95" customHeight="1" x14ac:dyDescent="0.3">
      <c r="A60" s="76"/>
      <c r="B60" s="250">
        <v>8</v>
      </c>
      <c r="C60" s="769"/>
      <c r="D60" s="252"/>
      <c r="E60" s="253"/>
      <c r="F60" s="306"/>
      <c r="G60" s="252"/>
      <c r="H60" s="254"/>
    </row>
    <row r="61" spans="1:8" s="5" customFormat="1" ht="21.95" customHeight="1" x14ac:dyDescent="0.3">
      <c r="A61" s="76"/>
      <c r="B61" s="250">
        <v>9</v>
      </c>
      <c r="C61" s="769"/>
      <c r="D61" s="252"/>
      <c r="E61" s="253"/>
      <c r="F61" s="306"/>
      <c r="G61" s="252"/>
      <c r="H61" s="254"/>
    </row>
    <row r="62" spans="1:8" s="5" customFormat="1" ht="21.95" customHeight="1" x14ac:dyDescent="0.3">
      <c r="A62" s="76"/>
      <c r="B62" s="250">
        <v>10</v>
      </c>
      <c r="C62" s="769"/>
      <c r="D62" s="252"/>
      <c r="E62" s="253"/>
      <c r="F62" s="306"/>
      <c r="G62" s="252"/>
      <c r="H62" s="254"/>
    </row>
    <row r="63" spans="1:8" s="5" customFormat="1" ht="21.95" customHeight="1" x14ac:dyDescent="0.3">
      <c r="A63" s="76"/>
      <c r="B63" s="250">
        <v>11</v>
      </c>
      <c r="C63" s="769"/>
      <c r="D63" s="252"/>
      <c r="E63" s="253"/>
      <c r="F63" s="306"/>
      <c r="G63" s="252"/>
      <c r="H63" s="254"/>
    </row>
    <row r="64" spans="1:8" s="5" customFormat="1" ht="21.95" customHeight="1" x14ac:dyDescent="0.3">
      <c r="A64" s="76"/>
      <c r="B64" s="250">
        <v>12</v>
      </c>
      <c r="C64" s="769"/>
      <c r="D64" s="252"/>
      <c r="E64" s="253"/>
      <c r="F64" s="306"/>
      <c r="G64" s="252"/>
      <c r="H64" s="254"/>
    </row>
    <row r="65" spans="1:9" s="5" customFormat="1" ht="21.95" customHeight="1" x14ac:dyDescent="0.3">
      <c r="A65" s="76"/>
      <c r="B65" s="250">
        <v>13</v>
      </c>
      <c r="C65" s="769"/>
      <c r="D65" s="252"/>
      <c r="E65" s="253"/>
      <c r="F65" s="306"/>
      <c r="G65" s="252"/>
      <c r="H65" s="254"/>
    </row>
    <row r="66" spans="1:9" s="5" customFormat="1" ht="21.95" customHeight="1" x14ac:dyDescent="0.3">
      <c r="A66" s="76"/>
      <c r="B66" s="250">
        <v>14</v>
      </c>
      <c r="C66" s="769"/>
      <c r="D66" s="252"/>
      <c r="E66" s="253"/>
      <c r="F66" s="306"/>
      <c r="G66" s="252"/>
      <c r="H66" s="254"/>
    </row>
    <row r="67" spans="1:9" s="5" customFormat="1" ht="21.95" customHeight="1" x14ac:dyDescent="0.3">
      <c r="A67" s="76"/>
      <c r="B67" s="250">
        <v>15</v>
      </c>
      <c r="C67" s="769"/>
      <c r="D67" s="252"/>
      <c r="E67" s="253"/>
      <c r="F67" s="306"/>
      <c r="G67" s="252"/>
      <c r="H67" s="254"/>
    </row>
    <row r="68" spans="1:9" s="5" customFormat="1" ht="21.95" customHeight="1" x14ac:dyDescent="0.3">
      <c r="A68" s="76"/>
      <c r="B68" s="250">
        <v>16</v>
      </c>
      <c r="C68" s="769"/>
      <c r="D68" s="252"/>
      <c r="E68" s="253"/>
      <c r="F68" s="306"/>
      <c r="G68" s="252"/>
      <c r="H68" s="254"/>
    </row>
    <row r="69" spans="1:9" s="5" customFormat="1" ht="21.95" customHeight="1" x14ac:dyDescent="0.3">
      <c r="A69" s="76"/>
      <c r="B69" s="66" t="s">
        <v>632</v>
      </c>
      <c r="C69" s="769" t="s">
        <v>97</v>
      </c>
      <c r="D69" s="133" t="s">
        <v>30</v>
      </c>
      <c r="E69" s="134" t="s">
        <v>151</v>
      </c>
      <c r="F69" s="262" t="s">
        <v>29</v>
      </c>
      <c r="G69" s="133" t="s">
        <v>533</v>
      </c>
      <c r="H69" s="135" t="s">
        <v>534</v>
      </c>
    </row>
    <row r="70" spans="1:9" s="5" customFormat="1" ht="21.95" customHeight="1" x14ac:dyDescent="0.3">
      <c r="A70" s="76"/>
      <c r="B70" s="66" t="s">
        <v>633</v>
      </c>
      <c r="C70" s="769"/>
      <c r="D70" s="384" t="s">
        <v>30</v>
      </c>
      <c r="E70" s="385"/>
      <c r="F70" s="386"/>
      <c r="G70" s="384" t="s">
        <v>641</v>
      </c>
      <c r="H70" s="383" t="s">
        <v>535</v>
      </c>
      <c r="I70" s="301"/>
    </row>
    <row r="71" spans="1:9" s="5" customFormat="1" ht="21.95" customHeight="1" x14ac:dyDescent="0.3">
      <c r="A71" s="76"/>
      <c r="B71" s="250" t="s">
        <v>634</v>
      </c>
      <c r="C71" s="769"/>
      <c r="D71" s="303" t="s">
        <v>30</v>
      </c>
      <c r="E71" s="259"/>
      <c r="F71" s="250"/>
      <c r="G71" s="250"/>
      <c r="H71" s="260"/>
    </row>
    <row r="72" spans="1:9" s="5" customFormat="1" ht="21.95" customHeight="1" x14ac:dyDescent="0.3">
      <c r="A72" s="76"/>
      <c r="B72" s="250" t="s">
        <v>635</v>
      </c>
      <c r="C72" s="769"/>
      <c r="D72" s="303" t="s">
        <v>30</v>
      </c>
      <c r="E72" s="259"/>
      <c r="F72" s="250"/>
      <c r="G72" s="250"/>
      <c r="H72" s="260"/>
    </row>
    <row r="73" spans="1:9" s="5" customFormat="1" ht="21.95" customHeight="1" x14ac:dyDescent="0.3">
      <c r="A73" s="76"/>
      <c r="B73" s="250" t="s">
        <v>636</v>
      </c>
      <c r="C73" s="769"/>
      <c r="D73" s="252"/>
      <c r="E73" s="253"/>
      <c r="F73" s="250"/>
      <c r="G73" s="252"/>
      <c r="H73" s="254"/>
    </row>
    <row r="74" spans="1:9" s="5" customFormat="1" ht="21.95" customHeight="1" x14ac:dyDescent="0.3">
      <c r="A74" s="76"/>
      <c r="B74" s="250" t="s">
        <v>637</v>
      </c>
      <c r="C74" s="769"/>
      <c r="D74" s="252"/>
      <c r="E74" s="253"/>
      <c r="F74" s="306"/>
      <c r="G74" s="252"/>
      <c r="H74" s="254"/>
    </row>
    <row r="75" spans="1:9" s="5" customFormat="1" ht="21.95" customHeight="1" x14ac:dyDescent="0.3">
      <c r="A75" s="76"/>
      <c r="B75" s="250" t="s">
        <v>638</v>
      </c>
      <c r="C75" s="769"/>
      <c r="D75" s="250"/>
      <c r="E75" s="259"/>
      <c r="F75" s="250"/>
      <c r="G75" s="250"/>
      <c r="H75" s="260"/>
    </row>
    <row r="76" spans="1:9" s="5" customFormat="1" ht="21.95" customHeight="1" x14ac:dyDescent="0.3">
      <c r="A76" s="76"/>
      <c r="B76" s="250" t="s">
        <v>639</v>
      </c>
      <c r="C76" s="769"/>
      <c r="D76" s="250"/>
      <c r="E76" s="259"/>
      <c r="F76" s="250"/>
      <c r="G76" s="250"/>
      <c r="H76" s="260"/>
    </row>
    <row r="77" spans="1:9" s="5" customFormat="1" ht="21.95" customHeight="1" x14ac:dyDescent="0.3">
      <c r="A77" s="251" t="s">
        <v>98</v>
      </c>
      <c r="B77" s="111">
        <v>1</v>
      </c>
      <c r="C77" s="769" t="s">
        <v>99</v>
      </c>
      <c r="D77" s="109"/>
      <c r="E77" s="110"/>
      <c r="F77" s="109"/>
      <c r="G77" s="109"/>
      <c r="H77" s="108"/>
    </row>
    <row r="78" spans="1:9" s="112" customFormat="1" ht="21.95" customHeight="1" x14ac:dyDescent="0.3">
      <c r="A78" s="256" t="s">
        <v>60</v>
      </c>
      <c r="B78" s="66">
        <v>2</v>
      </c>
      <c r="C78" s="769"/>
      <c r="D78" s="133" t="s">
        <v>139</v>
      </c>
      <c r="E78" s="134" t="s">
        <v>140</v>
      </c>
      <c r="F78" s="133" t="s">
        <v>141</v>
      </c>
      <c r="G78" s="133" t="s">
        <v>500</v>
      </c>
      <c r="H78" s="135" t="s">
        <v>510</v>
      </c>
    </row>
    <row r="79" spans="1:9" s="5" customFormat="1" ht="21.95" customHeight="1" x14ac:dyDescent="0.3">
      <c r="A79" s="275" t="s">
        <v>528</v>
      </c>
      <c r="B79" s="66">
        <v>3</v>
      </c>
      <c r="C79" s="769"/>
      <c r="D79" s="305" t="s">
        <v>28</v>
      </c>
      <c r="E79" s="311" t="s">
        <v>368</v>
      </c>
      <c r="F79" s="305"/>
      <c r="G79" s="250" t="s">
        <v>640</v>
      </c>
      <c r="H79" s="354" t="s">
        <v>563</v>
      </c>
      <c r="I79" s="278" t="s">
        <v>566</v>
      </c>
    </row>
    <row r="80" spans="1:9" s="5" customFormat="1" ht="21.95" customHeight="1" x14ac:dyDescent="0.3">
      <c r="A80" s="76"/>
      <c r="B80" s="250">
        <v>4</v>
      </c>
      <c r="C80" s="769"/>
      <c r="D80" s="252"/>
      <c r="E80" s="253"/>
      <c r="F80" s="252"/>
      <c r="G80" s="252"/>
      <c r="H80" s="254"/>
    </row>
    <row r="81" spans="1:9" s="5" customFormat="1" ht="21.95" customHeight="1" x14ac:dyDescent="0.3">
      <c r="A81" s="76"/>
      <c r="B81" s="250">
        <v>5</v>
      </c>
      <c r="C81" s="769"/>
      <c r="D81" s="250"/>
      <c r="E81" s="259"/>
      <c r="F81" s="250"/>
      <c r="G81" s="250"/>
      <c r="H81" s="260"/>
    </row>
    <row r="82" spans="1:9" s="5" customFormat="1" ht="21.95" customHeight="1" x14ac:dyDescent="0.3">
      <c r="A82" s="76"/>
      <c r="B82" s="250">
        <v>6</v>
      </c>
      <c r="C82" s="769"/>
      <c r="D82" s="250"/>
      <c r="E82" s="259"/>
      <c r="F82" s="250"/>
      <c r="G82" s="250"/>
      <c r="H82" s="260"/>
    </row>
    <row r="83" spans="1:9" s="5" customFormat="1" ht="21.95" customHeight="1" x14ac:dyDescent="0.3">
      <c r="A83" s="76"/>
      <c r="B83" s="250">
        <v>7</v>
      </c>
      <c r="C83" s="769"/>
      <c r="D83" s="250"/>
      <c r="E83" s="259"/>
      <c r="F83" s="250"/>
      <c r="G83" s="250"/>
      <c r="H83" s="260"/>
    </row>
    <row r="84" spans="1:9" s="5" customFormat="1" ht="21.95" customHeight="1" x14ac:dyDescent="0.3">
      <c r="A84" s="76"/>
      <c r="B84" s="250">
        <v>8</v>
      </c>
      <c r="C84" s="769"/>
      <c r="D84" s="250"/>
      <c r="E84" s="259"/>
      <c r="F84" s="250"/>
      <c r="G84" s="250"/>
      <c r="H84" s="260"/>
    </row>
    <row r="85" spans="1:9" s="5" customFormat="1" ht="21.95" customHeight="1" x14ac:dyDescent="0.3">
      <c r="A85" s="76"/>
      <c r="B85" s="250">
        <v>9</v>
      </c>
      <c r="C85" s="769"/>
      <c r="D85" s="250"/>
      <c r="E85" s="259"/>
      <c r="F85" s="250"/>
      <c r="G85" s="250"/>
      <c r="H85" s="260"/>
    </row>
    <row r="86" spans="1:9" s="5" customFormat="1" ht="21.95" customHeight="1" x14ac:dyDescent="0.3">
      <c r="A86" s="76"/>
      <c r="B86" s="250">
        <v>10</v>
      </c>
      <c r="C86" s="769"/>
      <c r="D86" s="250"/>
      <c r="E86" s="259"/>
      <c r="F86" s="250"/>
      <c r="G86" s="250"/>
      <c r="H86" s="260"/>
    </row>
    <row r="87" spans="1:9" s="5" customFormat="1" ht="21.95" customHeight="1" x14ac:dyDescent="0.3">
      <c r="A87" s="76"/>
      <c r="B87" s="250">
        <v>11</v>
      </c>
      <c r="C87" s="769"/>
      <c r="D87" s="250"/>
      <c r="E87" s="259"/>
      <c r="F87" s="250"/>
      <c r="G87" s="250"/>
      <c r="H87" s="260"/>
    </row>
    <row r="88" spans="1:9" s="5" customFormat="1" ht="21.95" customHeight="1" x14ac:dyDescent="0.3">
      <c r="A88" s="76"/>
      <c r="B88" s="250">
        <v>12</v>
      </c>
      <c r="C88" s="769"/>
      <c r="D88" s="250"/>
      <c r="E88" s="259"/>
      <c r="F88" s="250"/>
      <c r="G88" s="250"/>
      <c r="H88" s="260"/>
    </row>
    <row r="89" spans="1:9" s="5" customFormat="1" ht="21.95" customHeight="1" x14ac:dyDescent="0.3">
      <c r="A89" s="76"/>
      <c r="B89" s="250">
        <v>13</v>
      </c>
      <c r="C89" s="769"/>
      <c r="D89" s="250"/>
      <c r="E89" s="259"/>
      <c r="F89" s="250"/>
      <c r="G89" s="250"/>
      <c r="H89" s="260"/>
    </row>
    <row r="90" spans="1:9" s="5" customFormat="1" ht="21.95" customHeight="1" x14ac:dyDescent="0.3">
      <c r="A90" s="76"/>
      <c r="B90" s="250">
        <v>14</v>
      </c>
      <c r="C90" s="769"/>
      <c r="D90" s="250"/>
      <c r="E90" s="259"/>
      <c r="F90" s="250"/>
      <c r="G90" s="250"/>
      <c r="H90" s="260"/>
    </row>
    <row r="91" spans="1:9" s="5" customFormat="1" ht="21.95" customHeight="1" x14ac:dyDescent="0.3">
      <c r="A91" s="76"/>
      <c r="B91" s="250">
        <v>15</v>
      </c>
      <c r="C91" s="769"/>
      <c r="D91" s="250"/>
      <c r="E91" s="259"/>
      <c r="F91" s="250"/>
      <c r="G91" s="250"/>
      <c r="H91" s="260"/>
    </row>
    <row r="92" spans="1:9" s="5" customFormat="1" ht="21.95" customHeight="1" x14ac:dyDescent="0.3">
      <c r="A92" s="76"/>
      <c r="B92" s="250">
        <v>16</v>
      </c>
      <c r="C92" s="769"/>
      <c r="D92" s="250"/>
      <c r="E92" s="259"/>
      <c r="F92" s="250"/>
      <c r="G92" s="250"/>
      <c r="H92" s="260"/>
    </row>
    <row r="93" spans="1:9" s="5" customFormat="1" ht="21.95" customHeight="1" x14ac:dyDescent="0.3">
      <c r="A93" s="76"/>
      <c r="B93" s="66" t="s">
        <v>632</v>
      </c>
      <c r="C93" s="769" t="s">
        <v>68</v>
      </c>
      <c r="D93" s="303" t="s">
        <v>30</v>
      </c>
      <c r="E93" s="134" t="s">
        <v>151</v>
      </c>
      <c r="F93" s="134"/>
      <c r="G93" s="134" t="s">
        <v>136</v>
      </c>
      <c r="H93" s="304" t="s">
        <v>537</v>
      </c>
      <c r="I93" s="70" t="s">
        <v>137</v>
      </c>
    </row>
    <row r="94" spans="1:9" s="5" customFormat="1" ht="21.95" customHeight="1" x14ac:dyDescent="0.3">
      <c r="A94" s="76"/>
      <c r="B94" s="250" t="s">
        <v>633</v>
      </c>
      <c r="C94" s="769"/>
      <c r="D94" s="303" t="s">
        <v>30</v>
      </c>
      <c r="E94" s="259"/>
      <c r="F94" s="250"/>
      <c r="G94" s="250"/>
      <c r="H94" s="260"/>
    </row>
    <row r="95" spans="1:9" s="5" customFormat="1" ht="21.95" customHeight="1" x14ac:dyDescent="0.3">
      <c r="A95" s="76"/>
      <c r="B95" s="250" t="s">
        <v>634</v>
      </c>
      <c r="C95" s="769"/>
      <c r="D95" s="303" t="s">
        <v>30</v>
      </c>
      <c r="E95" s="259"/>
      <c r="F95" s="250"/>
      <c r="G95" s="250"/>
      <c r="H95" s="260"/>
    </row>
    <row r="96" spans="1:9" s="5" customFormat="1" ht="21.95" customHeight="1" x14ac:dyDescent="0.3">
      <c r="A96" s="76"/>
      <c r="B96" s="250" t="s">
        <v>635</v>
      </c>
      <c r="C96" s="769"/>
      <c r="D96" s="303" t="s">
        <v>30</v>
      </c>
      <c r="E96" s="259"/>
      <c r="F96" s="250"/>
      <c r="G96" s="250"/>
      <c r="H96" s="260"/>
    </row>
    <row r="97" spans="1:8" s="5" customFormat="1" ht="21.95" customHeight="1" x14ac:dyDescent="0.3">
      <c r="A97" s="76"/>
      <c r="B97" s="250" t="s">
        <v>636</v>
      </c>
      <c r="C97" s="769"/>
      <c r="D97" s="250"/>
      <c r="E97" s="259"/>
      <c r="F97" s="250"/>
      <c r="G97" s="250"/>
      <c r="H97" s="260"/>
    </row>
    <row r="98" spans="1:8" s="5" customFormat="1" ht="21.95" customHeight="1" x14ac:dyDescent="0.3">
      <c r="A98" s="76"/>
      <c r="B98" s="250" t="s">
        <v>637</v>
      </c>
      <c r="C98" s="769"/>
      <c r="D98" s="250"/>
      <c r="E98" s="259"/>
      <c r="F98" s="250"/>
      <c r="G98" s="250"/>
      <c r="H98" s="260"/>
    </row>
    <row r="99" spans="1:8" s="5" customFormat="1" ht="21.95" customHeight="1" x14ac:dyDescent="0.3">
      <c r="A99" s="76"/>
      <c r="B99" s="250" t="s">
        <v>638</v>
      </c>
      <c r="C99" s="769"/>
      <c r="D99" s="250"/>
      <c r="E99" s="259"/>
      <c r="F99" s="250"/>
      <c r="G99" s="250"/>
      <c r="H99" s="260"/>
    </row>
    <row r="100" spans="1:8" s="5" customFormat="1" ht="21.95" customHeight="1" x14ac:dyDescent="0.3">
      <c r="A100" s="81"/>
      <c r="B100" s="250" t="s">
        <v>639</v>
      </c>
      <c r="C100" s="770"/>
      <c r="D100" s="312"/>
      <c r="E100" s="313"/>
      <c r="F100" s="312"/>
      <c r="G100" s="312"/>
      <c r="H100" s="314"/>
    </row>
  </sheetData>
  <mergeCells count="9">
    <mergeCell ref="C5:C28"/>
    <mergeCell ref="A1:H1"/>
    <mergeCell ref="D4:G4"/>
    <mergeCell ref="C93:C100"/>
    <mergeCell ref="C69:C76"/>
    <mergeCell ref="C45:C52"/>
    <mergeCell ref="C29:C44"/>
    <mergeCell ref="C53:C68"/>
    <mergeCell ref="C77:C92"/>
  </mergeCells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61" orientation="portrait" r:id="rId1"/>
  <headerFooter alignWithMargins="0"/>
  <rowBreaks count="1" manualBreakCount="1">
    <brk id="52" max="7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60"/>
  <sheetViews>
    <sheetView view="pageBreakPreview" topLeftCell="B1" zoomScale="60" zoomScaleNormal="100" workbookViewId="0">
      <selection activeCell="C3" sqref="C3"/>
    </sheetView>
  </sheetViews>
  <sheetFormatPr defaultRowHeight="16.5" x14ac:dyDescent="0.3"/>
  <cols>
    <col min="1" max="1" width="14.625" style="1" customWidth="1"/>
    <col min="2" max="2" width="7.625" style="5" customWidth="1"/>
    <col min="3" max="3" width="7.625" style="1" customWidth="1"/>
    <col min="4" max="4" width="5.625" style="2" customWidth="1"/>
    <col min="5" max="5" width="12.625" style="3" customWidth="1"/>
    <col min="6" max="6" width="5.625" style="2" customWidth="1"/>
    <col min="7" max="7" width="31.75" style="2" customWidth="1"/>
    <col min="8" max="8" width="49.375" style="1" customWidth="1"/>
    <col min="9" max="9" width="18.5" style="54" customWidth="1"/>
    <col min="10" max="10" width="9" style="2"/>
    <col min="11" max="16384" width="9" style="1"/>
  </cols>
  <sheetData>
    <row r="1" spans="1:10" ht="38.25" x14ac:dyDescent="0.3">
      <c r="A1" s="764" t="s">
        <v>818</v>
      </c>
      <c r="B1" s="764"/>
      <c r="C1" s="764"/>
      <c r="D1" s="764"/>
      <c r="E1" s="764"/>
      <c r="F1" s="764"/>
      <c r="G1" s="764"/>
      <c r="H1" s="764"/>
    </row>
    <row r="4" spans="1:10" s="5" customFormat="1" ht="30" customHeight="1" x14ac:dyDescent="0.3">
      <c r="A4" s="71" t="s">
        <v>52</v>
      </c>
      <c r="B4" s="72" t="s">
        <v>2</v>
      </c>
      <c r="C4" s="72" t="s">
        <v>3</v>
      </c>
      <c r="D4" s="765" t="s">
        <v>53</v>
      </c>
      <c r="E4" s="765"/>
      <c r="F4" s="765"/>
      <c r="G4" s="765"/>
      <c r="H4" s="73" t="s">
        <v>5</v>
      </c>
      <c r="I4" s="55"/>
      <c r="J4" s="117"/>
    </row>
    <row r="5" spans="1:10" s="5" customFormat="1" ht="20.100000000000001" customHeight="1" x14ac:dyDescent="0.3">
      <c r="A5" s="114" t="s">
        <v>16</v>
      </c>
      <c r="B5" s="66">
        <v>1</v>
      </c>
      <c r="C5" s="768" t="s">
        <v>54</v>
      </c>
      <c r="D5" s="109" t="s">
        <v>57</v>
      </c>
      <c r="E5" s="110" t="s">
        <v>63</v>
      </c>
      <c r="F5" s="109" t="s">
        <v>655</v>
      </c>
      <c r="G5" s="109" t="s">
        <v>732</v>
      </c>
      <c r="H5" s="108" t="s">
        <v>733</v>
      </c>
    </row>
    <row r="6" spans="1:10" s="5" customFormat="1" ht="20.100000000000001" customHeight="1" x14ac:dyDescent="0.3">
      <c r="A6" s="302" t="s">
        <v>51</v>
      </c>
      <c r="B6" s="66">
        <v>2</v>
      </c>
      <c r="C6" s="768"/>
      <c r="D6" s="133" t="s">
        <v>57</v>
      </c>
      <c r="E6" s="134" t="s">
        <v>63</v>
      </c>
      <c r="F6" s="133" t="s">
        <v>655</v>
      </c>
      <c r="G6" s="133" t="s">
        <v>731</v>
      </c>
      <c r="H6" s="135" t="s">
        <v>734</v>
      </c>
    </row>
    <row r="7" spans="1:10" s="5" customFormat="1" ht="20.100000000000001" customHeight="1" x14ac:dyDescent="0.3">
      <c r="A7" s="275" t="s">
        <v>528</v>
      </c>
      <c r="B7" s="250">
        <v>3</v>
      </c>
      <c r="C7" s="768"/>
      <c r="D7" s="457"/>
      <c r="E7" s="258"/>
      <c r="F7" s="457"/>
      <c r="G7" s="457"/>
      <c r="H7" s="135"/>
    </row>
    <row r="8" spans="1:10" s="5" customFormat="1" ht="20.100000000000001" customHeight="1" x14ac:dyDescent="0.3">
      <c r="A8" s="257"/>
      <c r="B8" s="250">
        <v>4</v>
      </c>
      <c r="C8" s="768"/>
      <c r="D8" s="133" t="s">
        <v>873</v>
      </c>
      <c r="E8" s="133" t="s">
        <v>870</v>
      </c>
      <c r="F8" s="133"/>
      <c r="G8" s="133" t="s">
        <v>871</v>
      </c>
      <c r="H8" s="135" t="s">
        <v>874</v>
      </c>
    </row>
    <row r="9" spans="1:10" s="5" customFormat="1" ht="20.100000000000001" customHeight="1" x14ac:dyDescent="0.3">
      <c r="A9" s="257"/>
      <c r="B9" s="250">
        <v>5</v>
      </c>
      <c r="C9" s="768"/>
      <c r="D9" s="133"/>
      <c r="E9" s="253"/>
      <c r="F9" s="252"/>
      <c r="G9" s="252"/>
      <c r="H9" s="254"/>
    </row>
    <row r="10" spans="1:10" s="112" customFormat="1" ht="20.100000000000001" customHeight="1" x14ac:dyDescent="0.3">
      <c r="A10" s="257"/>
      <c r="B10" s="250">
        <v>6</v>
      </c>
      <c r="C10" s="768"/>
      <c r="D10" s="133"/>
      <c r="E10" s="134"/>
      <c r="F10" s="133"/>
      <c r="G10" s="133"/>
      <c r="H10" s="135"/>
    </row>
    <row r="11" spans="1:10" s="5" customFormat="1" ht="20.100000000000001" customHeight="1" x14ac:dyDescent="0.3">
      <c r="A11" s="257"/>
      <c r="B11" s="250">
        <v>7</v>
      </c>
      <c r="C11" s="768"/>
      <c r="D11" s="133"/>
      <c r="E11" s="134"/>
      <c r="F11" s="133"/>
      <c r="G11" s="133"/>
      <c r="H11" s="135"/>
    </row>
    <row r="12" spans="1:10" s="5" customFormat="1" ht="20.100000000000001" customHeight="1" x14ac:dyDescent="0.3">
      <c r="A12" s="257"/>
      <c r="B12" s="250">
        <v>8</v>
      </c>
      <c r="C12" s="768"/>
      <c r="D12" s="133"/>
      <c r="E12" s="134"/>
      <c r="F12" s="133"/>
      <c r="G12" s="133"/>
      <c r="H12" s="135"/>
    </row>
    <row r="13" spans="1:10" s="5" customFormat="1" ht="20.100000000000001" customHeight="1" x14ac:dyDescent="0.3">
      <c r="A13" s="257"/>
      <c r="B13" s="250">
        <v>9</v>
      </c>
      <c r="C13" s="768"/>
      <c r="D13" s="133"/>
      <c r="E13" s="133"/>
      <c r="F13" s="133"/>
      <c r="G13" s="133"/>
      <c r="H13" s="135"/>
    </row>
    <row r="14" spans="1:10" s="5" customFormat="1" ht="20.100000000000001" customHeight="1" x14ac:dyDescent="0.3">
      <c r="A14" s="257"/>
      <c r="B14" s="250">
        <v>10</v>
      </c>
      <c r="C14" s="768"/>
      <c r="D14" s="133"/>
      <c r="E14" s="380"/>
      <c r="F14" s="309"/>
      <c r="G14" s="309"/>
      <c r="H14" s="135"/>
    </row>
    <row r="15" spans="1:10" s="5" customFormat="1" ht="20.100000000000001" customHeight="1" x14ac:dyDescent="0.3">
      <c r="A15" s="257"/>
      <c r="B15" s="250">
        <v>11</v>
      </c>
      <c r="C15" s="768"/>
      <c r="D15" s="133"/>
      <c r="E15" s="380"/>
      <c r="F15" s="309"/>
      <c r="G15" s="309"/>
      <c r="H15" s="135"/>
    </row>
    <row r="16" spans="1:10" s="5" customFormat="1" ht="20.100000000000001" customHeight="1" x14ac:dyDescent="0.3">
      <c r="A16" s="257"/>
      <c r="B16" s="250">
        <v>12</v>
      </c>
      <c r="C16" s="768"/>
      <c r="D16" s="133"/>
      <c r="E16" s="380"/>
      <c r="F16" s="309"/>
      <c r="G16" s="309"/>
      <c r="H16" s="135"/>
    </row>
    <row r="17" spans="1:10" s="5" customFormat="1" ht="20.100000000000001" customHeight="1" x14ac:dyDescent="0.3">
      <c r="A17" s="257"/>
      <c r="B17" s="250">
        <v>13</v>
      </c>
      <c r="C17" s="768"/>
      <c r="D17" s="252"/>
      <c r="E17" s="253"/>
      <c r="F17" s="252"/>
      <c r="G17" s="252"/>
      <c r="H17" s="254"/>
    </row>
    <row r="18" spans="1:10" s="5" customFormat="1" ht="20.100000000000001" customHeight="1" x14ac:dyDescent="0.3">
      <c r="A18" s="257"/>
      <c r="B18" s="250">
        <v>14</v>
      </c>
      <c r="C18" s="768"/>
      <c r="D18" s="309"/>
      <c r="E18" s="134"/>
      <c r="F18" s="134"/>
      <c r="G18" s="134"/>
      <c r="H18" s="304"/>
      <c r="I18" s="70" t="s">
        <v>170</v>
      </c>
    </row>
    <row r="19" spans="1:10" s="5" customFormat="1" ht="20.100000000000001" customHeight="1" x14ac:dyDescent="0.3">
      <c r="A19" s="257"/>
      <c r="B19" s="250">
        <v>15</v>
      </c>
      <c r="C19" s="768"/>
      <c r="D19" s="309"/>
      <c r="E19" s="134"/>
      <c r="F19" s="134"/>
      <c r="G19" s="134"/>
      <c r="H19" s="304"/>
      <c r="I19" s="70" t="s">
        <v>137</v>
      </c>
    </row>
    <row r="20" spans="1:10" s="5" customFormat="1" ht="20.100000000000001" customHeight="1" x14ac:dyDescent="0.3">
      <c r="A20" s="257"/>
      <c r="B20" s="250">
        <v>16</v>
      </c>
      <c r="C20" s="768"/>
      <c r="D20" s="133"/>
      <c r="E20" s="134"/>
      <c r="F20" s="262"/>
      <c r="G20" s="133"/>
      <c r="H20" s="135"/>
      <c r="I20" s="301"/>
    </row>
    <row r="21" spans="1:10" s="5" customFormat="1" ht="20.100000000000001" customHeight="1" x14ac:dyDescent="0.3">
      <c r="A21" s="257"/>
      <c r="B21" s="250">
        <v>17</v>
      </c>
      <c r="C21" s="768"/>
      <c r="D21" s="252"/>
      <c r="E21" s="253"/>
      <c r="F21" s="250"/>
      <c r="G21" s="252"/>
      <c r="H21" s="254"/>
      <c r="I21" s="301"/>
    </row>
    <row r="22" spans="1:10" s="5" customFormat="1" ht="20.100000000000001" customHeight="1" x14ac:dyDescent="0.3">
      <c r="A22" s="257"/>
      <c r="B22" s="250">
        <v>18</v>
      </c>
      <c r="C22" s="768"/>
      <c r="D22" s="252"/>
      <c r="E22" s="253"/>
      <c r="F22" s="250"/>
      <c r="G22" s="252"/>
      <c r="H22" s="254"/>
    </row>
    <row r="23" spans="1:10" s="5" customFormat="1" ht="20.100000000000001" customHeight="1" x14ac:dyDescent="0.3">
      <c r="A23" s="257"/>
      <c r="B23" s="250">
        <v>19</v>
      </c>
      <c r="C23" s="768"/>
      <c r="D23" s="252"/>
      <c r="E23" s="253"/>
      <c r="F23" s="458"/>
      <c r="G23" s="252"/>
      <c r="H23" s="254"/>
    </row>
    <row r="24" spans="1:10" s="5" customFormat="1" ht="20.100000000000001" customHeight="1" x14ac:dyDescent="0.3">
      <c r="A24" s="257"/>
      <c r="B24" s="250">
        <v>20</v>
      </c>
      <c r="C24" s="768"/>
      <c r="D24" s="458"/>
      <c r="E24" s="307"/>
      <c r="F24" s="458"/>
      <c r="G24" s="250"/>
      <c r="H24" s="260"/>
    </row>
    <row r="25" spans="1:10" s="5" customFormat="1" ht="20.100000000000001" customHeight="1" x14ac:dyDescent="0.3">
      <c r="A25" s="257"/>
      <c r="B25" s="250">
        <v>21</v>
      </c>
      <c r="C25" s="768"/>
      <c r="D25" s="458"/>
      <c r="E25" s="307"/>
      <c r="F25" s="458"/>
      <c r="G25" s="250"/>
      <c r="H25" s="260"/>
    </row>
    <row r="26" spans="1:10" s="5" customFormat="1" ht="20.100000000000001" customHeight="1" x14ac:dyDescent="0.3">
      <c r="A26" s="257"/>
      <c r="B26" s="250">
        <v>22</v>
      </c>
      <c r="C26" s="768"/>
      <c r="D26" s="133"/>
      <c r="E26" s="134"/>
      <c r="F26" s="133"/>
      <c r="G26" s="133"/>
      <c r="H26" s="135"/>
    </row>
    <row r="27" spans="1:10" s="5" customFormat="1" ht="20.100000000000001" customHeight="1" x14ac:dyDescent="0.3">
      <c r="A27" s="257"/>
      <c r="B27" s="250">
        <v>23</v>
      </c>
      <c r="C27" s="768"/>
      <c r="D27" s="133"/>
      <c r="E27" s="134"/>
      <c r="F27" s="133"/>
      <c r="G27" s="133"/>
      <c r="H27" s="135"/>
    </row>
    <row r="28" spans="1:10" s="5" customFormat="1" ht="20.100000000000001" customHeight="1" x14ac:dyDescent="0.3">
      <c r="A28" s="257"/>
      <c r="B28" s="250">
        <v>24</v>
      </c>
      <c r="C28" s="768"/>
      <c r="D28" s="133"/>
      <c r="E28" s="134"/>
      <c r="F28" s="133"/>
      <c r="G28" s="133"/>
      <c r="H28" s="135"/>
    </row>
    <row r="29" spans="1:10" s="344" customFormat="1" ht="21.95" customHeight="1" x14ac:dyDescent="0.3">
      <c r="A29" s="338" t="s">
        <v>23</v>
      </c>
      <c r="B29" s="339">
        <v>1</v>
      </c>
      <c r="C29" s="766" t="s">
        <v>70</v>
      </c>
      <c r="D29" s="335"/>
      <c r="E29" s="340"/>
      <c r="F29" s="340"/>
      <c r="G29" s="340"/>
      <c r="H29" s="341"/>
      <c r="I29" s="342"/>
      <c r="J29" s="343"/>
    </row>
    <row r="30" spans="1:10" s="5" customFormat="1" ht="21.95" customHeight="1" x14ac:dyDescent="0.3">
      <c r="A30" s="121" t="s">
        <v>489</v>
      </c>
      <c r="B30" s="250">
        <v>2</v>
      </c>
      <c r="C30" s="766"/>
      <c r="D30" s="20"/>
      <c r="E30" s="23"/>
      <c r="F30" s="23"/>
      <c r="G30" s="23"/>
      <c r="H30" s="79"/>
      <c r="I30" s="70"/>
      <c r="J30" s="117"/>
    </row>
    <row r="31" spans="1:10" s="5" customFormat="1" ht="21.95" customHeight="1" x14ac:dyDescent="0.3">
      <c r="A31" s="273" t="s">
        <v>477</v>
      </c>
      <c r="B31" s="250">
        <v>3</v>
      </c>
      <c r="C31" s="766"/>
      <c r="D31" s="20"/>
      <c r="E31" s="23"/>
      <c r="F31" s="23"/>
      <c r="G31" s="23"/>
      <c r="H31" s="79"/>
      <c r="I31" s="53"/>
      <c r="J31" s="117"/>
    </row>
    <row r="32" spans="1:10" s="5" customFormat="1" ht="21.95" customHeight="1" x14ac:dyDescent="0.3">
      <c r="A32" s="76"/>
      <c r="B32" s="250">
        <v>4</v>
      </c>
      <c r="C32" s="766"/>
      <c r="D32" s="20"/>
      <c r="E32" s="23"/>
      <c r="F32" s="231"/>
      <c r="G32" s="231"/>
      <c r="H32" s="31"/>
      <c r="I32" s="53"/>
      <c r="J32" s="117"/>
    </row>
    <row r="33" spans="1:10" s="5" customFormat="1" ht="21.95" customHeight="1" x14ac:dyDescent="0.3">
      <c r="A33" s="76"/>
      <c r="B33" s="250">
        <v>5</v>
      </c>
      <c r="C33" s="766"/>
      <c r="D33" s="20"/>
      <c r="E33" s="23"/>
      <c r="F33" s="23"/>
      <c r="G33" s="23"/>
      <c r="H33" s="31"/>
      <c r="I33" s="53"/>
      <c r="J33" s="117"/>
    </row>
    <row r="34" spans="1:10" s="5" customFormat="1" ht="21.95" customHeight="1" x14ac:dyDescent="0.3">
      <c r="A34" s="76"/>
      <c r="B34" s="250">
        <v>6</v>
      </c>
      <c r="C34" s="766"/>
      <c r="D34" s="26"/>
      <c r="E34" s="38"/>
      <c r="F34" s="26"/>
      <c r="G34" s="26"/>
      <c r="H34" s="31"/>
      <c r="I34" s="55"/>
      <c r="J34" s="117"/>
    </row>
    <row r="35" spans="1:10" s="5" customFormat="1" ht="21.95" customHeight="1" x14ac:dyDescent="0.3">
      <c r="A35" s="76"/>
      <c r="B35" s="250">
        <v>7</v>
      </c>
      <c r="C35" s="766"/>
      <c r="D35" s="26"/>
      <c r="E35" s="38"/>
      <c r="F35" s="26"/>
      <c r="G35" s="26"/>
      <c r="H35" s="31"/>
      <c r="I35" s="55"/>
      <c r="J35" s="117"/>
    </row>
    <row r="36" spans="1:10" s="5" customFormat="1" ht="21.95" customHeight="1" x14ac:dyDescent="0.3">
      <c r="A36" s="76"/>
      <c r="B36" s="250">
        <v>8</v>
      </c>
      <c r="C36" s="766"/>
      <c r="D36" s="26"/>
      <c r="E36" s="38"/>
      <c r="F36" s="26"/>
      <c r="G36" s="26"/>
      <c r="H36" s="31"/>
      <c r="I36" s="70"/>
      <c r="J36" s="117"/>
    </row>
    <row r="37" spans="1:10" s="5" customFormat="1" ht="21.95" customHeight="1" x14ac:dyDescent="0.3">
      <c r="A37" s="76"/>
      <c r="B37" s="66">
        <v>1</v>
      </c>
      <c r="C37" s="766" t="s">
        <v>69</v>
      </c>
      <c r="D37" s="337" t="s">
        <v>30</v>
      </c>
      <c r="E37" s="134" t="str">
        <f>E6</f>
        <v>SCADA</v>
      </c>
      <c r="F37" s="134" t="str">
        <f>F6</f>
        <v>예비</v>
      </c>
      <c r="G37" s="134" t="str">
        <f>G6</f>
        <v>인제 Digital SCADA</v>
      </c>
      <c r="H37" s="134" t="str">
        <f>H6</f>
        <v>강릉#3링 강릉-(2:통합단말:2)-인제-RTU</v>
      </c>
      <c r="I37" s="70"/>
      <c r="J37" s="117"/>
    </row>
    <row r="38" spans="1:10" s="5" customFormat="1" ht="21.95" customHeight="1" x14ac:dyDescent="0.3">
      <c r="A38" s="76"/>
      <c r="B38" s="250">
        <v>2</v>
      </c>
      <c r="C38" s="766"/>
      <c r="D38" s="336" t="s">
        <v>30</v>
      </c>
      <c r="E38" s="4"/>
      <c r="F38" s="20"/>
      <c r="G38" s="20"/>
      <c r="H38" s="77"/>
      <c r="I38" s="55"/>
      <c r="J38" s="117"/>
    </row>
    <row r="39" spans="1:10" s="5" customFormat="1" ht="21.95" customHeight="1" x14ac:dyDescent="0.3">
      <c r="A39" s="76"/>
      <c r="B39" s="250">
        <v>3</v>
      </c>
      <c r="C39" s="766"/>
      <c r="D39" s="336" t="s">
        <v>30</v>
      </c>
      <c r="E39" s="4"/>
      <c r="F39" s="20"/>
      <c r="G39" s="20"/>
      <c r="H39" s="77"/>
      <c r="I39" s="55"/>
      <c r="J39" s="117"/>
    </row>
    <row r="40" spans="1:10" s="5" customFormat="1" ht="21.95" customHeight="1" x14ac:dyDescent="0.3">
      <c r="A40" s="76"/>
      <c r="B40" s="250">
        <v>4</v>
      </c>
      <c r="C40" s="766"/>
      <c r="D40" s="336" t="s">
        <v>30</v>
      </c>
      <c r="E40" s="4"/>
      <c r="F40" s="20"/>
      <c r="G40" s="20"/>
      <c r="H40" s="77"/>
      <c r="I40" s="55"/>
      <c r="J40" s="117"/>
    </row>
    <row r="41" spans="1:10" s="5" customFormat="1" ht="21.95" customHeight="1" x14ac:dyDescent="0.3">
      <c r="A41" s="76"/>
      <c r="B41" s="250">
        <v>1</v>
      </c>
      <c r="C41" s="766"/>
      <c r="D41" s="26"/>
      <c r="E41" s="23"/>
      <c r="F41" s="23"/>
      <c r="G41" s="23"/>
      <c r="H41" s="31"/>
      <c r="J41" s="117"/>
    </row>
    <row r="42" spans="1:10" s="5" customFormat="1" ht="21.95" customHeight="1" x14ac:dyDescent="0.3">
      <c r="A42" s="76"/>
      <c r="B42" s="20">
        <v>2</v>
      </c>
      <c r="C42" s="766"/>
      <c r="D42" s="20"/>
      <c r="E42" s="4"/>
      <c r="F42" s="20"/>
      <c r="G42" s="20"/>
      <c r="H42" s="77"/>
      <c r="I42" s="55"/>
      <c r="J42" s="117"/>
    </row>
    <row r="43" spans="1:10" s="5" customFormat="1" ht="21.95" customHeight="1" x14ac:dyDescent="0.3">
      <c r="A43" s="76"/>
      <c r="B43" s="40">
        <v>3</v>
      </c>
      <c r="C43" s="766"/>
      <c r="D43" s="20"/>
      <c r="E43" s="4"/>
      <c r="F43" s="20"/>
      <c r="G43" s="20"/>
      <c r="H43" s="264" t="s">
        <v>490</v>
      </c>
      <c r="I43" s="55"/>
      <c r="J43" s="117"/>
    </row>
    <row r="44" spans="1:10" s="5" customFormat="1" ht="21.95" customHeight="1" x14ac:dyDescent="0.3">
      <c r="A44" s="76"/>
      <c r="B44" s="20">
        <v>4</v>
      </c>
      <c r="C44" s="766"/>
      <c r="D44" s="20"/>
      <c r="E44" s="4"/>
      <c r="F44" s="20"/>
      <c r="G44" s="20"/>
      <c r="H44" s="77"/>
      <c r="I44" s="55"/>
      <c r="J44" s="117"/>
    </row>
    <row r="45" spans="1:10" s="344" customFormat="1" ht="21.95" customHeight="1" x14ac:dyDescent="0.3">
      <c r="A45" s="338" t="s">
        <v>24</v>
      </c>
      <c r="B45" s="339">
        <v>1</v>
      </c>
      <c r="C45" s="772" t="s">
        <v>65</v>
      </c>
      <c r="D45" s="335"/>
      <c r="E45" s="345"/>
      <c r="F45" s="335"/>
      <c r="G45" s="335"/>
      <c r="H45" s="346"/>
      <c r="I45" s="347"/>
      <c r="J45" s="343"/>
    </row>
    <row r="46" spans="1:10" s="5" customFormat="1" ht="21.95" customHeight="1" x14ac:dyDescent="0.3">
      <c r="A46" s="256" t="s">
        <v>60</v>
      </c>
      <c r="B46" s="250">
        <v>2</v>
      </c>
      <c r="C46" s="772"/>
      <c r="D46" s="133"/>
      <c r="E46" s="133"/>
      <c r="F46" s="133"/>
      <c r="G46" s="133"/>
      <c r="H46" s="135"/>
      <c r="I46" s="53"/>
      <c r="J46" s="117"/>
    </row>
    <row r="47" spans="1:10" s="112" customFormat="1" ht="21.95" customHeight="1" x14ac:dyDescent="0.3">
      <c r="A47" s="273" t="s">
        <v>477</v>
      </c>
      <c r="B47" s="250">
        <v>3</v>
      </c>
      <c r="C47" s="772"/>
      <c r="D47" s="133"/>
      <c r="E47" s="133"/>
      <c r="F47" s="133"/>
      <c r="G47" s="133" t="s">
        <v>948</v>
      </c>
      <c r="H47" s="135"/>
      <c r="I47" s="113"/>
      <c r="J47" s="119"/>
    </row>
    <row r="48" spans="1:10" s="5" customFormat="1" ht="21.95" customHeight="1" x14ac:dyDescent="0.3">
      <c r="A48" s="257"/>
      <c r="B48" s="250">
        <v>4</v>
      </c>
      <c r="C48" s="772"/>
      <c r="D48" s="133" t="s">
        <v>873</v>
      </c>
      <c r="E48" s="133" t="s">
        <v>870</v>
      </c>
      <c r="F48" s="133"/>
      <c r="G48" s="133" t="s">
        <v>871</v>
      </c>
      <c r="H48" s="135" t="s">
        <v>872</v>
      </c>
      <c r="I48" s="55"/>
      <c r="J48" s="117"/>
    </row>
    <row r="49" spans="1:10" s="5" customFormat="1" ht="21.95" customHeight="1" x14ac:dyDescent="0.3">
      <c r="A49" s="257"/>
      <c r="B49" s="250">
        <v>5</v>
      </c>
      <c r="C49" s="772"/>
      <c r="D49" s="133"/>
      <c r="E49" s="133"/>
      <c r="F49" s="133"/>
      <c r="G49" s="133"/>
      <c r="H49" s="135"/>
      <c r="I49" s="55"/>
      <c r="J49" s="117"/>
    </row>
    <row r="50" spans="1:10" s="5" customFormat="1" ht="21.95" customHeight="1" x14ac:dyDescent="0.3">
      <c r="A50" s="257"/>
      <c r="B50" s="250">
        <v>6</v>
      </c>
      <c r="C50" s="772"/>
      <c r="D50" s="250"/>
      <c r="E50" s="258"/>
      <c r="F50" s="258"/>
      <c r="G50" s="258"/>
      <c r="H50" s="254"/>
      <c r="I50" s="55"/>
      <c r="J50" s="117"/>
    </row>
    <row r="51" spans="1:10" s="5" customFormat="1" ht="21.95" customHeight="1" x14ac:dyDescent="0.3">
      <c r="A51" s="257"/>
      <c r="B51" s="250">
        <v>7</v>
      </c>
      <c r="C51" s="772"/>
      <c r="D51" s="252"/>
      <c r="E51" s="253"/>
      <c r="F51" s="250"/>
      <c r="G51" s="252"/>
      <c r="H51" s="254"/>
      <c r="I51" s="55"/>
      <c r="J51" s="117"/>
    </row>
    <row r="52" spans="1:10" s="5" customFormat="1" ht="21.95" customHeight="1" x14ac:dyDescent="0.3">
      <c r="A52" s="257"/>
      <c r="B52" s="250">
        <v>8</v>
      </c>
      <c r="C52" s="772"/>
      <c r="D52" s="252"/>
      <c r="E52" s="253"/>
      <c r="F52" s="255"/>
      <c r="G52" s="252"/>
      <c r="H52" s="254"/>
      <c r="I52" s="55"/>
      <c r="J52" s="117"/>
    </row>
    <row r="53" spans="1:10" s="5" customFormat="1" ht="21.95" customHeight="1" x14ac:dyDescent="0.3">
      <c r="A53" s="257"/>
      <c r="B53" s="66">
        <v>1</v>
      </c>
      <c r="C53" s="772" t="s">
        <v>66</v>
      </c>
      <c r="D53" s="133" t="s">
        <v>57</v>
      </c>
      <c r="E53" s="134" t="str">
        <f>E5</f>
        <v>SCADA</v>
      </c>
      <c r="F53" s="134" t="str">
        <f>F5</f>
        <v>예비</v>
      </c>
      <c r="G53" s="134" t="str">
        <f>G5</f>
        <v>양구 Digital SCADA</v>
      </c>
      <c r="H53" s="134" t="str">
        <f>H5</f>
        <v>강릉#3링 강릉-(1:통합단말:1)-양구-RTU</v>
      </c>
      <c r="I53" s="55"/>
      <c r="J53" s="117"/>
    </row>
    <row r="54" spans="1:10" s="5" customFormat="1" ht="21.95" customHeight="1" x14ac:dyDescent="0.3">
      <c r="A54" s="257"/>
      <c r="B54" s="250">
        <v>2</v>
      </c>
      <c r="C54" s="772"/>
      <c r="D54" s="456" t="s">
        <v>30</v>
      </c>
      <c r="E54" s="259"/>
      <c r="F54" s="250"/>
      <c r="G54" s="250"/>
      <c r="H54" s="260"/>
      <c r="I54" s="55"/>
      <c r="J54" s="117"/>
    </row>
    <row r="55" spans="1:10" s="5" customFormat="1" ht="21.95" customHeight="1" x14ac:dyDescent="0.3">
      <c r="A55" s="257"/>
      <c r="B55" s="250">
        <v>3</v>
      </c>
      <c r="C55" s="772"/>
      <c r="D55" s="456" t="s">
        <v>30</v>
      </c>
      <c r="E55" s="259"/>
      <c r="F55" s="250"/>
      <c r="G55" s="250"/>
      <c r="H55" s="260"/>
      <c r="I55" s="55"/>
      <c r="J55" s="117"/>
    </row>
    <row r="56" spans="1:10" s="5" customFormat="1" ht="21.95" customHeight="1" x14ac:dyDescent="0.3">
      <c r="A56" s="257"/>
      <c r="B56" s="250">
        <v>4</v>
      </c>
      <c r="C56" s="772"/>
      <c r="D56" s="456" t="s">
        <v>30</v>
      </c>
      <c r="E56" s="259"/>
      <c r="F56" s="250"/>
      <c r="G56" s="250"/>
      <c r="H56" s="260"/>
      <c r="I56" s="55"/>
      <c r="J56" s="117"/>
    </row>
    <row r="57" spans="1:10" s="5" customFormat="1" ht="21.95" customHeight="1" x14ac:dyDescent="0.3">
      <c r="A57" s="257"/>
      <c r="B57" s="250">
        <v>1</v>
      </c>
      <c r="C57" s="772"/>
      <c r="D57" s="252"/>
      <c r="E57" s="253"/>
      <c r="F57" s="250"/>
      <c r="G57" s="252"/>
      <c r="H57" s="254"/>
      <c r="I57" s="55"/>
      <c r="J57" s="117"/>
    </row>
    <row r="58" spans="1:10" s="5" customFormat="1" ht="21.95" customHeight="1" x14ac:dyDescent="0.3">
      <c r="A58" s="257"/>
      <c r="B58" s="250">
        <v>2</v>
      </c>
      <c r="C58" s="772"/>
      <c r="D58" s="252"/>
      <c r="E58" s="253"/>
      <c r="F58" s="255"/>
      <c r="G58" s="252"/>
      <c r="H58" s="254"/>
      <c r="I58" s="55"/>
      <c r="J58" s="117"/>
    </row>
    <row r="59" spans="1:10" s="5" customFormat="1" ht="21.95" customHeight="1" x14ac:dyDescent="0.3">
      <c r="A59" s="257"/>
      <c r="B59" s="250">
        <v>3</v>
      </c>
      <c r="C59" s="772"/>
      <c r="D59" s="133"/>
      <c r="E59" s="261"/>
      <c r="F59" s="262"/>
      <c r="G59" s="262"/>
      <c r="H59" s="263"/>
      <c r="I59" s="56"/>
      <c r="J59" s="117"/>
    </row>
    <row r="60" spans="1:10" s="5" customFormat="1" ht="21.95" customHeight="1" x14ac:dyDescent="0.3">
      <c r="A60" s="257"/>
      <c r="B60" s="250">
        <v>4</v>
      </c>
      <c r="C60" s="772"/>
      <c r="D60" s="250"/>
      <c r="E60" s="259"/>
      <c r="F60" s="250"/>
      <c r="G60" s="250"/>
      <c r="H60" s="260"/>
      <c r="I60" s="55"/>
      <c r="J60" s="117"/>
    </row>
  </sheetData>
  <mergeCells count="7">
    <mergeCell ref="C53:C60"/>
    <mergeCell ref="A1:H1"/>
    <mergeCell ref="D4:G4"/>
    <mergeCell ref="C29:C36"/>
    <mergeCell ref="C37:C44"/>
    <mergeCell ref="C45:C52"/>
    <mergeCell ref="C5:C28"/>
  </mergeCells>
  <phoneticPr fontId="30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50" fitToHeight="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BreakPreview" zoomScale="85" zoomScaleNormal="100" zoomScaleSheetLayoutView="85" workbookViewId="0">
      <selection activeCell="H22" sqref="H22"/>
    </sheetView>
  </sheetViews>
  <sheetFormatPr defaultRowHeight="16.5" x14ac:dyDescent="0.3"/>
  <cols>
    <col min="1" max="1" width="14.625" style="1" customWidth="1"/>
    <col min="2" max="2" width="7.625" style="5" customWidth="1"/>
    <col min="3" max="3" width="7.625" style="1" customWidth="1"/>
    <col min="4" max="4" width="5.625" style="2" customWidth="1"/>
    <col min="5" max="5" width="12.625" style="3" customWidth="1"/>
    <col min="6" max="6" width="5.625" style="2" customWidth="1"/>
    <col min="7" max="7" width="28.5" style="2" customWidth="1"/>
    <col min="8" max="8" width="44.875" style="1" customWidth="1"/>
    <col min="9" max="9" width="14.375" style="1" customWidth="1"/>
    <col min="10" max="16384" width="9" style="1"/>
  </cols>
  <sheetData>
    <row r="1" spans="1:9" ht="38.25" x14ac:dyDescent="0.3">
      <c r="A1" s="764" t="s">
        <v>819</v>
      </c>
      <c r="B1" s="764"/>
      <c r="C1" s="764"/>
      <c r="D1" s="764"/>
      <c r="E1" s="764"/>
      <c r="F1" s="764"/>
      <c r="G1" s="764"/>
      <c r="H1" s="764"/>
    </row>
    <row r="4" spans="1:9" s="5" customFormat="1" ht="30" customHeight="1" x14ac:dyDescent="0.3">
      <c r="A4" s="71" t="s">
        <v>52</v>
      </c>
      <c r="B4" s="72" t="s">
        <v>2</v>
      </c>
      <c r="C4" s="72" t="s">
        <v>3</v>
      </c>
      <c r="D4" s="765" t="s">
        <v>53</v>
      </c>
      <c r="E4" s="765"/>
      <c r="F4" s="765"/>
      <c r="G4" s="765"/>
      <c r="H4" s="73" t="s">
        <v>5</v>
      </c>
      <c r="I4" s="105" t="s">
        <v>205</v>
      </c>
    </row>
    <row r="5" spans="1:9" s="5" customFormat="1" ht="20.100000000000001" customHeight="1" x14ac:dyDescent="0.3">
      <c r="A5" s="74" t="s">
        <v>16</v>
      </c>
      <c r="B5" s="20">
        <v>1</v>
      </c>
      <c r="C5" s="763" t="s">
        <v>75</v>
      </c>
      <c r="D5" s="26"/>
      <c r="E5" s="43"/>
      <c r="F5" s="47"/>
      <c r="G5" s="47"/>
      <c r="H5" s="86"/>
    </row>
    <row r="6" spans="1:9" s="5" customFormat="1" ht="20.100000000000001" customHeight="1" x14ac:dyDescent="0.3">
      <c r="A6" s="74" t="s">
        <v>51</v>
      </c>
      <c r="B6" s="20">
        <v>2</v>
      </c>
      <c r="C6" s="763"/>
      <c r="D6" s="26"/>
      <c r="E6" s="43"/>
      <c r="F6" s="47"/>
      <c r="G6" s="47"/>
      <c r="H6" s="86"/>
    </row>
    <row r="7" spans="1:9" s="5" customFormat="1" ht="20.100000000000001" customHeight="1" x14ac:dyDescent="0.3">
      <c r="A7" s="76"/>
      <c r="B7" s="20">
        <v>3</v>
      </c>
      <c r="C7" s="763"/>
      <c r="D7" s="45"/>
      <c r="E7" s="43"/>
      <c r="F7" s="47"/>
      <c r="G7" s="47"/>
      <c r="H7" s="86"/>
    </row>
    <row r="8" spans="1:9" s="5" customFormat="1" ht="20.100000000000001" customHeight="1" x14ac:dyDescent="0.3">
      <c r="A8" s="76"/>
      <c r="B8" s="20">
        <v>4</v>
      </c>
      <c r="C8" s="763"/>
      <c r="D8" s="26"/>
      <c r="E8" s="47"/>
      <c r="F8" s="47"/>
      <c r="G8" s="47"/>
      <c r="H8" s="86"/>
    </row>
    <row r="9" spans="1:9" s="5" customFormat="1" ht="20.100000000000001" customHeight="1" x14ac:dyDescent="0.3">
      <c r="A9" s="76"/>
      <c r="B9" s="20">
        <v>5</v>
      </c>
      <c r="C9" s="763"/>
      <c r="D9" s="45"/>
      <c r="E9" s="47"/>
      <c r="F9" s="47"/>
      <c r="G9" s="47"/>
      <c r="H9" s="86"/>
    </row>
    <row r="10" spans="1:9" s="5" customFormat="1" ht="20.100000000000001" customHeight="1" x14ac:dyDescent="0.3">
      <c r="A10" s="76"/>
      <c r="B10" s="20">
        <v>6</v>
      </c>
      <c r="C10" s="763"/>
      <c r="D10" s="45"/>
      <c r="E10" s="26"/>
      <c r="F10" s="26"/>
      <c r="G10" s="26"/>
      <c r="H10" s="31"/>
    </row>
    <row r="11" spans="1:9" s="5" customFormat="1" ht="20.100000000000001" customHeight="1" x14ac:dyDescent="0.3">
      <c r="A11" s="76"/>
      <c r="B11" s="20">
        <v>7</v>
      </c>
      <c r="C11" s="763"/>
      <c r="D11" s="45"/>
      <c r="E11" s="26"/>
      <c r="F11" s="26"/>
      <c r="G11" s="26"/>
      <c r="H11" s="31"/>
    </row>
    <row r="12" spans="1:9" s="5" customFormat="1" ht="20.100000000000001" customHeight="1" x14ac:dyDescent="0.3">
      <c r="A12" s="76"/>
      <c r="B12" s="20">
        <v>8</v>
      </c>
      <c r="C12" s="763"/>
      <c r="D12" s="26"/>
      <c r="E12" s="38"/>
      <c r="F12" s="38"/>
      <c r="G12" s="38"/>
      <c r="H12" s="75"/>
    </row>
    <row r="13" spans="1:9" s="5" customFormat="1" ht="20.100000000000001" customHeight="1" x14ac:dyDescent="0.3">
      <c r="A13" s="76"/>
      <c r="B13" s="20">
        <v>9</v>
      </c>
      <c r="C13" s="763" t="s">
        <v>75</v>
      </c>
      <c r="D13" s="45"/>
      <c r="E13" s="38"/>
      <c r="F13" s="38"/>
      <c r="G13" s="38"/>
      <c r="H13" s="75"/>
    </row>
    <row r="14" spans="1:9" s="5" customFormat="1" ht="20.100000000000001" customHeight="1" x14ac:dyDescent="0.3">
      <c r="A14" s="76"/>
      <c r="B14" s="20">
        <v>10</v>
      </c>
      <c r="C14" s="763"/>
      <c r="D14" s="45"/>
      <c r="E14" s="38"/>
      <c r="F14" s="38"/>
      <c r="G14" s="38"/>
      <c r="H14" s="75"/>
    </row>
    <row r="15" spans="1:9" s="98" customFormat="1" ht="20.100000000000001" customHeight="1" x14ac:dyDescent="0.3">
      <c r="A15" s="95"/>
      <c r="B15" s="40">
        <v>11</v>
      </c>
      <c r="C15" s="763"/>
      <c r="D15" s="67"/>
      <c r="E15" s="96"/>
      <c r="F15" s="96"/>
      <c r="G15" s="96"/>
      <c r="H15" s="97"/>
    </row>
    <row r="16" spans="1:9" s="5" customFormat="1" ht="20.100000000000001" customHeight="1" x14ac:dyDescent="0.3">
      <c r="A16" s="76"/>
      <c r="B16" s="20">
        <v>12</v>
      </c>
      <c r="C16" s="763"/>
      <c r="D16" s="45"/>
      <c r="E16" s="38"/>
      <c r="F16" s="38"/>
      <c r="G16" s="38"/>
      <c r="H16" s="75"/>
    </row>
    <row r="17" spans="1:9" s="5" customFormat="1" ht="20.100000000000001" customHeight="1" x14ac:dyDescent="0.3">
      <c r="A17" s="76"/>
      <c r="B17" s="20">
        <v>13</v>
      </c>
      <c r="C17" s="763"/>
      <c r="D17" s="45"/>
      <c r="E17" s="38"/>
      <c r="F17" s="38"/>
      <c r="G17" s="38"/>
      <c r="H17" s="75"/>
    </row>
    <row r="18" spans="1:9" s="5" customFormat="1" ht="20.100000000000001" customHeight="1" x14ac:dyDescent="0.3">
      <c r="A18" s="76"/>
      <c r="B18" s="20">
        <v>14</v>
      </c>
      <c r="C18" s="763"/>
      <c r="D18" s="20"/>
      <c r="E18" s="23"/>
      <c r="F18" s="20"/>
      <c r="G18" s="38"/>
      <c r="H18" s="75"/>
    </row>
    <row r="19" spans="1:9" s="5" customFormat="1" ht="20.100000000000001" customHeight="1" x14ac:dyDescent="0.3">
      <c r="A19" s="76"/>
      <c r="B19" s="20">
        <v>15</v>
      </c>
      <c r="C19" s="763"/>
      <c r="D19" s="45"/>
      <c r="E19" s="26"/>
      <c r="F19" s="26"/>
      <c r="G19" s="26"/>
      <c r="H19" s="31"/>
    </row>
    <row r="20" spans="1:9" s="5" customFormat="1" ht="20.100000000000001" customHeight="1" x14ac:dyDescent="0.3">
      <c r="A20" s="76"/>
      <c r="B20" s="20">
        <v>16</v>
      </c>
      <c r="C20" s="763"/>
      <c r="D20" s="36"/>
      <c r="E20" s="37"/>
      <c r="F20" s="36"/>
      <c r="G20" s="36"/>
      <c r="H20" s="60"/>
    </row>
    <row r="21" spans="1:9" s="5" customFormat="1" ht="20.100000000000001" customHeight="1" x14ac:dyDescent="0.3">
      <c r="A21" s="76"/>
      <c r="B21" s="20">
        <v>17</v>
      </c>
      <c r="C21" s="773" t="s">
        <v>73</v>
      </c>
      <c r="D21" s="43"/>
      <c r="E21" s="43" t="s">
        <v>138</v>
      </c>
      <c r="F21" s="43"/>
      <c r="G21" s="43" t="s">
        <v>900</v>
      </c>
      <c r="H21" s="87" t="str">
        <f>서홍천SS!J33</f>
        <v>본부-19(CMUX)-춘천-17(통합단말)13-서홍천-1(P32T)-청평PP</v>
      </c>
      <c r="I21" s="62"/>
    </row>
    <row r="22" spans="1:9" s="5" customFormat="1" ht="20.100000000000001" customHeight="1" x14ac:dyDescent="0.3">
      <c r="A22" s="76"/>
      <c r="B22" s="20">
        <v>18</v>
      </c>
      <c r="C22" s="773"/>
      <c r="D22" s="43"/>
      <c r="E22" s="43" t="s">
        <v>138</v>
      </c>
      <c r="F22" s="43"/>
      <c r="G22" s="43" t="s">
        <v>901</v>
      </c>
      <c r="H22" s="87" t="str">
        <f>북춘천SS!J116</f>
        <v>본부-20(C-MUX)-춘천-18(통합단말)11-북춘천-16(P32T)-춘천HP</v>
      </c>
      <c r="I22" s="62"/>
    </row>
    <row r="23" spans="1:9" s="5" customFormat="1" ht="20.100000000000001" customHeight="1" x14ac:dyDescent="0.3">
      <c r="A23" s="76"/>
      <c r="B23" s="65">
        <v>19</v>
      </c>
      <c r="C23" s="773"/>
      <c r="D23" s="38"/>
      <c r="E23" s="38"/>
      <c r="F23" s="38"/>
      <c r="G23" s="38"/>
      <c r="H23" s="75"/>
    </row>
    <row r="24" spans="1:9" s="5" customFormat="1" ht="20.100000000000001" customHeight="1" x14ac:dyDescent="0.3">
      <c r="A24" s="76"/>
      <c r="B24" s="66">
        <v>20</v>
      </c>
      <c r="C24" s="773"/>
      <c r="D24" s="38"/>
      <c r="E24" s="46"/>
      <c r="F24" s="45"/>
      <c r="G24" s="45"/>
      <c r="H24" s="31"/>
    </row>
    <row r="25" spans="1:9" s="5" customFormat="1" ht="20.100000000000001" customHeight="1" x14ac:dyDescent="0.3">
      <c r="A25" s="76"/>
      <c r="B25" s="20">
        <v>21</v>
      </c>
      <c r="C25" s="773"/>
      <c r="D25" s="33"/>
      <c r="E25" s="44"/>
      <c r="F25" s="48"/>
      <c r="G25" s="44"/>
      <c r="H25" s="86"/>
      <c r="I25" s="62"/>
    </row>
    <row r="26" spans="1:9" s="5" customFormat="1" ht="20.100000000000001" customHeight="1" x14ac:dyDescent="0.3">
      <c r="A26" s="76"/>
      <c r="B26" s="20">
        <v>22</v>
      </c>
      <c r="C26" s="773"/>
      <c r="D26" s="33"/>
      <c r="E26" s="44"/>
      <c r="F26" s="44"/>
      <c r="G26" s="44"/>
      <c r="H26" s="86"/>
      <c r="I26" s="62"/>
    </row>
    <row r="27" spans="1:9" s="5" customFormat="1" ht="20.100000000000001" customHeight="1" x14ac:dyDescent="0.3">
      <c r="A27" s="76"/>
      <c r="B27" s="65">
        <v>23</v>
      </c>
      <c r="C27" s="773"/>
      <c r="D27" s="38"/>
      <c r="E27" s="38"/>
      <c r="F27" s="38"/>
      <c r="G27" s="38"/>
      <c r="H27" s="75"/>
    </row>
    <row r="28" spans="1:9" s="5" customFormat="1" ht="20.100000000000001" customHeight="1" x14ac:dyDescent="0.3">
      <c r="A28" s="76"/>
      <c r="B28" s="66">
        <v>24</v>
      </c>
      <c r="C28" s="773"/>
      <c r="D28" s="38"/>
      <c r="E28" s="38"/>
      <c r="F28" s="38"/>
      <c r="G28" s="38"/>
      <c r="H28" s="75"/>
    </row>
    <row r="29" spans="1:9" s="5" customFormat="1" ht="20.100000000000001" customHeight="1" x14ac:dyDescent="0.3">
      <c r="A29" s="76"/>
      <c r="B29" s="20">
        <v>25</v>
      </c>
      <c r="C29" s="773" t="s">
        <v>73</v>
      </c>
      <c r="D29" s="38"/>
      <c r="E29" s="44"/>
      <c r="F29" s="44"/>
      <c r="G29" s="44"/>
      <c r="H29" s="86"/>
      <c r="I29" s="62"/>
    </row>
    <row r="30" spans="1:9" s="5" customFormat="1" ht="20.100000000000001" customHeight="1" x14ac:dyDescent="0.3">
      <c r="A30" s="76"/>
      <c r="B30" s="20">
        <v>26</v>
      </c>
      <c r="C30" s="773"/>
      <c r="D30" s="38"/>
      <c r="E30" s="38"/>
      <c r="F30" s="38"/>
      <c r="G30" s="38"/>
      <c r="H30" s="31"/>
    </row>
    <row r="31" spans="1:9" s="5" customFormat="1" ht="20.100000000000001" customHeight="1" x14ac:dyDescent="0.3">
      <c r="A31" s="76"/>
      <c r="B31" s="67">
        <v>27</v>
      </c>
      <c r="C31" s="773"/>
      <c r="D31" s="38"/>
      <c r="E31" s="38"/>
      <c r="F31" s="38"/>
      <c r="G31" s="38"/>
      <c r="H31" s="75"/>
    </row>
    <row r="32" spans="1:9" s="5" customFormat="1" ht="20.100000000000001" customHeight="1" x14ac:dyDescent="0.3">
      <c r="A32" s="76"/>
      <c r="B32" s="67">
        <v>28</v>
      </c>
      <c r="C32" s="773"/>
      <c r="D32" s="38"/>
      <c r="E32" s="38"/>
      <c r="F32" s="38"/>
      <c r="G32" s="38"/>
      <c r="H32" s="75"/>
    </row>
    <row r="33" spans="1:8" s="5" customFormat="1" ht="20.100000000000001" customHeight="1" x14ac:dyDescent="0.3">
      <c r="A33" s="76"/>
      <c r="B33" s="65">
        <v>29</v>
      </c>
      <c r="C33" s="773"/>
      <c r="D33" s="36"/>
      <c r="E33" s="37"/>
      <c r="F33" s="36"/>
      <c r="G33" s="36"/>
      <c r="H33" s="78"/>
    </row>
    <row r="34" spans="1:8" s="5" customFormat="1" ht="20.100000000000001" customHeight="1" x14ac:dyDescent="0.3">
      <c r="A34" s="76"/>
      <c r="B34" s="66">
        <v>30</v>
      </c>
      <c r="C34" s="773"/>
      <c r="D34" s="36"/>
      <c r="E34" s="38"/>
      <c r="F34" s="36"/>
      <c r="G34" s="36"/>
      <c r="H34" s="78"/>
    </row>
    <row r="35" spans="1:8" s="5" customFormat="1" ht="20.100000000000001" customHeight="1" x14ac:dyDescent="0.3">
      <c r="A35" s="76"/>
      <c r="B35" s="20">
        <v>31</v>
      </c>
      <c r="C35" s="773"/>
      <c r="D35" s="21"/>
      <c r="E35" s="44"/>
      <c r="F35" s="44"/>
      <c r="G35" s="44"/>
      <c r="H35" s="88"/>
    </row>
    <row r="36" spans="1:8" s="5" customFormat="1" ht="20.100000000000001" customHeight="1" x14ac:dyDescent="0.3">
      <c r="A36" s="76"/>
      <c r="B36" s="20">
        <v>32</v>
      </c>
      <c r="C36" s="773"/>
      <c r="D36" s="21"/>
      <c r="E36" s="44"/>
      <c r="F36" s="44"/>
      <c r="G36" s="44"/>
      <c r="H36" s="88"/>
    </row>
    <row r="37" spans="1:8" s="5" customFormat="1" ht="20.100000000000001" customHeight="1" x14ac:dyDescent="0.3">
      <c r="A37" s="76"/>
      <c r="B37" s="20">
        <v>33</v>
      </c>
      <c r="C37" s="773" t="s">
        <v>73</v>
      </c>
      <c r="D37" s="21"/>
      <c r="E37" s="64"/>
      <c r="F37" s="44"/>
      <c r="G37" s="44"/>
      <c r="H37" s="86"/>
    </row>
    <row r="38" spans="1:8" s="5" customFormat="1" ht="20.100000000000001" customHeight="1" x14ac:dyDescent="0.3">
      <c r="A38" s="76"/>
      <c r="B38" s="40">
        <v>34</v>
      </c>
      <c r="C38" s="773"/>
      <c r="D38" s="38"/>
      <c r="E38" s="23"/>
      <c r="F38" s="69"/>
      <c r="G38" s="69"/>
      <c r="H38" s="78"/>
    </row>
    <row r="39" spans="1:8" s="5" customFormat="1" ht="20.100000000000001" customHeight="1" x14ac:dyDescent="0.3">
      <c r="A39" s="76"/>
      <c r="B39" s="20">
        <v>35</v>
      </c>
      <c r="C39" s="773"/>
      <c r="D39" s="21"/>
      <c r="E39" s="23"/>
      <c r="F39" s="20"/>
      <c r="G39" s="69"/>
      <c r="H39" s="31"/>
    </row>
    <row r="40" spans="1:8" s="5" customFormat="1" ht="20.100000000000001" customHeight="1" x14ac:dyDescent="0.3">
      <c r="A40" s="76"/>
      <c r="B40" s="20">
        <v>36</v>
      </c>
      <c r="C40" s="773"/>
      <c r="D40" s="21"/>
      <c r="E40" s="35"/>
      <c r="F40" s="21"/>
      <c r="G40" s="69"/>
      <c r="H40" s="31"/>
    </row>
    <row r="41" spans="1:8" s="5" customFormat="1" ht="20.100000000000001" customHeight="1" x14ac:dyDescent="0.3">
      <c r="A41" s="76"/>
      <c r="B41" s="20">
        <v>37</v>
      </c>
      <c r="C41" s="773"/>
      <c r="D41" s="21"/>
      <c r="E41" s="23"/>
      <c r="F41" s="20"/>
      <c r="G41" s="69"/>
      <c r="H41" s="31"/>
    </row>
    <row r="42" spans="1:8" s="5" customFormat="1" ht="20.100000000000001" customHeight="1" x14ac:dyDescent="0.3">
      <c r="A42" s="76"/>
      <c r="B42" s="20">
        <v>38</v>
      </c>
      <c r="C42" s="773"/>
      <c r="D42" s="21"/>
      <c r="E42" s="22"/>
      <c r="F42" s="21"/>
      <c r="G42" s="20"/>
      <c r="H42" s="77"/>
    </row>
    <row r="43" spans="1:8" s="5" customFormat="1" ht="20.100000000000001" customHeight="1" x14ac:dyDescent="0.3">
      <c r="A43" s="76"/>
      <c r="B43" s="20">
        <v>39</v>
      </c>
      <c r="C43" s="773"/>
      <c r="D43" s="21"/>
      <c r="E43" s="35"/>
      <c r="F43" s="21"/>
      <c r="G43" s="69"/>
      <c r="H43" s="31"/>
    </row>
    <row r="44" spans="1:8" s="5" customFormat="1" ht="20.100000000000001" customHeight="1" x14ac:dyDescent="0.3">
      <c r="A44" s="76"/>
      <c r="B44" s="20">
        <v>40</v>
      </c>
      <c r="C44" s="773"/>
      <c r="D44" s="21"/>
      <c r="E44" s="22"/>
      <c r="F44" s="21"/>
      <c r="G44" s="20"/>
      <c r="H44" s="77"/>
    </row>
    <row r="45" spans="1:8" s="5" customFormat="1" ht="20.100000000000001" customHeight="1" x14ac:dyDescent="0.3">
      <c r="A45" s="76"/>
      <c r="B45" s="20">
        <v>41</v>
      </c>
      <c r="C45" s="763" t="s">
        <v>74</v>
      </c>
      <c r="D45" s="21"/>
      <c r="E45" s="22"/>
      <c r="F45" s="21"/>
      <c r="G45" s="20"/>
      <c r="H45" s="77"/>
    </row>
    <row r="46" spans="1:8" s="5" customFormat="1" ht="20.100000000000001" customHeight="1" x14ac:dyDescent="0.3">
      <c r="A46" s="76"/>
      <c r="B46" s="20">
        <v>42</v>
      </c>
      <c r="C46" s="763"/>
      <c r="D46" s="21"/>
      <c r="E46" s="23"/>
      <c r="F46" s="20"/>
      <c r="G46" s="69"/>
      <c r="H46" s="31"/>
    </row>
    <row r="47" spans="1:8" s="5" customFormat="1" ht="20.100000000000001" customHeight="1" x14ac:dyDescent="0.3">
      <c r="A47" s="76"/>
      <c r="B47" s="20">
        <v>43</v>
      </c>
      <c r="C47" s="763"/>
      <c r="D47" s="21"/>
      <c r="E47" s="23"/>
      <c r="F47" s="20"/>
      <c r="G47" s="69"/>
      <c r="H47" s="15"/>
    </row>
    <row r="48" spans="1:8" s="5" customFormat="1" ht="20.100000000000001" customHeight="1" x14ac:dyDescent="0.3">
      <c r="A48" s="76"/>
      <c r="B48" s="20">
        <v>44</v>
      </c>
      <c r="C48" s="763"/>
      <c r="D48" s="21"/>
      <c r="E48" s="22"/>
      <c r="F48" s="21"/>
      <c r="G48" s="63"/>
      <c r="H48" s="77"/>
    </row>
    <row r="49" spans="1:8" s="5" customFormat="1" ht="20.100000000000001" customHeight="1" x14ac:dyDescent="0.3">
      <c r="A49" s="76"/>
      <c r="B49" s="20">
        <v>45</v>
      </c>
      <c r="C49" s="763"/>
      <c r="D49" s="21"/>
      <c r="E49" s="22"/>
      <c r="F49" s="21"/>
      <c r="G49" s="20"/>
      <c r="H49" s="77"/>
    </row>
    <row r="50" spans="1:8" s="5" customFormat="1" ht="20.100000000000001" customHeight="1" x14ac:dyDescent="0.3">
      <c r="A50" s="76"/>
      <c r="B50" s="20">
        <v>46</v>
      </c>
      <c r="C50" s="763"/>
      <c r="D50" s="21"/>
      <c r="E50" s="22"/>
      <c r="F50" s="21"/>
      <c r="G50" s="20"/>
      <c r="H50" s="77"/>
    </row>
    <row r="51" spans="1:8" s="5" customFormat="1" ht="20.100000000000001" customHeight="1" x14ac:dyDescent="0.3">
      <c r="A51" s="76"/>
      <c r="B51" s="20">
        <v>47</v>
      </c>
      <c r="C51" s="763"/>
      <c r="D51" s="21"/>
      <c r="E51" s="22"/>
      <c r="F51" s="21"/>
      <c r="G51" s="20"/>
      <c r="H51" s="77"/>
    </row>
    <row r="52" spans="1:8" s="5" customFormat="1" ht="20.100000000000001" customHeight="1" x14ac:dyDescent="0.3">
      <c r="A52" s="76"/>
      <c r="B52" s="20">
        <v>48</v>
      </c>
      <c r="C52" s="763"/>
      <c r="D52" s="21"/>
      <c r="E52" s="22"/>
      <c r="F52" s="21"/>
      <c r="G52" s="20"/>
      <c r="H52" s="77"/>
    </row>
    <row r="53" spans="1:8" s="5" customFormat="1" ht="20.100000000000001" customHeight="1" x14ac:dyDescent="0.3">
      <c r="A53" s="76"/>
      <c r="B53" s="20">
        <v>49</v>
      </c>
      <c r="C53" s="763" t="s">
        <v>72</v>
      </c>
      <c r="D53" s="21"/>
      <c r="E53" s="22"/>
      <c r="F53" s="21"/>
      <c r="G53" s="20"/>
      <c r="H53" s="77"/>
    </row>
    <row r="54" spans="1:8" s="5" customFormat="1" ht="20.100000000000001" customHeight="1" x14ac:dyDescent="0.3">
      <c r="A54" s="76"/>
      <c r="B54" s="20">
        <v>50</v>
      </c>
      <c r="C54" s="763"/>
      <c r="D54" s="21"/>
      <c r="E54" s="22"/>
      <c r="F54" s="21"/>
      <c r="G54" s="20"/>
      <c r="H54" s="77"/>
    </row>
    <row r="55" spans="1:8" s="5" customFormat="1" ht="20.100000000000001" customHeight="1" x14ac:dyDescent="0.3">
      <c r="A55" s="76"/>
      <c r="B55" s="20">
        <v>51</v>
      </c>
      <c r="C55" s="763"/>
      <c r="D55" s="21"/>
      <c r="E55" s="22"/>
      <c r="F55" s="21"/>
      <c r="G55" s="20"/>
      <c r="H55" s="77"/>
    </row>
    <row r="56" spans="1:8" s="5" customFormat="1" ht="20.100000000000001" customHeight="1" x14ac:dyDescent="0.3">
      <c r="A56" s="76"/>
      <c r="B56" s="20">
        <v>52</v>
      </c>
      <c r="C56" s="763"/>
      <c r="D56" s="21"/>
      <c r="E56" s="22"/>
      <c r="F56" s="21"/>
      <c r="G56" s="20"/>
      <c r="H56" s="77"/>
    </row>
    <row r="57" spans="1:8" s="5" customFormat="1" ht="20.100000000000001" customHeight="1" x14ac:dyDescent="0.3">
      <c r="A57" s="76"/>
      <c r="B57" s="20">
        <v>53</v>
      </c>
      <c r="C57" s="763"/>
      <c r="D57" s="21"/>
      <c r="E57" s="22"/>
      <c r="F57" s="21"/>
      <c r="G57" s="20"/>
      <c r="H57" s="77"/>
    </row>
    <row r="58" spans="1:8" s="5" customFormat="1" ht="20.100000000000001" customHeight="1" x14ac:dyDescent="0.3">
      <c r="A58" s="76"/>
      <c r="B58" s="20">
        <v>54</v>
      </c>
      <c r="C58" s="763"/>
      <c r="D58" s="21"/>
      <c r="E58" s="22"/>
      <c r="F58" s="21"/>
      <c r="G58" s="20"/>
      <c r="H58" s="77"/>
    </row>
    <row r="59" spans="1:8" s="5" customFormat="1" ht="20.100000000000001" customHeight="1" x14ac:dyDescent="0.3">
      <c r="A59" s="76"/>
      <c r="B59" s="20">
        <v>55</v>
      </c>
      <c r="C59" s="763"/>
      <c r="D59" s="21"/>
      <c r="E59" s="22"/>
      <c r="F59" s="21"/>
      <c r="G59" s="20"/>
      <c r="H59" s="77"/>
    </row>
    <row r="60" spans="1:8" s="5" customFormat="1" ht="20.100000000000001" customHeight="1" x14ac:dyDescent="0.3">
      <c r="A60" s="76"/>
      <c r="B60" s="20">
        <v>56</v>
      </c>
      <c r="C60" s="763"/>
      <c r="D60" s="21"/>
      <c r="E60" s="22"/>
      <c r="F60" s="21"/>
      <c r="G60" s="20"/>
      <c r="H60" s="77"/>
    </row>
    <row r="61" spans="1:8" s="5" customFormat="1" ht="20.100000000000001" customHeight="1" x14ac:dyDescent="0.3">
      <c r="A61" s="76"/>
      <c r="B61" s="20">
        <v>57</v>
      </c>
      <c r="C61" s="763"/>
      <c r="D61" s="21"/>
      <c r="E61" s="22"/>
      <c r="F61" s="21"/>
      <c r="G61" s="20"/>
      <c r="H61" s="77"/>
    </row>
    <row r="62" spans="1:8" s="5" customFormat="1" ht="20.100000000000001" customHeight="1" x14ac:dyDescent="0.3">
      <c r="A62" s="76"/>
      <c r="B62" s="20">
        <v>58</v>
      </c>
      <c r="C62" s="763"/>
      <c r="D62" s="21"/>
      <c r="E62" s="22"/>
      <c r="F62" s="21"/>
      <c r="G62" s="20"/>
      <c r="H62" s="77"/>
    </row>
    <row r="63" spans="1:8" s="5" customFormat="1" ht="20.100000000000001" customHeight="1" x14ac:dyDescent="0.3">
      <c r="A63" s="76"/>
      <c r="B63" s="20">
        <v>59</v>
      </c>
      <c r="C63" s="763"/>
      <c r="D63" s="21"/>
      <c r="E63" s="22"/>
      <c r="F63" s="21"/>
      <c r="G63" s="20"/>
      <c r="H63" s="77"/>
    </row>
    <row r="64" spans="1:8" s="5" customFormat="1" ht="20.100000000000001" customHeight="1" x14ac:dyDescent="0.3">
      <c r="A64" s="76"/>
      <c r="B64" s="20">
        <v>60</v>
      </c>
      <c r="C64" s="763"/>
      <c r="D64" s="21"/>
      <c r="E64" s="22"/>
      <c r="F64" s="21"/>
      <c r="G64" s="20"/>
      <c r="H64" s="77"/>
    </row>
    <row r="65" spans="1:8" s="5" customFormat="1" ht="20.100000000000001" customHeight="1" x14ac:dyDescent="0.3">
      <c r="A65" s="76"/>
      <c r="B65" s="20">
        <v>61</v>
      </c>
      <c r="C65" s="763"/>
      <c r="D65" s="21"/>
      <c r="E65" s="22"/>
      <c r="F65" s="21"/>
      <c r="G65" s="20"/>
      <c r="H65" s="77"/>
    </row>
    <row r="66" spans="1:8" s="5" customFormat="1" ht="20.100000000000001" customHeight="1" x14ac:dyDescent="0.3">
      <c r="A66" s="76"/>
      <c r="B66" s="20">
        <v>62</v>
      </c>
      <c r="C66" s="763"/>
      <c r="D66" s="21"/>
      <c r="E66" s="22"/>
      <c r="F66" s="21"/>
      <c r="G66" s="20"/>
      <c r="H66" s="77"/>
    </row>
    <row r="67" spans="1:8" s="5" customFormat="1" ht="20.100000000000001" customHeight="1" x14ac:dyDescent="0.3">
      <c r="A67" s="76"/>
      <c r="B67" s="20">
        <v>63</v>
      </c>
      <c r="C67" s="763"/>
      <c r="D67" s="21"/>
      <c r="E67" s="22"/>
      <c r="F67" s="21"/>
      <c r="G67" s="20"/>
      <c r="H67" s="77"/>
    </row>
    <row r="68" spans="1:8" s="5" customFormat="1" ht="20.100000000000001" customHeight="1" x14ac:dyDescent="0.3">
      <c r="A68" s="76"/>
      <c r="B68" s="20">
        <v>64</v>
      </c>
      <c r="C68" s="763"/>
      <c r="D68" s="21"/>
      <c r="E68" s="22"/>
      <c r="F68" s="21"/>
      <c r="G68" s="20"/>
      <c r="H68" s="77"/>
    </row>
    <row r="69" spans="1:8" s="5" customFormat="1" ht="20.100000000000001" customHeight="1" x14ac:dyDescent="0.3">
      <c r="A69" s="76"/>
      <c r="B69" s="20">
        <v>65</v>
      </c>
      <c r="C69" s="763"/>
      <c r="D69" s="21"/>
      <c r="E69" s="22"/>
      <c r="F69" s="21"/>
      <c r="G69" s="20"/>
      <c r="H69" s="77"/>
    </row>
    <row r="70" spans="1:8" s="5" customFormat="1" ht="20.100000000000001" customHeight="1" x14ac:dyDescent="0.3">
      <c r="A70" s="76"/>
      <c r="B70" s="20">
        <v>66</v>
      </c>
      <c r="C70" s="763"/>
      <c r="D70" s="21"/>
      <c r="E70" s="22"/>
      <c r="F70" s="21"/>
      <c r="G70" s="20"/>
      <c r="H70" s="77"/>
    </row>
    <row r="71" spans="1:8" s="5" customFormat="1" ht="20.100000000000001" customHeight="1" x14ac:dyDescent="0.3">
      <c r="A71" s="76"/>
      <c r="B71" s="20">
        <v>67</v>
      </c>
      <c r="C71" s="763"/>
      <c r="D71" s="21"/>
      <c r="E71" s="22"/>
      <c r="F71" s="21"/>
      <c r="G71" s="20"/>
      <c r="H71" s="77"/>
    </row>
    <row r="72" spans="1:8" s="5" customFormat="1" ht="20.100000000000001" customHeight="1" x14ac:dyDescent="0.3">
      <c r="A72" s="76"/>
      <c r="B72" s="20">
        <v>68</v>
      </c>
      <c r="C72" s="763"/>
      <c r="D72" s="21"/>
      <c r="E72" s="22"/>
      <c r="F72" s="21"/>
      <c r="G72" s="20"/>
      <c r="H72" s="77"/>
    </row>
    <row r="73" spans="1:8" s="5" customFormat="1" ht="20.100000000000001" customHeight="1" x14ac:dyDescent="0.3">
      <c r="A73" s="76"/>
      <c r="B73" s="20">
        <v>69</v>
      </c>
      <c r="C73" s="763"/>
      <c r="D73" s="21"/>
      <c r="E73" s="22"/>
      <c r="F73" s="21"/>
      <c r="G73" s="20"/>
      <c r="H73" s="77"/>
    </row>
    <row r="74" spans="1:8" s="5" customFormat="1" ht="20.100000000000001" customHeight="1" x14ac:dyDescent="0.3">
      <c r="A74" s="76"/>
      <c r="B74" s="20">
        <v>70</v>
      </c>
      <c r="C74" s="763"/>
      <c r="D74" s="21"/>
      <c r="E74" s="22"/>
      <c r="F74" s="21"/>
      <c r="G74" s="20"/>
      <c r="H74" s="77"/>
    </row>
    <row r="75" spans="1:8" s="5" customFormat="1" ht="20.100000000000001" customHeight="1" x14ac:dyDescent="0.3">
      <c r="A75" s="76"/>
      <c r="B75" s="20">
        <v>71</v>
      </c>
      <c r="C75" s="763"/>
      <c r="D75" s="21"/>
      <c r="E75" s="22"/>
      <c r="F75" s="21"/>
      <c r="G75" s="20"/>
      <c r="H75" s="77"/>
    </row>
    <row r="76" spans="1:8" s="5" customFormat="1" ht="20.100000000000001" customHeight="1" x14ac:dyDescent="0.3">
      <c r="A76" s="76"/>
      <c r="B76" s="20">
        <v>72</v>
      </c>
      <c r="C76" s="763"/>
      <c r="D76" s="21"/>
      <c r="E76" s="22"/>
      <c r="F76" s="21"/>
      <c r="G76" s="20"/>
      <c r="H76" s="77"/>
    </row>
    <row r="77" spans="1:8" s="5" customFormat="1" ht="20.100000000000001" customHeight="1" x14ac:dyDescent="0.3">
      <c r="A77" s="76"/>
      <c r="B77" s="20">
        <v>73</v>
      </c>
      <c r="C77" s="763"/>
      <c r="D77" s="21"/>
      <c r="E77" s="22"/>
      <c r="F77" s="21"/>
      <c r="G77" s="20"/>
      <c r="H77" s="77"/>
    </row>
    <row r="78" spans="1:8" s="5" customFormat="1" ht="20.100000000000001" customHeight="1" x14ac:dyDescent="0.3">
      <c r="A78" s="76"/>
      <c r="B78" s="20">
        <v>74</v>
      </c>
      <c r="C78" s="763"/>
      <c r="D78" s="21"/>
      <c r="E78" s="22"/>
      <c r="F78" s="21"/>
      <c r="G78" s="20"/>
      <c r="H78" s="77"/>
    </row>
    <row r="79" spans="1:8" s="5" customFormat="1" ht="20.100000000000001" customHeight="1" x14ac:dyDescent="0.3">
      <c r="A79" s="76"/>
      <c r="B79" s="20">
        <v>75</v>
      </c>
      <c r="C79" s="763"/>
      <c r="D79" s="21"/>
      <c r="E79" s="22"/>
      <c r="F79" s="21"/>
      <c r="G79" s="20"/>
      <c r="H79" s="77"/>
    </row>
    <row r="80" spans="1:8" s="5" customFormat="1" ht="20.100000000000001" customHeight="1" x14ac:dyDescent="0.3">
      <c r="A80" s="76"/>
      <c r="B80" s="20">
        <v>76</v>
      </c>
      <c r="C80" s="763"/>
      <c r="D80" s="21"/>
      <c r="E80" s="22"/>
      <c r="F80" s="21"/>
      <c r="G80" s="20"/>
      <c r="H80" s="77"/>
    </row>
    <row r="81" spans="1:8" s="5" customFormat="1" ht="20.100000000000001" customHeight="1" x14ac:dyDescent="0.3">
      <c r="A81" s="76"/>
      <c r="B81" s="20">
        <v>77</v>
      </c>
      <c r="C81" s="763"/>
      <c r="D81" s="21"/>
      <c r="E81" s="22"/>
      <c r="F81" s="21"/>
      <c r="G81" s="20"/>
      <c r="H81" s="77"/>
    </row>
    <row r="82" spans="1:8" s="5" customFormat="1" ht="20.100000000000001" customHeight="1" x14ac:dyDescent="0.3">
      <c r="A82" s="76"/>
      <c r="B82" s="20">
        <v>78</v>
      </c>
      <c r="C82" s="763"/>
      <c r="D82" s="21"/>
      <c r="E82" s="22"/>
      <c r="F82" s="21"/>
      <c r="G82" s="20"/>
      <c r="H82" s="77"/>
    </row>
    <row r="83" spans="1:8" s="5" customFormat="1" ht="20.100000000000001" customHeight="1" x14ac:dyDescent="0.3">
      <c r="A83" s="76"/>
      <c r="B83" s="20">
        <v>79</v>
      </c>
      <c r="C83" s="763"/>
      <c r="D83" s="21"/>
      <c r="E83" s="22"/>
      <c r="F83" s="21"/>
      <c r="G83" s="20"/>
      <c r="H83" s="77"/>
    </row>
    <row r="84" spans="1:8" s="5" customFormat="1" ht="20.100000000000001" customHeight="1" x14ac:dyDescent="0.3">
      <c r="A84" s="81"/>
      <c r="B84" s="82">
        <v>80</v>
      </c>
      <c r="C84" s="774"/>
      <c r="D84" s="83"/>
      <c r="E84" s="89"/>
      <c r="F84" s="83"/>
      <c r="G84" s="82"/>
      <c r="H84" s="85"/>
    </row>
    <row r="85" spans="1:8" ht="27" customHeight="1" x14ac:dyDescent="0.3"/>
    <row r="86" spans="1:8" ht="27" customHeight="1" x14ac:dyDescent="0.3"/>
    <row r="87" spans="1:8" ht="27" customHeight="1" x14ac:dyDescent="0.3"/>
    <row r="88" spans="1:8" ht="27" customHeight="1" x14ac:dyDescent="0.3"/>
    <row r="89" spans="1:8" ht="27" customHeight="1" x14ac:dyDescent="0.3"/>
    <row r="90" spans="1:8" ht="27" customHeight="1" x14ac:dyDescent="0.3"/>
    <row r="91" spans="1:8" ht="27" customHeight="1" x14ac:dyDescent="0.3"/>
  </sheetData>
  <mergeCells count="12">
    <mergeCell ref="C69:C76"/>
    <mergeCell ref="C77:C84"/>
    <mergeCell ref="C29:C36"/>
    <mergeCell ref="C37:C44"/>
    <mergeCell ref="C45:C52"/>
    <mergeCell ref="C53:C60"/>
    <mergeCell ref="C61:C68"/>
    <mergeCell ref="A1:H1"/>
    <mergeCell ref="D4:G4"/>
    <mergeCell ref="C5:C12"/>
    <mergeCell ref="C13:C20"/>
    <mergeCell ref="C21:C28"/>
  </mergeCells>
  <phoneticPr fontId="10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63" orientation="portrait" r:id="rId1"/>
  <rowBreaks count="1" manualBreakCount="1">
    <brk id="44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7"/>
  <sheetViews>
    <sheetView view="pageBreakPreview" zoomScale="60" zoomScaleNormal="100" workbookViewId="0">
      <selection activeCell="G22" sqref="G22"/>
    </sheetView>
  </sheetViews>
  <sheetFormatPr defaultRowHeight="16.5" x14ac:dyDescent="0.3"/>
  <cols>
    <col min="1" max="1" width="14.625" style="1" customWidth="1"/>
    <col min="2" max="2" width="7.625" style="5" customWidth="1"/>
    <col min="3" max="3" width="7.625" style="1" customWidth="1"/>
    <col min="4" max="4" width="5.625" style="2" customWidth="1"/>
    <col min="5" max="5" width="12.625" style="3" customWidth="1"/>
    <col min="6" max="6" width="5.625" style="2" customWidth="1"/>
    <col min="7" max="7" width="28.5" style="2" customWidth="1"/>
    <col min="8" max="8" width="64.5" style="1" customWidth="1"/>
    <col min="9" max="16384" width="9" style="1"/>
  </cols>
  <sheetData>
    <row r="1" spans="1:8" ht="38.25" x14ac:dyDescent="0.3">
      <c r="A1" s="764" t="s">
        <v>820</v>
      </c>
      <c r="B1" s="764"/>
      <c r="C1" s="764"/>
      <c r="D1" s="764"/>
      <c r="E1" s="764"/>
      <c r="F1" s="764"/>
      <c r="G1" s="764"/>
      <c r="H1" s="764"/>
    </row>
    <row r="4" spans="1:8" s="5" customFormat="1" ht="30" customHeight="1" x14ac:dyDescent="0.3">
      <c r="A4" s="71" t="s">
        <v>52</v>
      </c>
      <c r="B4" s="72" t="s">
        <v>2</v>
      </c>
      <c r="C4" s="72" t="s">
        <v>3</v>
      </c>
      <c r="D4" s="765" t="s">
        <v>53</v>
      </c>
      <c r="E4" s="765"/>
      <c r="F4" s="765"/>
      <c r="G4" s="765"/>
      <c r="H4" s="73" t="s">
        <v>5</v>
      </c>
    </row>
    <row r="5" spans="1:8" s="5" customFormat="1" ht="18.75" customHeight="1" x14ac:dyDescent="0.3">
      <c r="A5" s="74" t="s">
        <v>33</v>
      </c>
      <c r="B5" s="20">
        <v>1</v>
      </c>
      <c r="C5" s="763" t="s">
        <v>72</v>
      </c>
      <c r="D5" s="24"/>
      <c r="E5" s="38"/>
      <c r="F5" s="26"/>
      <c r="G5" s="26"/>
      <c r="H5" s="31"/>
    </row>
    <row r="6" spans="1:8" s="5" customFormat="1" ht="18.75" customHeight="1" x14ac:dyDescent="0.3">
      <c r="A6" s="74" t="s">
        <v>56</v>
      </c>
      <c r="B6" s="20">
        <v>2</v>
      </c>
      <c r="C6" s="763"/>
      <c r="D6" s="24"/>
      <c r="E6" s="38"/>
      <c r="F6" s="26"/>
      <c r="G6" s="26"/>
      <c r="H6" s="31"/>
    </row>
    <row r="7" spans="1:8" s="5" customFormat="1" ht="18.75" customHeight="1" x14ac:dyDescent="0.3">
      <c r="A7" s="76"/>
      <c r="B7" s="20">
        <v>3</v>
      </c>
      <c r="C7" s="763"/>
      <c r="D7" s="20"/>
      <c r="E7" s="26"/>
      <c r="F7" s="26"/>
      <c r="G7" s="26"/>
      <c r="H7" s="31"/>
    </row>
    <row r="8" spans="1:8" s="5" customFormat="1" ht="18.75" customHeight="1" x14ac:dyDescent="0.3">
      <c r="A8" s="76"/>
      <c r="B8" s="20">
        <v>4</v>
      </c>
      <c r="C8" s="763"/>
      <c r="D8" s="20"/>
      <c r="E8" s="26"/>
      <c r="F8" s="26"/>
      <c r="G8" s="26"/>
      <c r="H8" s="31"/>
    </row>
    <row r="9" spans="1:8" s="5" customFormat="1" ht="18.75" customHeight="1" x14ac:dyDescent="0.3">
      <c r="A9" s="76"/>
      <c r="B9" s="20">
        <v>5</v>
      </c>
      <c r="C9" s="763"/>
      <c r="D9" s="69"/>
      <c r="E9" s="26"/>
      <c r="F9" s="26"/>
      <c r="G9" s="26"/>
      <c r="H9" s="31"/>
    </row>
    <row r="10" spans="1:8" s="5" customFormat="1" ht="18.75" customHeight="1" x14ac:dyDescent="0.3">
      <c r="A10" s="76"/>
      <c r="B10" s="20">
        <v>6</v>
      </c>
      <c r="C10" s="763"/>
      <c r="D10" s="69"/>
      <c r="E10" s="4"/>
      <c r="F10" s="20"/>
      <c r="G10" s="20"/>
      <c r="H10" s="77"/>
    </row>
    <row r="11" spans="1:8" s="5" customFormat="1" ht="18.75" customHeight="1" x14ac:dyDescent="0.3">
      <c r="A11" s="76"/>
      <c r="B11" s="20">
        <v>7</v>
      </c>
      <c r="C11" s="763"/>
      <c r="D11" s="69"/>
      <c r="E11" s="23"/>
      <c r="F11" s="20"/>
      <c r="G11" s="115"/>
      <c r="H11" s="31"/>
    </row>
    <row r="12" spans="1:8" s="5" customFormat="1" ht="18.75" customHeight="1" x14ac:dyDescent="0.3">
      <c r="A12" s="76"/>
      <c r="B12" s="20">
        <v>8</v>
      </c>
      <c r="C12" s="763"/>
      <c r="D12" s="20"/>
      <c r="E12" s="4"/>
      <c r="F12" s="20"/>
      <c r="G12" s="20"/>
      <c r="H12" s="77"/>
    </row>
    <row r="13" spans="1:8" s="5" customFormat="1" ht="18.75" customHeight="1" x14ac:dyDescent="0.3">
      <c r="A13" s="76"/>
      <c r="B13" s="20">
        <v>9</v>
      </c>
      <c r="C13" s="773" t="s">
        <v>73</v>
      </c>
      <c r="D13" s="528"/>
      <c r="E13" s="23"/>
      <c r="F13" s="69"/>
      <c r="G13" s="69"/>
      <c r="H13" s="78"/>
    </row>
    <row r="14" spans="1:8" s="5" customFormat="1" ht="18.75" customHeight="1" x14ac:dyDescent="0.3">
      <c r="A14" s="76"/>
      <c r="B14" s="20">
        <v>10</v>
      </c>
      <c r="C14" s="773"/>
      <c r="D14" s="528"/>
      <c r="E14" s="23"/>
      <c r="F14" s="69"/>
      <c r="G14" s="69"/>
      <c r="H14" s="31"/>
    </row>
    <row r="15" spans="1:8" s="5" customFormat="1" ht="18.75" customHeight="1" x14ac:dyDescent="0.3">
      <c r="A15" s="76"/>
      <c r="B15" s="20">
        <v>11</v>
      </c>
      <c r="C15" s="773"/>
      <c r="D15" s="528"/>
      <c r="E15" s="23" t="s">
        <v>138</v>
      </c>
      <c r="F15" s="20"/>
      <c r="G15" s="69" t="s">
        <v>901</v>
      </c>
      <c r="H15" s="31" t="str">
        <f>'통합단말(춘천COT-DS0)'!H22</f>
        <v>본부-20(C-MUX)-춘천-18(통합단말)11-북춘천-16(P32T)-춘천HP</v>
      </c>
    </row>
    <row r="16" spans="1:8" s="5" customFormat="1" ht="18.75" customHeight="1" x14ac:dyDescent="0.3">
      <c r="A16" s="76"/>
      <c r="B16" s="20">
        <v>12</v>
      </c>
      <c r="C16" s="773"/>
      <c r="D16" s="528"/>
      <c r="E16" s="23"/>
      <c r="F16" s="20"/>
      <c r="G16" s="69"/>
      <c r="H16" s="31"/>
    </row>
    <row r="17" spans="1:8" s="5" customFormat="1" ht="18.75" customHeight="1" x14ac:dyDescent="0.3">
      <c r="A17" s="76"/>
      <c r="B17" s="20">
        <v>13</v>
      </c>
      <c r="C17" s="773"/>
      <c r="D17" s="250"/>
      <c r="E17" s="23"/>
      <c r="F17" s="20"/>
      <c r="G17" s="69"/>
      <c r="H17" s="31"/>
    </row>
    <row r="18" spans="1:8" s="5" customFormat="1" ht="18.75" customHeight="1" x14ac:dyDescent="0.3">
      <c r="A18" s="76"/>
      <c r="B18" s="20">
        <v>14</v>
      </c>
      <c r="C18" s="773"/>
      <c r="D18" s="305"/>
      <c r="E18" s="472"/>
      <c r="F18" s="279"/>
      <c r="G18" s="279"/>
      <c r="H18" s="120"/>
    </row>
    <row r="19" spans="1:8" s="5" customFormat="1" ht="18.75" customHeight="1" x14ac:dyDescent="0.3">
      <c r="A19" s="76"/>
      <c r="B19" s="20">
        <v>15</v>
      </c>
      <c r="C19" s="773"/>
      <c r="D19" s="528"/>
      <c r="E19" s="23"/>
      <c r="F19" s="69"/>
      <c r="G19" s="69"/>
      <c r="H19" s="78"/>
    </row>
    <row r="20" spans="1:8" s="5" customFormat="1" ht="18.75" customHeight="1" x14ac:dyDescent="0.3">
      <c r="A20" s="76"/>
      <c r="B20" s="20">
        <v>16</v>
      </c>
      <c r="C20" s="773"/>
      <c r="D20" s="250"/>
      <c r="E20" s="23"/>
      <c r="F20" s="20"/>
      <c r="G20" s="69"/>
      <c r="H20" s="31"/>
    </row>
    <row r="21" spans="1:8" s="5" customFormat="1" ht="18.75" customHeight="1" x14ac:dyDescent="0.3">
      <c r="A21" s="76"/>
      <c r="B21" s="20">
        <v>17</v>
      </c>
      <c r="C21" s="763" t="s">
        <v>74</v>
      </c>
      <c r="D21" s="250"/>
      <c r="E21" s="4"/>
      <c r="F21" s="20"/>
      <c r="G21" s="20"/>
      <c r="H21" s="77"/>
    </row>
    <row r="22" spans="1:8" s="5" customFormat="1" ht="18.75" customHeight="1" x14ac:dyDescent="0.3">
      <c r="A22" s="76"/>
      <c r="B22" s="20">
        <v>18</v>
      </c>
      <c r="C22" s="763"/>
      <c r="D22" s="250"/>
      <c r="E22" s="4"/>
      <c r="F22" s="20"/>
      <c r="G22" s="20"/>
      <c r="H22" s="77"/>
    </row>
    <row r="23" spans="1:8" s="5" customFormat="1" ht="18.75" customHeight="1" x14ac:dyDescent="0.3">
      <c r="A23" s="76"/>
      <c r="B23" s="20">
        <v>19</v>
      </c>
      <c r="C23" s="763"/>
      <c r="D23" s="250"/>
      <c r="E23" s="4"/>
      <c r="F23" s="20"/>
      <c r="G23" s="20"/>
      <c r="H23" s="77"/>
    </row>
    <row r="24" spans="1:8" s="5" customFormat="1" ht="18.75" customHeight="1" x14ac:dyDescent="0.3">
      <c r="A24" s="76"/>
      <c r="B24" s="20">
        <v>20</v>
      </c>
      <c r="C24" s="763"/>
      <c r="D24" s="250"/>
      <c r="E24" s="4"/>
      <c r="F24" s="20"/>
      <c r="G24" s="20"/>
      <c r="H24" s="77"/>
    </row>
    <row r="25" spans="1:8" s="5" customFormat="1" ht="18.75" customHeight="1" x14ac:dyDescent="0.3">
      <c r="A25" s="76"/>
      <c r="B25" s="20">
        <v>21</v>
      </c>
      <c r="C25" s="763"/>
      <c r="D25" s="250"/>
      <c r="E25" s="4"/>
      <c r="F25" s="20"/>
      <c r="G25" s="20"/>
      <c r="H25" s="77"/>
    </row>
    <row r="26" spans="1:8" s="5" customFormat="1" ht="18.75" customHeight="1" x14ac:dyDescent="0.3">
      <c r="A26" s="76"/>
      <c r="B26" s="20">
        <v>22</v>
      </c>
      <c r="C26" s="763"/>
      <c r="D26" s="250"/>
      <c r="E26" s="4"/>
      <c r="F26" s="20"/>
      <c r="G26" s="20"/>
      <c r="H26" s="77"/>
    </row>
    <row r="27" spans="1:8" s="5" customFormat="1" ht="18.75" customHeight="1" x14ac:dyDescent="0.3">
      <c r="A27" s="76"/>
      <c r="B27" s="20">
        <v>23</v>
      </c>
      <c r="C27" s="763"/>
      <c r="D27" s="250"/>
      <c r="E27" s="4"/>
      <c r="F27" s="20"/>
      <c r="G27" s="20"/>
      <c r="H27" s="77"/>
    </row>
    <row r="28" spans="1:8" s="5" customFormat="1" ht="18.75" customHeight="1" x14ac:dyDescent="0.3">
      <c r="A28" s="76"/>
      <c r="B28" s="20">
        <v>24</v>
      </c>
      <c r="C28" s="763"/>
      <c r="D28" s="250"/>
      <c r="E28" s="4"/>
      <c r="F28" s="20"/>
      <c r="G28" s="20"/>
      <c r="H28" s="77"/>
    </row>
    <row r="29" spans="1:8" s="5" customFormat="1" ht="18.75" customHeight="1" x14ac:dyDescent="0.3">
      <c r="A29" s="76"/>
      <c r="B29" s="20">
        <v>25</v>
      </c>
      <c r="C29" s="763"/>
      <c r="D29" s="250"/>
      <c r="E29" s="4"/>
      <c r="F29" s="20"/>
      <c r="G29" s="20"/>
      <c r="H29" s="77"/>
    </row>
    <row r="30" spans="1:8" s="5" customFormat="1" ht="18.75" customHeight="1" x14ac:dyDescent="0.3">
      <c r="A30" s="76"/>
      <c r="B30" s="20">
        <v>26</v>
      </c>
      <c r="C30" s="763"/>
      <c r="D30" s="250"/>
      <c r="E30" s="4"/>
      <c r="F30" s="20"/>
      <c r="G30" s="20"/>
      <c r="H30" s="77"/>
    </row>
    <row r="31" spans="1:8" s="5" customFormat="1" ht="18.75" customHeight="1" x14ac:dyDescent="0.3">
      <c r="A31" s="76"/>
      <c r="B31" s="20">
        <v>27</v>
      </c>
      <c r="C31" s="763"/>
      <c r="D31" s="250"/>
      <c r="E31" s="4"/>
      <c r="F31" s="20"/>
      <c r="G31" s="20"/>
      <c r="H31" s="77"/>
    </row>
    <row r="32" spans="1:8" s="5" customFormat="1" ht="18.75" customHeight="1" x14ac:dyDescent="0.3">
      <c r="A32" s="76"/>
      <c r="B32" s="20">
        <v>28</v>
      </c>
      <c r="C32" s="763"/>
      <c r="D32" s="250"/>
      <c r="E32" s="4"/>
      <c r="F32" s="20"/>
      <c r="G32" s="20"/>
      <c r="H32" s="77"/>
    </row>
    <row r="33" spans="1:8" s="5" customFormat="1" ht="18.75" customHeight="1" x14ac:dyDescent="0.3">
      <c r="A33" s="76"/>
      <c r="B33" s="20">
        <v>29</v>
      </c>
      <c r="C33" s="763"/>
      <c r="D33" s="250"/>
      <c r="E33" s="4"/>
      <c r="F33" s="20"/>
      <c r="G33" s="20"/>
      <c r="H33" s="77"/>
    </row>
    <row r="34" spans="1:8" s="5" customFormat="1" ht="18.75" customHeight="1" x14ac:dyDescent="0.3">
      <c r="A34" s="76"/>
      <c r="B34" s="20">
        <v>30</v>
      </c>
      <c r="C34" s="763"/>
      <c r="D34" s="250"/>
      <c r="E34" s="4"/>
      <c r="F34" s="20"/>
      <c r="G34" s="20"/>
      <c r="H34" s="77"/>
    </row>
    <row r="35" spans="1:8" s="5" customFormat="1" ht="18.75" customHeight="1" x14ac:dyDescent="0.3">
      <c r="A35" s="76"/>
      <c r="B35" s="20">
        <v>31</v>
      </c>
      <c r="C35" s="763"/>
      <c r="D35" s="250"/>
      <c r="E35" s="4"/>
      <c r="F35" s="20"/>
      <c r="G35" s="20"/>
      <c r="H35" s="77"/>
    </row>
    <row r="36" spans="1:8" s="5" customFormat="1" ht="18.75" customHeight="1" x14ac:dyDescent="0.3">
      <c r="A36" s="76"/>
      <c r="B36" s="20">
        <v>32</v>
      </c>
      <c r="C36" s="763"/>
      <c r="D36" s="250"/>
      <c r="E36" s="4"/>
      <c r="F36" s="20"/>
      <c r="G36" s="20"/>
      <c r="H36" s="77"/>
    </row>
    <row r="37" spans="1:8" s="5" customFormat="1" ht="18.75" customHeight="1" x14ac:dyDescent="0.3">
      <c r="A37" s="74" t="s">
        <v>34</v>
      </c>
      <c r="B37" s="20">
        <v>1</v>
      </c>
      <c r="C37" s="763" t="s">
        <v>72</v>
      </c>
      <c r="D37" s="379"/>
      <c r="E37" s="38"/>
      <c r="F37" s="26"/>
      <c r="G37" s="26"/>
      <c r="H37" s="31"/>
    </row>
    <row r="38" spans="1:8" s="5" customFormat="1" ht="18.75" customHeight="1" x14ac:dyDescent="0.3">
      <c r="A38" s="74" t="s">
        <v>59</v>
      </c>
      <c r="B38" s="20">
        <v>2</v>
      </c>
      <c r="C38" s="763"/>
      <c r="D38" s="379"/>
      <c r="E38" s="69"/>
      <c r="F38" s="69"/>
      <c r="G38" s="69"/>
      <c r="H38" s="78"/>
    </row>
    <row r="39" spans="1:8" s="5" customFormat="1" ht="18.75" customHeight="1" x14ac:dyDescent="0.3">
      <c r="A39" s="76"/>
      <c r="B39" s="20">
        <v>3</v>
      </c>
      <c r="C39" s="763"/>
      <c r="D39" s="250"/>
      <c r="E39" s="69"/>
      <c r="F39" s="69"/>
      <c r="G39" s="69"/>
      <c r="H39" s="78"/>
    </row>
    <row r="40" spans="1:8" s="5" customFormat="1" ht="18.75" customHeight="1" x14ac:dyDescent="0.3">
      <c r="A40" s="76"/>
      <c r="B40" s="20">
        <v>4</v>
      </c>
      <c r="C40" s="763"/>
      <c r="D40" s="250"/>
      <c r="E40" s="69"/>
      <c r="F40" s="69"/>
      <c r="G40" s="69"/>
      <c r="H40" s="78"/>
    </row>
    <row r="41" spans="1:8" s="5" customFormat="1" ht="18.75" customHeight="1" x14ac:dyDescent="0.3">
      <c r="A41" s="76"/>
      <c r="B41" s="20">
        <v>5</v>
      </c>
      <c r="C41" s="763"/>
      <c r="D41" s="528"/>
      <c r="E41" s="69"/>
      <c r="F41" s="69"/>
      <c r="G41" s="69"/>
      <c r="H41" s="78"/>
    </row>
    <row r="42" spans="1:8" s="5" customFormat="1" ht="18.75" customHeight="1" x14ac:dyDescent="0.3">
      <c r="A42" s="76"/>
      <c r="B42" s="20">
        <v>6</v>
      </c>
      <c r="C42" s="763"/>
      <c r="D42" s="528"/>
      <c r="E42" s="23"/>
      <c r="F42" s="20"/>
      <c r="G42" s="69"/>
      <c r="H42" s="31"/>
    </row>
    <row r="43" spans="1:8" s="5" customFormat="1" ht="18.75" customHeight="1" x14ac:dyDescent="0.3">
      <c r="A43" s="76"/>
      <c r="B43" s="20">
        <v>7</v>
      </c>
      <c r="C43" s="763"/>
      <c r="D43" s="528"/>
      <c r="E43" s="23"/>
      <c r="F43" s="20"/>
      <c r="G43" s="115"/>
      <c r="H43" s="78"/>
    </row>
    <row r="44" spans="1:8" s="5" customFormat="1" ht="18.75" customHeight="1" x14ac:dyDescent="0.3">
      <c r="A44" s="76"/>
      <c r="B44" s="20">
        <v>8</v>
      </c>
      <c r="C44" s="763"/>
      <c r="D44" s="250"/>
      <c r="E44" s="4"/>
      <c r="F44" s="20"/>
      <c r="G44" s="20"/>
      <c r="H44" s="77"/>
    </row>
    <row r="45" spans="1:8" s="5" customFormat="1" ht="18.75" customHeight="1" x14ac:dyDescent="0.3">
      <c r="A45" s="76"/>
      <c r="B45" s="20">
        <v>9</v>
      </c>
      <c r="C45" s="773" t="s">
        <v>73</v>
      </c>
      <c r="D45" s="528"/>
      <c r="E45" s="23"/>
      <c r="F45" s="69"/>
      <c r="G45" s="69"/>
      <c r="H45" s="78"/>
    </row>
    <row r="46" spans="1:8" s="5" customFormat="1" ht="18.75" customHeight="1" x14ac:dyDescent="0.3">
      <c r="A46" s="76"/>
      <c r="B46" s="20">
        <v>10</v>
      </c>
      <c r="C46" s="773"/>
      <c r="D46" s="528"/>
      <c r="E46" s="23"/>
      <c r="F46" s="69"/>
      <c r="G46" s="69"/>
      <c r="H46" s="15"/>
    </row>
    <row r="47" spans="1:8" s="5" customFormat="1" ht="18.75" customHeight="1" x14ac:dyDescent="0.3">
      <c r="A47" s="76"/>
      <c r="B47" s="20">
        <v>11</v>
      </c>
      <c r="C47" s="773"/>
      <c r="D47" s="528"/>
      <c r="E47" s="35"/>
      <c r="F47" s="34"/>
      <c r="G47" s="69"/>
      <c r="H47" s="78"/>
    </row>
    <row r="48" spans="1:8" s="5" customFormat="1" ht="18.75" customHeight="1" x14ac:dyDescent="0.3">
      <c r="A48" s="76"/>
      <c r="B48" s="20">
        <v>12</v>
      </c>
      <c r="C48" s="773"/>
      <c r="D48" s="528"/>
      <c r="E48" s="4"/>
      <c r="F48" s="20"/>
      <c r="G48" s="20"/>
      <c r="H48" s="77"/>
    </row>
    <row r="49" spans="1:8" s="5" customFormat="1" ht="18.75" customHeight="1" x14ac:dyDescent="0.3">
      <c r="A49" s="76"/>
      <c r="B49" s="20">
        <v>13</v>
      </c>
      <c r="C49" s="773"/>
      <c r="D49" s="250"/>
      <c r="E49" s="4"/>
      <c r="F49" s="20"/>
      <c r="G49" s="20"/>
      <c r="H49" s="77"/>
    </row>
    <row r="50" spans="1:8" s="5" customFormat="1" ht="18.75" customHeight="1" x14ac:dyDescent="0.3">
      <c r="A50" s="76"/>
      <c r="B50" s="20">
        <v>14</v>
      </c>
      <c r="C50" s="773"/>
      <c r="D50" s="20"/>
      <c r="E50" s="4"/>
      <c r="F50" s="20"/>
      <c r="G50" s="20"/>
      <c r="H50" s="77"/>
    </row>
    <row r="51" spans="1:8" s="5" customFormat="1" ht="18.75" customHeight="1" x14ac:dyDescent="0.3">
      <c r="A51" s="76"/>
      <c r="B51" s="20">
        <v>15</v>
      </c>
      <c r="C51" s="773"/>
      <c r="D51" s="20"/>
      <c r="E51" s="4"/>
      <c r="F51" s="20"/>
      <c r="G51" s="20"/>
      <c r="H51" s="77"/>
    </row>
    <row r="52" spans="1:8" s="5" customFormat="1" ht="18.75" customHeight="1" x14ac:dyDescent="0.3">
      <c r="A52" s="76"/>
      <c r="B52" s="20">
        <v>16</v>
      </c>
      <c r="C52" s="773"/>
      <c r="D52" s="20"/>
      <c r="E52" s="4"/>
      <c r="F52" s="20"/>
      <c r="G52" s="20"/>
      <c r="H52" s="77"/>
    </row>
    <row r="53" spans="1:8" s="5" customFormat="1" ht="18.75" customHeight="1" x14ac:dyDescent="0.3">
      <c r="A53" s="76"/>
      <c r="B53" s="20">
        <v>17</v>
      </c>
      <c r="C53" s="763" t="s">
        <v>74</v>
      </c>
      <c r="D53" s="20"/>
      <c r="E53" s="4"/>
      <c r="F53" s="20"/>
      <c r="G53" s="20"/>
      <c r="H53" s="77"/>
    </row>
    <row r="54" spans="1:8" s="5" customFormat="1" ht="18.75" customHeight="1" x14ac:dyDescent="0.3">
      <c r="A54" s="76"/>
      <c r="B54" s="20">
        <v>18</v>
      </c>
      <c r="C54" s="763"/>
      <c r="D54" s="20"/>
      <c r="E54" s="4"/>
      <c r="F54" s="20"/>
      <c r="G54" s="20"/>
      <c r="H54" s="77"/>
    </row>
    <row r="55" spans="1:8" s="5" customFormat="1" ht="18.75" customHeight="1" x14ac:dyDescent="0.3">
      <c r="A55" s="76"/>
      <c r="B55" s="20">
        <v>19</v>
      </c>
      <c r="C55" s="763"/>
      <c r="D55" s="20"/>
      <c r="E55" s="4"/>
      <c r="F55" s="20"/>
      <c r="G55" s="20"/>
      <c r="H55" s="77"/>
    </row>
    <row r="56" spans="1:8" s="5" customFormat="1" ht="18.75" customHeight="1" x14ac:dyDescent="0.3">
      <c r="A56" s="76"/>
      <c r="B56" s="20">
        <v>20</v>
      </c>
      <c r="C56" s="763"/>
      <c r="D56" s="20"/>
      <c r="E56" s="4"/>
      <c r="F56" s="20"/>
      <c r="G56" s="20"/>
      <c r="H56" s="77"/>
    </row>
    <row r="57" spans="1:8" s="5" customFormat="1" ht="18.75" customHeight="1" x14ac:dyDescent="0.3">
      <c r="A57" s="76"/>
      <c r="B57" s="20">
        <v>21</v>
      </c>
      <c r="C57" s="763"/>
      <c r="D57" s="20"/>
      <c r="E57" s="4"/>
      <c r="F57" s="20"/>
      <c r="G57" s="20"/>
      <c r="H57" s="77"/>
    </row>
    <row r="58" spans="1:8" s="5" customFormat="1" ht="18.75" customHeight="1" x14ac:dyDescent="0.3">
      <c r="A58" s="76"/>
      <c r="B58" s="20">
        <v>22</v>
      </c>
      <c r="C58" s="763"/>
      <c r="D58" s="20"/>
      <c r="E58" s="4"/>
      <c r="F58" s="20"/>
      <c r="G58" s="20"/>
      <c r="H58" s="77"/>
    </row>
    <row r="59" spans="1:8" s="5" customFormat="1" ht="18.75" customHeight="1" x14ac:dyDescent="0.3">
      <c r="A59" s="76"/>
      <c r="B59" s="20">
        <v>23</v>
      </c>
      <c r="C59" s="763"/>
      <c r="D59" s="20"/>
      <c r="E59" s="4"/>
      <c r="F59" s="20"/>
      <c r="G59" s="20"/>
      <c r="H59" s="77"/>
    </row>
    <row r="60" spans="1:8" s="5" customFormat="1" ht="18.75" customHeight="1" x14ac:dyDescent="0.3">
      <c r="A60" s="76"/>
      <c r="B60" s="20">
        <v>24</v>
      </c>
      <c r="C60" s="763"/>
      <c r="D60" s="20"/>
      <c r="E60" s="4"/>
      <c r="F60" s="20"/>
      <c r="G60" s="20"/>
      <c r="H60" s="77"/>
    </row>
    <row r="61" spans="1:8" s="5" customFormat="1" ht="18.75" customHeight="1" x14ac:dyDescent="0.3">
      <c r="A61" s="76"/>
      <c r="B61" s="20">
        <v>25</v>
      </c>
      <c r="C61" s="763"/>
      <c r="D61" s="20"/>
      <c r="E61" s="4"/>
      <c r="F61" s="20"/>
      <c r="G61" s="20"/>
      <c r="H61" s="77"/>
    </row>
    <row r="62" spans="1:8" s="5" customFormat="1" ht="18.75" customHeight="1" x14ac:dyDescent="0.3">
      <c r="A62" s="76"/>
      <c r="B62" s="20">
        <v>26</v>
      </c>
      <c r="C62" s="763"/>
      <c r="D62" s="20"/>
      <c r="E62" s="4"/>
      <c r="F62" s="20"/>
      <c r="G62" s="20"/>
      <c r="H62" s="77"/>
    </row>
    <row r="63" spans="1:8" s="5" customFormat="1" ht="18.75" customHeight="1" x14ac:dyDescent="0.3">
      <c r="A63" s="76"/>
      <c r="B63" s="20">
        <v>27</v>
      </c>
      <c r="C63" s="763"/>
      <c r="D63" s="20"/>
      <c r="E63" s="4"/>
      <c r="F63" s="20"/>
      <c r="G63" s="20"/>
      <c r="H63" s="77"/>
    </row>
    <row r="64" spans="1:8" s="5" customFormat="1" ht="18.75" customHeight="1" x14ac:dyDescent="0.3">
      <c r="A64" s="76"/>
      <c r="B64" s="20">
        <v>28</v>
      </c>
      <c r="C64" s="763"/>
      <c r="D64" s="20"/>
      <c r="E64" s="4"/>
      <c r="F64" s="20"/>
      <c r="G64" s="20"/>
      <c r="H64" s="77"/>
    </row>
    <row r="65" spans="1:8" s="5" customFormat="1" ht="18.75" customHeight="1" x14ac:dyDescent="0.3">
      <c r="A65" s="76"/>
      <c r="B65" s="20">
        <v>29</v>
      </c>
      <c r="C65" s="763"/>
      <c r="D65" s="20"/>
      <c r="E65" s="4"/>
      <c r="F65" s="20"/>
      <c r="G65" s="20"/>
      <c r="H65" s="77"/>
    </row>
    <row r="66" spans="1:8" s="5" customFormat="1" ht="18.75" customHeight="1" x14ac:dyDescent="0.3">
      <c r="A66" s="76"/>
      <c r="B66" s="20">
        <v>30</v>
      </c>
      <c r="C66" s="763"/>
      <c r="D66" s="20"/>
      <c r="E66" s="4"/>
      <c r="F66" s="20"/>
      <c r="G66" s="20"/>
      <c r="H66" s="77"/>
    </row>
    <row r="67" spans="1:8" s="5" customFormat="1" ht="18.75" customHeight="1" x14ac:dyDescent="0.3">
      <c r="A67" s="76"/>
      <c r="B67" s="20">
        <v>31</v>
      </c>
      <c r="C67" s="763"/>
      <c r="D67" s="20"/>
      <c r="E67" s="4"/>
      <c r="F67" s="20"/>
      <c r="G67" s="20"/>
      <c r="H67" s="77"/>
    </row>
    <row r="68" spans="1:8" s="5" customFormat="1" ht="18.75" customHeight="1" x14ac:dyDescent="0.3">
      <c r="A68" s="76"/>
      <c r="B68" s="20">
        <v>32</v>
      </c>
      <c r="C68" s="763"/>
      <c r="D68" s="20"/>
      <c r="E68" s="4"/>
      <c r="F68" s="20"/>
      <c r="G68" s="20"/>
      <c r="H68" s="77"/>
    </row>
    <row r="69" spans="1:8" ht="18.75" customHeight="1" x14ac:dyDescent="0.3">
      <c r="A69" s="74" t="s">
        <v>48</v>
      </c>
      <c r="B69" s="20">
        <v>1</v>
      </c>
      <c r="C69" s="763" t="s">
        <v>72</v>
      </c>
      <c r="D69" s="24"/>
      <c r="E69" s="25"/>
      <c r="F69" s="24"/>
      <c r="G69" s="24"/>
      <c r="H69" s="90"/>
    </row>
    <row r="70" spans="1:8" ht="18.75" customHeight="1" x14ac:dyDescent="0.3">
      <c r="A70" s="74" t="s">
        <v>60</v>
      </c>
      <c r="B70" s="20">
        <v>2</v>
      </c>
      <c r="C70" s="763"/>
      <c r="D70" s="24"/>
      <c r="E70" s="25"/>
      <c r="F70" s="24"/>
      <c r="G70" s="24"/>
      <c r="H70" s="90"/>
    </row>
    <row r="71" spans="1:8" ht="18.75" customHeight="1" x14ac:dyDescent="0.3">
      <c r="A71" s="76"/>
      <c r="B71" s="20">
        <v>3</v>
      </c>
      <c r="C71" s="763"/>
      <c r="D71" s="20"/>
      <c r="E71" s="25"/>
      <c r="F71" s="24"/>
      <c r="G71" s="24"/>
      <c r="H71" s="90"/>
    </row>
    <row r="72" spans="1:8" ht="18.75" customHeight="1" x14ac:dyDescent="0.3">
      <c r="A72" s="76"/>
      <c r="B72" s="20">
        <v>4</v>
      </c>
      <c r="C72" s="763"/>
      <c r="D72" s="20"/>
      <c r="E72" s="25"/>
      <c r="F72" s="24"/>
      <c r="G72" s="24"/>
      <c r="H72" s="90"/>
    </row>
    <row r="73" spans="1:8" ht="18.75" customHeight="1" x14ac:dyDescent="0.3">
      <c r="A73" s="76"/>
      <c r="B73" s="20">
        <v>5</v>
      </c>
      <c r="C73" s="763"/>
      <c r="D73" s="69"/>
      <c r="E73" s="25"/>
      <c r="F73" s="24"/>
      <c r="G73" s="24"/>
      <c r="H73" s="90"/>
    </row>
    <row r="74" spans="1:8" ht="18.75" customHeight="1" x14ac:dyDescent="0.3">
      <c r="A74" s="76"/>
      <c r="B74" s="20">
        <v>6</v>
      </c>
      <c r="C74" s="763"/>
      <c r="D74" s="69"/>
      <c r="E74" s="4"/>
      <c r="F74" s="20"/>
      <c r="G74" s="20"/>
      <c r="H74" s="77"/>
    </row>
    <row r="75" spans="1:8" ht="18.75" customHeight="1" x14ac:dyDescent="0.3">
      <c r="A75" s="76"/>
      <c r="B75" s="20">
        <v>7</v>
      </c>
      <c r="C75" s="763"/>
      <c r="D75" s="69"/>
      <c r="E75" s="4"/>
      <c r="F75" s="20"/>
      <c r="G75" s="20"/>
      <c r="H75" s="77"/>
    </row>
    <row r="76" spans="1:8" ht="18.75" customHeight="1" x14ac:dyDescent="0.3">
      <c r="A76" s="76"/>
      <c r="B76" s="20">
        <v>8</v>
      </c>
      <c r="C76" s="763"/>
      <c r="D76" s="20"/>
      <c r="E76" s="4"/>
      <c r="F76" s="20"/>
      <c r="G76" s="20"/>
      <c r="H76" s="77"/>
    </row>
    <row r="77" spans="1:8" ht="18.75" customHeight="1" x14ac:dyDescent="0.3">
      <c r="A77" s="76"/>
      <c r="B77" s="20">
        <v>9</v>
      </c>
      <c r="C77" s="773" t="s">
        <v>73</v>
      </c>
      <c r="D77" s="43"/>
      <c r="E77" s="43"/>
      <c r="F77" s="43"/>
      <c r="G77" s="25"/>
      <c r="H77" s="91"/>
    </row>
    <row r="78" spans="1:8" ht="18.75" customHeight="1" x14ac:dyDescent="0.3">
      <c r="A78" s="76"/>
      <c r="B78" s="20">
        <v>10</v>
      </c>
      <c r="C78" s="773"/>
      <c r="D78" s="43"/>
      <c r="E78" s="43"/>
      <c r="F78" s="43"/>
      <c r="G78" s="25"/>
      <c r="H78" s="91"/>
    </row>
    <row r="79" spans="1:8" ht="18.75" customHeight="1" x14ac:dyDescent="0.3">
      <c r="A79" s="76"/>
      <c r="B79" s="20">
        <v>11</v>
      </c>
      <c r="C79" s="773"/>
      <c r="D79" s="69"/>
      <c r="E79" s="23"/>
      <c r="F79" s="20"/>
      <c r="G79" s="69"/>
      <c r="H79" s="31"/>
    </row>
    <row r="80" spans="1:8" ht="18.75" customHeight="1" x14ac:dyDescent="0.3">
      <c r="A80" s="76"/>
      <c r="B80" s="20">
        <v>12</v>
      </c>
      <c r="C80" s="773"/>
      <c r="D80" s="68"/>
      <c r="E80" s="35"/>
      <c r="F80" s="34"/>
      <c r="G80" s="69"/>
      <c r="H80" s="78"/>
    </row>
    <row r="81" spans="1:8" ht="18.75" customHeight="1" x14ac:dyDescent="0.3">
      <c r="A81" s="76"/>
      <c r="B81" s="20">
        <v>13</v>
      </c>
      <c r="C81" s="773"/>
      <c r="D81" s="20"/>
      <c r="E81" s="23"/>
      <c r="F81" s="20"/>
      <c r="G81" s="69"/>
      <c r="H81" s="31"/>
    </row>
    <row r="82" spans="1:8" ht="18.75" customHeight="1" x14ac:dyDescent="0.3">
      <c r="A82" s="76"/>
      <c r="B82" s="20">
        <v>14</v>
      </c>
      <c r="C82" s="773"/>
      <c r="D82" s="20"/>
      <c r="E82" s="4"/>
      <c r="F82" s="20"/>
      <c r="G82" s="20"/>
      <c r="H82" s="77"/>
    </row>
    <row r="83" spans="1:8" ht="18.75" customHeight="1" x14ac:dyDescent="0.3">
      <c r="A83" s="76"/>
      <c r="B83" s="20">
        <v>15</v>
      </c>
      <c r="C83" s="773"/>
      <c r="D83" s="20"/>
      <c r="E83" s="4"/>
      <c r="F83" s="20"/>
      <c r="G83" s="20"/>
      <c r="H83" s="77"/>
    </row>
    <row r="84" spans="1:8" ht="18.75" customHeight="1" x14ac:dyDescent="0.3">
      <c r="A84" s="76"/>
      <c r="B84" s="20">
        <v>16</v>
      </c>
      <c r="C84" s="773"/>
      <c r="D84" s="20"/>
      <c r="E84" s="4"/>
      <c r="F84" s="20"/>
      <c r="G84" s="20"/>
      <c r="H84" s="77"/>
    </row>
    <row r="85" spans="1:8" ht="18.75" customHeight="1" x14ac:dyDescent="0.3">
      <c r="A85" s="76"/>
      <c r="B85" s="20">
        <v>17</v>
      </c>
      <c r="C85" s="763" t="s">
        <v>74</v>
      </c>
      <c r="D85" s="20"/>
      <c r="E85" s="4"/>
      <c r="F85" s="20"/>
      <c r="G85" s="20"/>
      <c r="H85" s="77"/>
    </row>
    <row r="86" spans="1:8" ht="18.75" customHeight="1" x14ac:dyDescent="0.3">
      <c r="A86" s="76"/>
      <c r="B86" s="20">
        <v>18</v>
      </c>
      <c r="C86" s="763"/>
      <c r="D86" s="20"/>
      <c r="E86" s="4"/>
      <c r="F86" s="20"/>
      <c r="G86" s="20"/>
      <c r="H86" s="77"/>
    </row>
    <row r="87" spans="1:8" ht="18.75" customHeight="1" x14ac:dyDescent="0.3">
      <c r="A87" s="76"/>
      <c r="B87" s="20">
        <v>19</v>
      </c>
      <c r="C87" s="763"/>
      <c r="D87" s="20"/>
      <c r="E87" s="4"/>
      <c r="F87" s="20"/>
      <c r="G87" s="20"/>
      <c r="H87" s="77"/>
    </row>
    <row r="88" spans="1:8" ht="18.75" customHeight="1" x14ac:dyDescent="0.3">
      <c r="A88" s="76"/>
      <c r="B88" s="20">
        <v>20</v>
      </c>
      <c r="C88" s="763"/>
      <c r="D88" s="20"/>
      <c r="E88" s="4"/>
      <c r="F88" s="20"/>
      <c r="G88" s="20"/>
      <c r="H88" s="77"/>
    </row>
    <row r="89" spans="1:8" ht="18.75" customHeight="1" x14ac:dyDescent="0.3">
      <c r="A89" s="76"/>
      <c r="B89" s="20">
        <v>21</v>
      </c>
      <c r="C89" s="763"/>
      <c r="D89" s="20"/>
      <c r="E89" s="4"/>
      <c r="F89" s="20"/>
      <c r="G89" s="20"/>
      <c r="H89" s="77"/>
    </row>
    <row r="90" spans="1:8" ht="18.75" customHeight="1" x14ac:dyDescent="0.3">
      <c r="A90" s="76"/>
      <c r="B90" s="20">
        <v>22</v>
      </c>
      <c r="C90" s="763"/>
      <c r="D90" s="20"/>
      <c r="E90" s="4"/>
      <c r="F90" s="20"/>
      <c r="G90" s="20"/>
      <c r="H90" s="77"/>
    </row>
    <row r="91" spans="1:8" ht="18.75" customHeight="1" x14ac:dyDescent="0.3">
      <c r="A91" s="76"/>
      <c r="B91" s="20">
        <v>23</v>
      </c>
      <c r="C91" s="763"/>
      <c r="D91" s="20"/>
      <c r="E91" s="4"/>
      <c r="F91" s="20"/>
      <c r="G91" s="20"/>
      <c r="H91" s="77"/>
    </row>
    <row r="92" spans="1:8" ht="18.75" customHeight="1" x14ac:dyDescent="0.3">
      <c r="A92" s="76"/>
      <c r="B92" s="20">
        <v>24</v>
      </c>
      <c r="C92" s="763"/>
      <c r="D92" s="20"/>
      <c r="E92" s="4"/>
      <c r="F92" s="20"/>
      <c r="G92" s="20"/>
      <c r="H92" s="77"/>
    </row>
    <row r="93" spans="1:8" ht="18.75" customHeight="1" x14ac:dyDescent="0.3">
      <c r="A93" s="76"/>
      <c r="B93" s="20">
        <v>25</v>
      </c>
      <c r="C93" s="763"/>
      <c r="D93" s="20"/>
      <c r="E93" s="4"/>
      <c r="F93" s="20"/>
      <c r="G93" s="20"/>
      <c r="H93" s="77"/>
    </row>
    <row r="94" spans="1:8" ht="18.75" customHeight="1" x14ac:dyDescent="0.3">
      <c r="A94" s="76"/>
      <c r="B94" s="20">
        <v>26</v>
      </c>
      <c r="C94" s="763"/>
      <c r="D94" s="20"/>
      <c r="E94" s="4"/>
      <c r="F94" s="20"/>
      <c r="G94" s="20"/>
      <c r="H94" s="77"/>
    </row>
    <row r="95" spans="1:8" ht="18.75" customHeight="1" x14ac:dyDescent="0.3">
      <c r="A95" s="76"/>
      <c r="B95" s="20">
        <v>27</v>
      </c>
      <c r="C95" s="763"/>
      <c r="D95" s="20"/>
      <c r="E95" s="4"/>
      <c r="F95" s="20"/>
      <c r="G95" s="20"/>
      <c r="H95" s="77"/>
    </row>
    <row r="96" spans="1:8" ht="18.75" customHeight="1" x14ac:dyDescent="0.3">
      <c r="A96" s="76"/>
      <c r="B96" s="20">
        <v>28</v>
      </c>
      <c r="C96" s="763"/>
      <c r="D96" s="20"/>
      <c r="E96" s="4"/>
      <c r="F96" s="20"/>
      <c r="G96" s="20"/>
      <c r="H96" s="77"/>
    </row>
    <row r="97" spans="1:8" ht="18.75" customHeight="1" x14ac:dyDescent="0.3">
      <c r="A97" s="76"/>
      <c r="B97" s="20">
        <v>29</v>
      </c>
      <c r="C97" s="763"/>
      <c r="D97" s="20"/>
      <c r="E97" s="4"/>
      <c r="F97" s="20"/>
      <c r="G97" s="20"/>
      <c r="H97" s="77"/>
    </row>
    <row r="98" spans="1:8" ht="18.75" customHeight="1" x14ac:dyDescent="0.3">
      <c r="A98" s="76"/>
      <c r="B98" s="20">
        <v>30</v>
      </c>
      <c r="C98" s="763"/>
      <c r="D98" s="20"/>
      <c r="E98" s="4"/>
      <c r="F98" s="20"/>
      <c r="G98" s="20"/>
      <c r="H98" s="77"/>
    </row>
    <row r="99" spans="1:8" ht="18.75" customHeight="1" x14ac:dyDescent="0.3">
      <c r="A99" s="76"/>
      <c r="B99" s="20">
        <v>31</v>
      </c>
      <c r="C99" s="763"/>
      <c r="D99" s="20"/>
      <c r="E99" s="4"/>
      <c r="F99" s="20"/>
      <c r="G99" s="20"/>
      <c r="H99" s="77"/>
    </row>
    <row r="100" spans="1:8" ht="18.75" customHeight="1" x14ac:dyDescent="0.3">
      <c r="A100" s="81"/>
      <c r="B100" s="82">
        <v>32</v>
      </c>
      <c r="C100" s="774"/>
      <c r="D100" s="82"/>
      <c r="E100" s="84"/>
      <c r="F100" s="82"/>
      <c r="G100" s="82"/>
      <c r="H100" s="85"/>
    </row>
    <row r="101" spans="1:8" ht="27" customHeight="1" x14ac:dyDescent="0.3"/>
    <row r="102" spans="1:8" ht="27" customHeight="1" x14ac:dyDescent="0.3"/>
    <row r="103" spans="1:8" ht="27" customHeight="1" x14ac:dyDescent="0.3"/>
    <row r="104" spans="1:8" ht="27" customHeight="1" x14ac:dyDescent="0.3"/>
    <row r="105" spans="1:8" ht="27" customHeight="1" x14ac:dyDescent="0.3"/>
    <row r="106" spans="1:8" ht="27" customHeight="1" x14ac:dyDescent="0.3"/>
    <row r="107" spans="1:8" ht="27" customHeight="1" x14ac:dyDescent="0.3"/>
  </sheetData>
  <mergeCells count="14">
    <mergeCell ref="C37:C44"/>
    <mergeCell ref="C45:C52"/>
    <mergeCell ref="C21:C28"/>
    <mergeCell ref="C29:C36"/>
    <mergeCell ref="A1:H1"/>
    <mergeCell ref="D4:G4"/>
    <mergeCell ref="C5:C12"/>
    <mergeCell ref="C13:C20"/>
    <mergeCell ref="C85:C92"/>
    <mergeCell ref="C93:C100"/>
    <mergeCell ref="C53:C60"/>
    <mergeCell ref="C61:C68"/>
    <mergeCell ref="C69:C76"/>
    <mergeCell ref="C77:C84"/>
  </mergeCells>
  <phoneticPr fontId="10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63" fitToHeight="4" orientation="portrait" r:id="rId1"/>
  <rowBreaks count="3" manualBreakCount="3">
    <brk id="4" max="16383" man="1"/>
    <brk id="36" max="16383" man="1"/>
    <brk id="68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7"/>
  <sheetViews>
    <sheetView topLeftCell="A70" zoomScale="85" zoomScaleNormal="85" workbookViewId="0">
      <selection activeCell="K104" sqref="K104"/>
    </sheetView>
  </sheetViews>
  <sheetFormatPr defaultRowHeight="16.5" x14ac:dyDescent="0.3"/>
  <cols>
    <col min="1" max="1" width="14.625" style="1" customWidth="1"/>
    <col min="2" max="2" width="7.625" style="5" customWidth="1"/>
    <col min="3" max="3" width="7.625" style="1" customWidth="1"/>
    <col min="4" max="4" width="5.625" style="2" customWidth="1"/>
    <col min="5" max="5" width="12.625" style="3" customWidth="1"/>
    <col min="6" max="6" width="5.625" style="2" customWidth="1"/>
    <col min="7" max="7" width="28.5" style="2" customWidth="1"/>
    <col min="8" max="8" width="57.75" style="1" bestFit="1" customWidth="1"/>
    <col min="9" max="9" width="19.75" style="1" customWidth="1"/>
    <col min="10" max="16384" width="9" style="1"/>
  </cols>
  <sheetData>
    <row r="1" spans="1:8" ht="38.25" x14ac:dyDescent="0.3">
      <c r="A1" s="764" t="s">
        <v>821</v>
      </c>
      <c r="B1" s="764"/>
      <c r="C1" s="764"/>
      <c r="D1" s="764"/>
      <c r="E1" s="764"/>
      <c r="F1" s="764"/>
      <c r="G1" s="764"/>
      <c r="H1" s="764"/>
    </row>
    <row r="4" spans="1:8" s="5" customFormat="1" ht="30" customHeight="1" x14ac:dyDescent="0.3">
      <c r="A4" s="71" t="s">
        <v>52</v>
      </c>
      <c r="B4" s="72" t="s">
        <v>2</v>
      </c>
      <c r="C4" s="72" t="s">
        <v>3</v>
      </c>
      <c r="D4" s="765" t="s">
        <v>53</v>
      </c>
      <c r="E4" s="765"/>
      <c r="F4" s="765"/>
      <c r="G4" s="765"/>
      <c r="H4" s="73" t="s">
        <v>5</v>
      </c>
    </row>
    <row r="5" spans="1:8" s="5" customFormat="1" ht="18.75" customHeight="1" x14ac:dyDescent="0.3">
      <c r="A5" s="74" t="s">
        <v>43</v>
      </c>
      <c r="B5" s="20">
        <v>1</v>
      </c>
      <c r="C5" s="763" t="s">
        <v>72</v>
      </c>
      <c r="D5" s="24"/>
      <c r="E5" s="25"/>
      <c r="F5" s="24"/>
      <c r="G5" s="24"/>
      <c r="H5" s="90"/>
    </row>
    <row r="6" spans="1:8" s="5" customFormat="1" ht="18.75" customHeight="1" x14ac:dyDescent="0.3">
      <c r="A6" s="74" t="s">
        <v>56</v>
      </c>
      <c r="B6" s="20">
        <v>2</v>
      </c>
      <c r="C6" s="763"/>
      <c r="D6" s="24"/>
      <c r="E6" s="25"/>
      <c r="F6" s="24"/>
      <c r="G6" s="24"/>
      <c r="H6" s="90"/>
    </row>
    <row r="7" spans="1:8" s="5" customFormat="1" ht="18.75" customHeight="1" x14ac:dyDescent="0.3">
      <c r="A7" s="76"/>
      <c r="B7" s="20">
        <v>3</v>
      </c>
      <c r="C7" s="763"/>
      <c r="D7" s="20"/>
      <c r="E7" s="23"/>
      <c r="F7" s="20"/>
      <c r="G7" s="20"/>
      <c r="H7" s="78"/>
    </row>
    <row r="8" spans="1:8" s="5" customFormat="1" ht="18.75" customHeight="1" x14ac:dyDescent="0.3">
      <c r="A8" s="76"/>
      <c r="B8" s="20">
        <v>4</v>
      </c>
      <c r="C8" s="763"/>
      <c r="D8" s="20"/>
      <c r="E8" s="23"/>
      <c r="F8" s="20"/>
      <c r="G8" s="20"/>
      <c r="H8" s="78"/>
    </row>
    <row r="9" spans="1:8" s="5" customFormat="1" ht="18.75" customHeight="1" x14ac:dyDescent="0.3">
      <c r="A9" s="76"/>
      <c r="B9" s="20">
        <v>5</v>
      </c>
      <c r="C9" s="763"/>
      <c r="D9" s="69"/>
      <c r="E9" s="4"/>
      <c r="F9" s="20"/>
      <c r="G9" s="20"/>
      <c r="H9" s="77"/>
    </row>
    <row r="10" spans="1:8" s="5" customFormat="1" ht="18.75" customHeight="1" x14ac:dyDescent="0.3">
      <c r="A10" s="76"/>
      <c r="B10" s="20">
        <v>6</v>
      </c>
      <c r="C10" s="763"/>
      <c r="D10" s="69"/>
      <c r="E10" s="4"/>
      <c r="F10" s="20"/>
      <c r="G10" s="20"/>
      <c r="H10" s="77"/>
    </row>
    <row r="11" spans="1:8" s="5" customFormat="1" ht="18.75" customHeight="1" x14ac:dyDescent="0.3">
      <c r="A11" s="76"/>
      <c r="B11" s="20">
        <v>7</v>
      </c>
      <c r="C11" s="763"/>
      <c r="D11" s="69"/>
      <c r="E11" s="4"/>
      <c r="F11" s="20"/>
      <c r="G11" s="20"/>
      <c r="H11" s="77"/>
    </row>
    <row r="12" spans="1:8" s="5" customFormat="1" ht="18.75" customHeight="1" x14ac:dyDescent="0.3">
      <c r="A12" s="76"/>
      <c r="B12" s="20">
        <v>8</v>
      </c>
      <c r="C12" s="763"/>
      <c r="D12" s="20"/>
      <c r="E12" s="4"/>
      <c r="F12" s="20"/>
      <c r="G12" s="20"/>
      <c r="H12" s="77"/>
    </row>
    <row r="13" spans="1:8" s="5" customFormat="1" ht="18.75" customHeight="1" x14ac:dyDescent="0.3">
      <c r="A13" s="76"/>
      <c r="B13" s="20">
        <v>9</v>
      </c>
      <c r="C13" s="773" t="s">
        <v>73</v>
      </c>
      <c r="D13" s="69"/>
      <c r="E13" s="4"/>
      <c r="F13" s="20"/>
      <c r="G13" s="20"/>
      <c r="H13" s="77"/>
    </row>
    <row r="14" spans="1:8" s="5" customFormat="1" ht="18.75" customHeight="1" x14ac:dyDescent="0.3">
      <c r="A14" s="76"/>
      <c r="B14" s="20">
        <v>10</v>
      </c>
      <c r="C14" s="773"/>
      <c r="D14" s="69"/>
      <c r="E14" s="4"/>
      <c r="F14" s="20"/>
      <c r="G14" s="20"/>
      <c r="H14" s="77"/>
    </row>
    <row r="15" spans="1:8" s="5" customFormat="1" ht="18.75" customHeight="1" x14ac:dyDescent="0.3">
      <c r="A15" s="76"/>
      <c r="B15" s="20">
        <v>11</v>
      </c>
      <c r="C15" s="773"/>
      <c r="D15" s="69"/>
      <c r="E15" s="4"/>
      <c r="F15" s="20"/>
      <c r="G15" s="20"/>
      <c r="H15" s="77"/>
    </row>
    <row r="16" spans="1:8" s="5" customFormat="1" ht="18.75" customHeight="1" x14ac:dyDescent="0.3">
      <c r="A16" s="76"/>
      <c r="B16" s="20">
        <v>12</v>
      </c>
      <c r="C16" s="773"/>
      <c r="D16" s="69"/>
      <c r="E16" s="4"/>
      <c r="F16" s="20"/>
      <c r="G16" s="20"/>
      <c r="H16" s="77"/>
    </row>
    <row r="17" spans="1:8" s="5" customFormat="1" ht="18.75" customHeight="1" x14ac:dyDescent="0.3">
      <c r="A17" s="76"/>
      <c r="B17" s="20">
        <v>13</v>
      </c>
      <c r="C17" s="773"/>
      <c r="D17" s="20"/>
      <c r="E17" s="4"/>
      <c r="F17" s="20"/>
      <c r="G17" s="20"/>
      <c r="H17" s="77"/>
    </row>
    <row r="18" spans="1:8" s="5" customFormat="1" ht="18.75" customHeight="1" x14ac:dyDescent="0.3">
      <c r="A18" s="76"/>
      <c r="B18" s="20">
        <v>14</v>
      </c>
      <c r="C18" s="773"/>
      <c r="D18" s="20"/>
      <c r="E18" s="4"/>
      <c r="F18" s="20"/>
      <c r="G18" s="20"/>
      <c r="H18" s="77"/>
    </row>
    <row r="19" spans="1:8" s="5" customFormat="1" ht="18.75" customHeight="1" x14ac:dyDescent="0.3">
      <c r="A19" s="76"/>
      <c r="B19" s="20">
        <v>15</v>
      </c>
      <c r="C19" s="773"/>
      <c r="D19" s="20"/>
      <c r="E19" s="4"/>
      <c r="F19" s="20"/>
      <c r="G19" s="20"/>
      <c r="H19" s="77"/>
    </row>
    <row r="20" spans="1:8" s="5" customFormat="1" ht="18.75" customHeight="1" x14ac:dyDescent="0.3">
      <c r="A20" s="76"/>
      <c r="B20" s="20">
        <v>16</v>
      </c>
      <c r="C20" s="773"/>
      <c r="D20" s="20"/>
      <c r="E20" s="4"/>
      <c r="F20" s="20"/>
      <c r="G20" s="20"/>
      <c r="H20" s="77"/>
    </row>
    <row r="21" spans="1:8" s="5" customFormat="1" ht="18.75" customHeight="1" x14ac:dyDescent="0.3">
      <c r="A21" s="76"/>
      <c r="B21" s="20">
        <v>17</v>
      </c>
      <c r="C21" s="763" t="s">
        <v>74</v>
      </c>
      <c r="D21" s="20"/>
      <c r="E21" s="4"/>
      <c r="F21" s="20"/>
      <c r="G21" s="20"/>
      <c r="H21" s="77"/>
    </row>
    <row r="22" spans="1:8" s="5" customFormat="1" ht="18.75" customHeight="1" x14ac:dyDescent="0.3">
      <c r="A22" s="76"/>
      <c r="B22" s="20">
        <v>18</v>
      </c>
      <c r="C22" s="763"/>
      <c r="D22" s="20"/>
      <c r="E22" s="4"/>
      <c r="F22" s="20"/>
      <c r="G22" s="20"/>
      <c r="H22" s="77"/>
    </row>
    <row r="23" spans="1:8" s="5" customFormat="1" ht="18.75" customHeight="1" x14ac:dyDescent="0.3">
      <c r="A23" s="76"/>
      <c r="B23" s="20">
        <v>19</v>
      </c>
      <c r="C23" s="763"/>
      <c r="D23" s="20"/>
      <c r="E23" s="4"/>
      <c r="F23" s="20"/>
      <c r="G23" s="20"/>
      <c r="H23" s="77"/>
    </row>
    <row r="24" spans="1:8" s="5" customFormat="1" ht="18.75" customHeight="1" x14ac:dyDescent="0.3">
      <c r="A24" s="76"/>
      <c r="B24" s="20">
        <v>20</v>
      </c>
      <c r="C24" s="763"/>
      <c r="D24" s="20"/>
      <c r="E24" s="4"/>
      <c r="F24" s="20"/>
      <c r="G24" s="20"/>
      <c r="H24" s="77"/>
    </row>
    <row r="25" spans="1:8" s="5" customFormat="1" ht="18.75" customHeight="1" x14ac:dyDescent="0.3">
      <c r="A25" s="76"/>
      <c r="B25" s="20">
        <v>21</v>
      </c>
      <c r="C25" s="763"/>
      <c r="D25" s="20"/>
      <c r="E25" s="4"/>
      <c r="F25" s="20"/>
      <c r="G25" s="20"/>
      <c r="H25" s="77"/>
    </row>
    <row r="26" spans="1:8" s="5" customFormat="1" ht="18.75" customHeight="1" x14ac:dyDescent="0.3">
      <c r="A26" s="76"/>
      <c r="B26" s="20">
        <v>22</v>
      </c>
      <c r="C26" s="763"/>
      <c r="D26" s="20"/>
      <c r="E26" s="4"/>
      <c r="F26" s="20"/>
      <c r="G26" s="20"/>
      <c r="H26" s="77"/>
    </row>
    <row r="27" spans="1:8" s="5" customFormat="1" ht="18.75" customHeight="1" x14ac:dyDescent="0.3">
      <c r="A27" s="76"/>
      <c r="B27" s="20">
        <v>23</v>
      </c>
      <c r="C27" s="763"/>
      <c r="D27" s="20"/>
      <c r="E27" s="4"/>
      <c r="F27" s="20"/>
      <c r="G27" s="20"/>
      <c r="H27" s="77"/>
    </row>
    <row r="28" spans="1:8" s="5" customFormat="1" ht="18.75" customHeight="1" x14ac:dyDescent="0.3">
      <c r="A28" s="76"/>
      <c r="B28" s="20">
        <v>24</v>
      </c>
      <c r="C28" s="763"/>
      <c r="D28" s="20"/>
      <c r="E28" s="4"/>
      <c r="F28" s="20"/>
      <c r="G28" s="20"/>
      <c r="H28" s="77"/>
    </row>
    <row r="29" spans="1:8" s="5" customFormat="1" ht="18.75" customHeight="1" x14ac:dyDescent="0.3">
      <c r="A29" s="76"/>
      <c r="B29" s="20">
        <v>25</v>
      </c>
      <c r="C29" s="763"/>
      <c r="D29" s="20"/>
      <c r="E29" s="4"/>
      <c r="F29" s="20"/>
      <c r="G29" s="20"/>
      <c r="H29" s="77"/>
    </row>
    <row r="30" spans="1:8" s="5" customFormat="1" ht="18.75" customHeight="1" x14ac:dyDescent="0.3">
      <c r="A30" s="76"/>
      <c r="B30" s="20">
        <v>26</v>
      </c>
      <c r="C30" s="763"/>
      <c r="D30" s="20"/>
      <c r="E30" s="4"/>
      <c r="F30" s="20"/>
      <c r="G30" s="20"/>
      <c r="H30" s="77"/>
    </row>
    <row r="31" spans="1:8" s="5" customFormat="1" ht="18.75" customHeight="1" x14ac:dyDescent="0.3">
      <c r="A31" s="76"/>
      <c r="B31" s="20">
        <v>27</v>
      </c>
      <c r="C31" s="763"/>
      <c r="D31" s="20"/>
      <c r="E31" s="4"/>
      <c r="F31" s="20"/>
      <c r="G31" s="20"/>
      <c r="H31" s="77"/>
    </row>
    <row r="32" spans="1:8" s="5" customFormat="1" ht="18.75" customHeight="1" x14ac:dyDescent="0.3">
      <c r="A32" s="76"/>
      <c r="B32" s="20">
        <v>28</v>
      </c>
      <c r="C32" s="763"/>
      <c r="D32" s="20"/>
      <c r="E32" s="4"/>
      <c r="F32" s="20"/>
      <c r="G32" s="20"/>
      <c r="H32" s="77"/>
    </row>
    <row r="33" spans="1:8" s="5" customFormat="1" ht="18.75" customHeight="1" x14ac:dyDescent="0.3">
      <c r="A33" s="76"/>
      <c r="B33" s="20">
        <v>29</v>
      </c>
      <c r="C33" s="763"/>
      <c r="D33" s="20"/>
      <c r="E33" s="4"/>
      <c r="F33" s="20"/>
      <c r="G33" s="20"/>
      <c r="H33" s="77"/>
    </row>
    <row r="34" spans="1:8" s="5" customFormat="1" ht="18.75" customHeight="1" x14ac:dyDescent="0.3">
      <c r="A34" s="76"/>
      <c r="B34" s="20">
        <v>30</v>
      </c>
      <c r="C34" s="763"/>
      <c r="D34" s="20"/>
      <c r="E34" s="4"/>
      <c r="F34" s="20"/>
      <c r="G34" s="20"/>
      <c r="H34" s="77"/>
    </row>
    <row r="35" spans="1:8" s="5" customFormat="1" ht="18.75" customHeight="1" x14ac:dyDescent="0.3">
      <c r="A35" s="76"/>
      <c r="B35" s="20">
        <v>31</v>
      </c>
      <c r="C35" s="763"/>
      <c r="D35" s="20"/>
      <c r="E35" s="4"/>
      <c r="F35" s="20"/>
      <c r="G35" s="20"/>
      <c r="H35" s="77"/>
    </row>
    <row r="36" spans="1:8" s="5" customFormat="1" ht="18.75" customHeight="1" x14ac:dyDescent="0.3">
      <c r="A36" s="76"/>
      <c r="B36" s="20">
        <v>32</v>
      </c>
      <c r="C36" s="763"/>
      <c r="D36" s="20"/>
      <c r="E36" s="4"/>
      <c r="F36" s="20"/>
      <c r="G36" s="20"/>
      <c r="H36" s="77"/>
    </row>
    <row r="37" spans="1:8" s="5" customFormat="1" ht="18.75" customHeight="1" x14ac:dyDescent="0.3">
      <c r="A37" s="74" t="s">
        <v>341</v>
      </c>
      <c r="B37" s="20">
        <v>1</v>
      </c>
      <c r="C37" s="763" t="s">
        <v>72</v>
      </c>
      <c r="D37" s="24"/>
      <c r="E37" s="25"/>
      <c r="F37" s="24"/>
      <c r="G37" s="24"/>
      <c r="H37" s="90"/>
    </row>
    <row r="38" spans="1:8" s="5" customFormat="1" ht="18.75" customHeight="1" x14ac:dyDescent="0.3">
      <c r="A38" s="74" t="s">
        <v>59</v>
      </c>
      <c r="B38" s="20">
        <v>2</v>
      </c>
      <c r="C38" s="763"/>
      <c r="D38" s="24"/>
      <c r="E38" s="25"/>
      <c r="F38" s="24"/>
      <c r="G38" s="24"/>
      <c r="H38" s="90"/>
    </row>
    <row r="39" spans="1:8" s="5" customFormat="1" ht="18.75" customHeight="1" x14ac:dyDescent="0.3">
      <c r="A39" s="76"/>
      <c r="B39" s="20">
        <v>3</v>
      </c>
      <c r="C39" s="763"/>
      <c r="D39" s="20"/>
      <c r="E39" s="23"/>
      <c r="F39" s="20"/>
      <c r="G39" s="20"/>
      <c r="H39" s="78"/>
    </row>
    <row r="40" spans="1:8" s="5" customFormat="1" ht="18.75" customHeight="1" x14ac:dyDescent="0.3">
      <c r="A40" s="76"/>
      <c r="B40" s="20">
        <v>4</v>
      </c>
      <c r="C40" s="763"/>
      <c r="D40" s="20"/>
      <c r="E40" s="23"/>
      <c r="F40" s="20"/>
      <c r="G40" s="20"/>
      <c r="H40" s="78"/>
    </row>
    <row r="41" spans="1:8" s="5" customFormat="1" ht="18.75" customHeight="1" x14ac:dyDescent="0.3">
      <c r="A41" s="76"/>
      <c r="B41" s="20">
        <v>5</v>
      </c>
      <c r="C41" s="763"/>
      <c r="D41" s="69"/>
      <c r="E41" s="4"/>
      <c r="F41" s="20"/>
      <c r="G41" s="20"/>
      <c r="H41" s="77"/>
    </row>
    <row r="42" spans="1:8" s="5" customFormat="1" ht="18.75" customHeight="1" x14ac:dyDescent="0.3">
      <c r="A42" s="76"/>
      <c r="B42" s="20">
        <v>6</v>
      </c>
      <c r="C42" s="763"/>
      <c r="D42" s="69"/>
      <c r="E42" s="4"/>
      <c r="F42" s="20"/>
      <c r="G42" s="20"/>
      <c r="H42" s="77"/>
    </row>
    <row r="43" spans="1:8" s="5" customFormat="1" ht="18.75" customHeight="1" x14ac:dyDescent="0.3">
      <c r="A43" s="76"/>
      <c r="B43" s="20">
        <v>7</v>
      </c>
      <c r="C43" s="763"/>
      <c r="D43" s="69"/>
      <c r="E43" s="4"/>
      <c r="F43" s="20"/>
      <c r="G43" s="20"/>
      <c r="H43" s="77"/>
    </row>
    <row r="44" spans="1:8" s="5" customFormat="1" ht="18.75" customHeight="1" x14ac:dyDescent="0.3">
      <c r="A44" s="76"/>
      <c r="B44" s="20">
        <v>8</v>
      </c>
      <c r="C44" s="763"/>
      <c r="D44" s="20"/>
      <c r="E44" s="4"/>
      <c r="F44" s="20"/>
      <c r="G44" s="20"/>
      <c r="H44" s="77"/>
    </row>
    <row r="45" spans="1:8" s="5" customFormat="1" ht="18.75" customHeight="1" x14ac:dyDescent="0.3">
      <c r="A45" s="76"/>
      <c r="B45" s="20">
        <v>9</v>
      </c>
      <c r="C45" s="773" t="s">
        <v>73</v>
      </c>
      <c r="D45" s="69"/>
      <c r="E45" s="4"/>
      <c r="F45" s="20"/>
      <c r="G45" s="20"/>
      <c r="H45" s="77"/>
    </row>
    <row r="46" spans="1:8" s="5" customFormat="1" ht="18.75" customHeight="1" x14ac:dyDescent="0.3">
      <c r="A46" s="76"/>
      <c r="B46" s="20">
        <v>10</v>
      </c>
      <c r="C46" s="773"/>
      <c r="D46" s="69"/>
      <c r="E46" s="4"/>
      <c r="F46" s="20"/>
      <c r="G46" s="20"/>
      <c r="H46" s="77"/>
    </row>
    <row r="47" spans="1:8" s="5" customFormat="1" ht="18.75" customHeight="1" x14ac:dyDescent="0.3">
      <c r="A47" s="76"/>
      <c r="B47" s="20">
        <v>11</v>
      </c>
      <c r="C47" s="773"/>
      <c r="D47" s="69"/>
      <c r="E47" s="35"/>
      <c r="F47" s="34"/>
      <c r="G47" s="69"/>
      <c r="H47" s="78"/>
    </row>
    <row r="48" spans="1:8" s="5" customFormat="1" ht="18.75" customHeight="1" x14ac:dyDescent="0.3">
      <c r="A48" s="76"/>
      <c r="B48" s="20">
        <v>12</v>
      </c>
      <c r="C48" s="773"/>
      <c r="D48" s="69"/>
      <c r="E48" s="4"/>
      <c r="F48" s="20"/>
      <c r="G48" s="20"/>
      <c r="H48" s="77"/>
    </row>
    <row r="49" spans="1:8" s="5" customFormat="1" ht="18.75" customHeight="1" x14ac:dyDescent="0.3">
      <c r="A49" s="76"/>
      <c r="B49" s="20">
        <v>13</v>
      </c>
      <c r="C49" s="773"/>
      <c r="D49" s="20"/>
      <c r="E49" s="4"/>
      <c r="F49" s="20"/>
      <c r="G49" s="20"/>
      <c r="H49" s="77"/>
    </row>
    <row r="50" spans="1:8" s="5" customFormat="1" ht="18.75" customHeight="1" x14ac:dyDescent="0.3">
      <c r="A50" s="76"/>
      <c r="B50" s="20">
        <v>14</v>
      </c>
      <c r="C50" s="773"/>
      <c r="D50" s="20"/>
      <c r="E50" s="4"/>
      <c r="F50" s="20"/>
      <c r="G50" s="20"/>
      <c r="H50" s="77"/>
    </row>
    <row r="51" spans="1:8" s="5" customFormat="1" ht="18.75" customHeight="1" x14ac:dyDescent="0.3">
      <c r="A51" s="76"/>
      <c r="B51" s="20">
        <v>15</v>
      </c>
      <c r="C51" s="773"/>
      <c r="D51" s="20"/>
      <c r="E51" s="4"/>
      <c r="F51" s="20"/>
      <c r="G51" s="20"/>
      <c r="H51" s="77"/>
    </row>
    <row r="52" spans="1:8" s="5" customFormat="1" ht="18.75" customHeight="1" x14ac:dyDescent="0.3">
      <c r="A52" s="76"/>
      <c r="B52" s="20">
        <v>16</v>
      </c>
      <c r="C52" s="773"/>
      <c r="D52" s="20"/>
      <c r="E52" s="4"/>
      <c r="F52" s="20"/>
      <c r="G52" s="20"/>
      <c r="H52" s="77"/>
    </row>
    <row r="53" spans="1:8" s="5" customFormat="1" ht="18.75" customHeight="1" x14ac:dyDescent="0.3">
      <c r="A53" s="76"/>
      <c r="B53" s="40">
        <v>17</v>
      </c>
      <c r="C53" s="763" t="s">
        <v>74</v>
      </c>
      <c r="D53" s="20"/>
      <c r="E53" s="35"/>
      <c r="F53" s="21"/>
      <c r="G53" s="69"/>
      <c r="H53" s="31"/>
    </row>
    <row r="54" spans="1:8" s="5" customFormat="1" ht="18.75" customHeight="1" x14ac:dyDescent="0.3">
      <c r="A54" s="76"/>
      <c r="B54" s="20">
        <v>18</v>
      </c>
      <c r="C54" s="763"/>
      <c r="D54" s="20"/>
      <c r="E54" s="4"/>
      <c r="F54" s="20"/>
      <c r="G54" s="20"/>
      <c r="H54" s="77"/>
    </row>
    <row r="55" spans="1:8" s="5" customFormat="1" ht="18.75" customHeight="1" x14ac:dyDescent="0.3">
      <c r="A55" s="76"/>
      <c r="B55" s="20">
        <v>19</v>
      </c>
      <c r="C55" s="763"/>
      <c r="D55" s="20"/>
      <c r="E55" s="4"/>
      <c r="F55" s="20"/>
      <c r="G55" s="20"/>
      <c r="H55" s="77"/>
    </row>
    <row r="56" spans="1:8" s="5" customFormat="1" ht="18.75" customHeight="1" x14ac:dyDescent="0.3">
      <c r="A56" s="76"/>
      <c r="B56" s="20">
        <v>20</v>
      </c>
      <c r="C56" s="763"/>
      <c r="D56" s="20"/>
      <c r="E56" s="4"/>
      <c r="F56" s="20"/>
      <c r="G56" s="20"/>
      <c r="H56" s="77"/>
    </row>
    <row r="57" spans="1:8" s="5" customFormat="1" ht="18.75" customHeight="1" x14ac:dyDescent="0.3">
      <c r="A57" s="76"/>
      <c r="B57" s="20">
        <v>21</v>
      </c>
      <c r="C57" s="763"/>
      <c r="D57" s="20"/>
      <c r="E57" s="4"/>
      <c r="F57" s="20"/>
      <c r="G57" s="20"/>
      <c r="H57" s="77"/>
    </row>
    <row r="58" spans="1:8" s="5" customFormat="1" ht="18.75" customHeight="1" x14ac:dyDescent="0.3">
      <c r="A58" s="76"/>
      <c r="B58" s="20">
        <v>22</v>
      </c>
      <c r="C58" s="763"/>
      <c r="D58" s="20"/>
      <c r="E58" s="4"/>
      <c r="F58" s="20"/>
      <c r="G58" s="20"/>
      <c r="H58" s="77"/>
    </row>
    <row r="59" spans="1:8" s="5" customFormat="1" ht="18.75" customHeight="1" x14ac:dyDescent="0.3">
      <c r="A59" s="76"/>
      <c r="B59" s="20">
        <v>23</v>
      </c>
      <c r="C59" s="763"/>
      <c r="D59" s="20"/>
      <c r="E59" s="4"/>
      <c r="F59" s="20"/>
      <c r="G59" s="20"/>
      <c r="H59" s="77"/>
    </row>
    <row r="60" spans="1:8" s="5" customFormat="1" ht="18.75" customHeight="1" x14ac:dyDescent="0.3">
      <c r="A60" s="76"/>
      <c r="B60" s="20">
        <v>24</v>
      </c>
      <c r="C60" s="763"/>
      <c r="D60" s="20"/>
      <c r="E60" s="4"/>
      <c r="F60" s="20"/>
      <c r="G60" s="20"/>
      <c r="H60" s="77"/>
    </row>
    <row r="61" spans="1:8" s="5" customFormat="1" ht="18.75" customHeight="1" x14ac:dyDescent="0.3">
      <c r="A61" s="76"/>
      <c r="B61" s="20">
        <v>25</v>
      </c>
      <c r="C61" s="763"/>
      <c r="D61" s="20"/>
      <c r="E61" s="4"/>
      <c r="F61" s="20"/>
      <c r="G61" s="20"/>
      <c r="H61" s="77"/>
    </row>
    <row r="62" spans="1:8" s="5" customFormat="1" ht="18.75" customHeight="1" x14ac:dyDescent="0.3">
      <c r="A62" s="76"/>
      <c r="B62" s="20">
        <v>26</v>
      </c>
      <c r="C62" s="763"/>
      <c r="D62" s="20"/>
      <c r="E62" s="4"/>
      <c r="F62" s="20"/>
      <c r="G62" s="20"/>
      <c r="H62" s="77"/>
    </row>
    <row r="63" spans="1:8" s="5" customFormat="1" ht="18.75" customHeight="1" x14ac:dyDescent="0.3">
      <c r="A63" s="76"/>
      <c r="B63" s="20">
        <v>27</v>
      </c>
      <c r="C63" s="763"/>
      <c r="D63" s="20"/>
      <c r="E63" s="4"/>
      <c r="F63" s="20"/>
      <c r="G63" s="20"/>
      <c r="H63" s="77"/>
    </row>
    <row r="64" spans="1:8" s="5" customFormat="1" ht="18.75" customHeight="1" x14ac:dyDescent="0.3">
      <c r="A64" s="76"/>
      <c r="B64" s="20">
        <v>28</v>
      </c>
      <c r="C64" s="763"/>
      <c r="D64" s="20"/>
      <c r="E64" s="4"/>
      <c r="F64" s="20"/>
      <c r="G64" s="20"/>
      <c r="H64" s="77"/>
    </row>
    <row r="65" spans="1:9" s="5" customFormat="1" ht="18.75" customHeight="1" x14ac:dyDescent="0.3">
      <c r="A65" s="76"/>
      <c r="B65" s="20">
        <v>29</v>
      </c>
      <c r="C65" s="763"/>
      <c r="D65" s="20"/>
      <c r="E65" s="4"/>
      <c r="F65" s="20"/>
      <c r="G65" s="20"/>
      <c r="H65" s="77"/>
    </row>
    <row r="66" spans="1:9" s="5" customFormat="1" ht="18.75" customHeight="1" x14ac:dyDescent="0.3">
      <c r="A66" s="76"/>
      <c r="B66" s="20">
        <v>30</v>
      </c>
      <c r="C66" s="763"/>
      <c r="D66" s="20"/>
      <c r="E66" s="4"/>
      <c r="F66" s="20"/>
      <c r="G66" s="20"/>
      <c r="H66" s="77"/>
    </row>
    <row r="67" spans="1:9" s="5" customFormat="1" ht="18.75" customHeight="1" x14ac:dyDescent="0.3">
      <c r="A67" s="76"/>
      <c r="B67" s="20">
        <v>31</v>
      </c>
      <c r="C67" s="763"/>
      <c r="D67" s="20"/>
      <c r="E67" s="4"/>
      <c r="F67" s="20"/>
      <c r="G67" s="20"/>
      <c r="H67" s="77"/>
    </row>
    <row r="68" spans="1:9" s="5" customFormat="1" ht="18.75" customHeight="1" x14ac:dyDescent="0.3">
      <c r="A68" s="76"/>
      <c r="B68" s="20">
        <v>32</v>
      </c>
      <c r="C68" s="763"/>
      <c r="D68" s="20"/>
      <c r="E68" s="4"/>
      <c r="F68" s="20"/>
      <c r="G68" s="20"/>
      <c r="H68" s="77"/>
    </row>
    <row r="69" spans="1:9" ht="18.75" customHeight="1" x14ac:dyDescent="0.3">
      <c r="A69" s="74" t="s">
        <v>98</v>
      </c>
      <c r="B69" s="40">
        <v>1</v>
      </c>
      <c r="C69" s="763" t="s">
        <v>72</v>
      </c>
      <c r="D69" s="36"/>
      <c r="E69" s="37"/>
      <c r="F69" s="36"/>
      <c r="G69" s="36"/>
      <c r="H69" s="78"/>
      <c r="I69" s="92"/>
    </row>
    <row r="70" spans="1:9" ht="18.75" customHeight="1" x14ac:dyDescent="0.3">
      <c r="A70" s="74" t="s">
        <v>60</v>
      </c>
      <c r="B70" s="40">
        <v>2</v>
      </c>
      <c r="C70" s="763"/>
      <c r="D70" s="36"/>
      <c r="E70" s="37"/>
      <c r="F70" s="36"/>
      <c r="G70" s="69"/>
      <c r="H70" s="60"/>
    </row>
    <row r="71" spans="1:9" ht="18.75" customHeight="1" x14ac:dyDescent="0.3">
      <c r="A71" s="76"/>
      <c r="B71" s="40">
        <v>3</v>
      </c>
      <c r="C71" s="763"/>
      <c r="D71" s="36"/>
      <c r="E71" s="69"/>
      <c r="F71" s="69"/>
      <c r="G71" s="69"/>
      <c r="H71" s="78"/>
    </row>
    <row r="72" spans="1:9" ht="18.75" customHeight="1" x14ac:dyDescent="0.3">
      <c r="A72" s="76"/>
      <c r="B72" s="20">
        <v>4</v>
      </c>
      <c r="C72" s="763"/>
      <c r="D72" s="36"/>
      <c r="E72" s="37"/>
      <c r="F72" s="36"/>
      <c r="G72" s="36"/>
      <c r="H72" s="60"/>
    </row>
    <row r="73" spans="1:9" ht="18.75" customHeight="1" x14ac:dyDescent="0.3">
      <c r="A73" s="76"/>
      <c r="B73" s="20">
        <v>5</v>
      </c>
      <c r="C73" s="763"/>
      <c r="D73" s="36"/>
      <c r="E73" s="37"/>
      <c r="F73" s="36"/>
      <c r="G73" s="36"/>
      <c r="H73" s="60"/>
    </row>
    <row r="74" spans="1:9" ht="18.75" customHeight="1" x14ac:dyDescent="0.3">
      <c r="A74" s="76"/>
      <c r="B74" s="20">
        <v>6</v>
      </c>
      <c r="C74" s="763"/>
      <c r="D74" s="36"/>
      <c r="E74" s="37"/>
      <c r="F74" s="36"/>
      <c r="G74" s="36"/>
      <c r="H74" s="60"/>
    </row>
    <row r="75" spans="1:9" ht="18.75" customHeight="1" x14ac:dyDescent="0.3">
      <c r="A75" s="76"/>
      <c r="B75" s="20">
        <v>7</v>
      </c>
      <c r="C75" s="763"/>
      <c r="D75" s="36"/>
      <c r="E75" s="37"/>
      <c r="F75" s="36"/>
      <c r="G75" s="36"/>
      <c r="H75" s="60"/>
    </row>
    <row r="76" spans="1:9" ht="18.75" customHeight="1" x14ac:dyDescent="0.3">
      <c r="A76" s="76"/>
      <c r="B76" s="20">
        <v>8</v>
      </c>
      <c r="C76" s="763"/>
      <c r="D76" s="36"/>
      <c r="E76" s="37"/>
      <c r="F76" s="36"/>
      <c r="G76" s="36"/>
      <c r="H76" s="60"/>
    </row>
    <row r="77" spans="1:9" ht="18.75" customHeight="1" x14ac:dyDescent="0.3">
      <c r="A77" s="76"/>
      <c r="B77" s="40">
        <v>9</v>
      </c>
      <c r="C77" s="773" t="s">
        <v>73</v>
      </c>
      <c r="D77" s="36"/>
      <c r="E77" s="37"/>
      <c r="F77" s="36"/>
      <c r="G77" s="36"/>
      <c r="H77" s="78"/>
    </row>
    <row r="78" spans="1:9" ht="18.75" customHeight="1" x14ac:dyDescent="0.3">
      <c r="A78" s="76"/>
      <c r="B78" s="40">
        <v>10</v>
      </c>
      <c r="C78" s="773"/>
      <c r="D78" s="36"/>
      <c r="E78" s="37"/>
      <c r="F78" s="36"/>
      <c r="G78" s="36"/>
      <c r="H78" s="78"/>
    </row>
    <row r="79" spans="1:9" ht="18.75" customHeight="1" x14ac:dyDescent="0.3">
      <c r="A79" s="76"/>
      <c r="B79" s="40">
        <v>11</v>
      </c>
      <c r="C79" s="773"/>
      <c r="D79" s="36"/>
      <c r="E79" s="37"/>
      <c r="F79" s="36"/>
      <c r="G79" s="36"/>
      <c r="H79" s="31"/>
    </row>
    <row r="80" spans="1:9" ht="18.75" customHeight="1" x14ac:dyDescent="0.3">
      <c r="A80" s="76"/>
      <c r="B80" s="20">
        <v>12</v>
      </c>
      <c r="C80" s="773"/>
      <c r="D80" s="36"/>
      <c r="E80" s="35"/>
      <c r="F80" s="34"/>
      <c r="G80" s="36"/>
      <c r="H80" s="60"/>
    </row>
    <row r="81" spans="1:8" ht="18.75" customHeight="1" x14ac:dyDescent="0.3">
      <c r="A81" s="76"/>
      <c r="B81" s="20">
        <v>13</v>
      </c>
      <c r="C81" s="773"/>
      <c r="D81" s="36"/>
      <c r="E81" s="37" t="s">
        <v>138</v>
      </c>
      <c r="F81" s="36"/>
      <c r="G81" s="36" t="s">
        <v>900</v>
      </c>
      <c r="H81" s="60" t="str">
        <f>서홍천SS!J33</f>
        <v>본부-19(CMUX)-춘천-17(통합단말)13-서홍천-1(P32T)-청평PP</v>
      </c>
    </row>
    <row r="82" spans="1:8" ht="18.75" customHeight="1" x14ac:dyDescent="0.3">
      <c r="A82" s="76"/>
      <c r="B82" s="20">
        <v>14</v>
      </c>
      <c r="C82" s="773"/>
      <c r="D82" s="36"/>
      <c r="E82" s="37"/>
      <c r="F82" s="36"/>
      <c r="G82" s="36"/>
      <c r="H82" s="60"/>
    </row>
    <row r="83" spans="1:8" ht="18.75" customHeight="1" x14ac:dyDescent="0.3">
      <c r="A83" s="76"/>
      <c r="B83" s="20">
        <v>15</v>
      </c>
      <c r="C83" s="773"/>
      <c r="D83" s="36"/>
      <c r="E83" s="37"/>
      <c r="F83" s="36"/>
      <c r="G83" s="36"/>
      <c r="H83" s="60"/>
    </row>
    <row r="84" spans="1:8" ht="18.75" customHeight="1" x14ac:dyDescent="0.3">
      <c r="A84" s="76"/>
      <c r="B84" s="20">
        <v>16</v>
      </c>
      <c r="C84" s="773"/>
      <c r="D84" s="36"/>
      <c r="E84" s="37"/>
      <c r="F84" s="36"/>
      <c r="G84" s="36"/>
      <c r="H84" s="60"/>
    </row>
    <row r="85" spans="1:8" ht="18.75" customHeight="1" x14ac:dyDescent="0.3">
      <c r="A85" s="76"/>
      <c r="B85" s="20">
        <v>17</v>
      </c>
      <c r="C85" s="763" t="s">
        <v>74</v>
      </c>
      <c r="D85" s="36"/>
      <c r="E85" s="37"/>
      <c r="F85" s="36"/>
      <c r="G85" s="36"/>
      <c r="H85" s="60"/>
    </row>
    <row r="86" spans="1:8" ht="18.75" customHeight="1" x14ac:dyDescent="0.3">
      <c r="A86" s="76"/>
      <c r="B86" s="20">
        <v>18</v>
      </c>
      <c r="C86" s="763"/>
      <c r="D86" s="36"/>
      <c r="E86" s="37"/>
      <c r="F86" s="36"/>
      <c r="G86" s="36"/>
      <c r="H86" s="60"/>
    </row>
    <row r="87" spans="1:8" ht="18.75" customHeight="1" x14ac:dyDescent="0.3">
      <c r="A87" s="76"/>
      <c r="B87" s="20">
        <v>19</v>
      </c>
      <c r="C87" s="763"/>
      <c r="D87" s="36"/>
      <c r="E87" s="37"/>
      <c r="F87" s="36"/>
      <c r="G87" s="36"/>
      <c r="H87" s="60"/>
    </row>
    <row r="88" spans="1:8" ht="18.75" customHeight="1" x14ac:dyDescent="0.3">
      <c r="A88" s="76"/>
      <c r="B88" s="20">
        <v>20</v>
      </c>
      <c r="C88" s="763"/>
      <c r="D88" s="36"/>
      <c r="E88" s="37"/>
      <c r="F88" s="36"/>
      <c r="G88" s="36"/>
      <c r="H88" s="60"/>
    </row>
    <row r="89" spans="1:8" ht="18.75" customHeight="1" x14ac:dyDescent="0.3">
      <c r="A89" s="76"/>
      <c r="B89" s="20">
        <v>21</v>
      </c>
      <c r="C89" s="763"/>
      <c r="D89" s="36"/>
      <c r="E89" s="37"/>
      <c r="F89" s="36"/>
      <c r="G89" s="36"/>
      <c r="H89" s="60"/>
    </row>
    <row r="90" spans="1:8" ht="18.75" customHeight="1" x14ac:dyDescent="0.3">
      <c r="A90" s="76"/>
      <c r="B90" s="20">
        <v>22</v>
      </c>
      <c r="C90" s="763"/>
      <c r="D90" s="36"/>
      <c r="E90" s="37"/>
      <c r="F90" s="36"/>
      <c r="G90" s="36"/>
      <c r="H90" s="60"/>
    </row>
    <row r="91" spans="1:8" ht="18.75" customHeight="1" x14ac:dyDescent="0.3">
      <c r="A91" s="76"/>
      <c r="B91" s="20">
        <v>23</v>
      </c>
      <c r="C91" s="763"/>
      <c r="D91" s="36"/>
      <c r="E91" s="37"/>
      <c r="F91" s="36"/>
      <c r="G91" s="36"/>
      <c r="H91" s="60"/>
    </row>
    <row r="92" spans="1:8" ht="18.75" customHeight="1" x14ac:dyDescent="0.3">
      <c r="A92" s="76"/>
      <c r="B92" s="20">
        <v>24</v>
      </c>
      <c r="C92" s="763"/>
      <c r="D92" s="36"/>
      <c r="E92" s="37"/>
      <c r="F92" s="36"/>
      <c r="G92" s="36"/>
      <c r="H92" s="60"/>
    </row>
    <row r="93" spans="1:8" ht="18.75" customHeight="1" x14ac:dyDescent="0.3">
      <c r="A93" s="76"/>
      <c r="B93" s="20">
        <v>25</v>
      </c>
      <c r="C93" s="763"/>
      <c r="D93" s="20"/>
      <c r="E93" s="4"/>
      <c r="F93" s="20"/>
      <c r="G93" s="20"/>
      <c r="H93" s="77"/>
    </row>
    <row r="94" spans="1:8" ht="18.75" customHeight="1" x14ac:dyDescent="0.3">
      <c r="A94" s="76"/>
      <c r="B94" s="20">
        <v>26</v>
      </c>
      <c r="C94" s="763"/>
      <c r="D94" s="20"/>
      <c r="E94" s="4"/>
      <c r="F94" s="20"/>
      <c r="G94" s="20"/>
      <c r="H94" s="77"/>
    </row>
    <row r="95" spans="1:8" ht="18.75" customHeight="1" x14ac:dyDescent="0.3">
      <c r="A95" s="76"/>
      <c r="B95" s="20">
        <v>27</v>
      </c>
      <c r="C95" s="763"/>
      <c r="D95" s="20"/>
      <c r="E95" s="4"/>
      <c r="F95" s="20"/>
      <c r="G95" s="20"/>
      <c r="H95" s="77"/>
    </row>
    <row r="96" spans="1:8" ht="18.75" customHeight="1" x14ac:dyDescent="0.3">
      <c r="A96" s="76"/>
      <c r="B96" s="20">
        <v>28</v>
      </c>
      <c r="C96" s="763"/>
      <c r="D96" s="20"/>
      <c r="E96" s="4"/>
      <c r="F96" s="20"/>
      <c r="G96" s="20"/>
      <c r="H96" s="77"/>
    </row>
    <row r="97" spans="1:8" ht="18.75" customHeight="1" x14ac:dyDescent="0.3">
      <c r="A97" s="76"/>
      <c r="B97" s="20">
        <v>29</v>
      </c>
      <c r="C97" s="763"/>
      <c r="D97" s="20"/>
      <c r="E97" s="4"/>
      <c r="F97" s="20"/>
      <c r="G97" s="20"/>
      <c r="H97" s="77"/>
    </row>
    <row r="98" spans="1:8" ht="18.75" customHeight="1" x14ac:dyDescent="0.3">
      <c r="A98" s="76"/>
      <c r="B98" s="20">
        <v>30</v>
      </c>
      <c r="C98" s="763"/>
      <c r="D98" s="20"/>
      <c r="E98" s="4"/>
      <c r="F98" s="20"/>
      <c r="G98" s="20"/>
      <c r="H98" s="77"/>
    </row>
    <row r="99" spans="1:8" ht="18.75" customHeight="1" x14ac:dyDescent="0.3">
      <c r="A99" s="76"/>
      <c r="B99" s="20">
        <v>31</v>
      </c>
      <c r="C99" s="763"/>
      <c r="D99" s="20"/>
      <c r="E99" s="4"/>
      <c r="F99" s="20"/>
      <c r="G99" s="20"/>
      <c r="H99" s="77"/>
    </row>
    <row r="100" spans="1:8" ht="18.75" customHeight="1" x14ac:dyDescent="0.3">
      <c r="A100" s="81"/>
      <c r="B100" s="82">
        <v>32</v>
      </c>
      <c r="C100" s="774"/>
      <c r="D100" s="82"/>
      <c r="E100" s="84"/>
      <c r="F100" s="82"/>
      <c r="G100" s="82"/>
      <c r="H100" s="85"/>
    </row>
    <row r="101" spans="1:8" ht="27" customHeight="1" x14ac:dyDescent="0.3"/>
    <row r="102" spans="1:8" ht="27" customHeight="1" x14ac:dyDescent="0.3"/>
    <row r="103" spans="1:8" ht="27" customHeight="1" x14ac:dyDescent="0.3"/>
    <row r="104" spans="1:8" ht="27" customHeight="1" x14ac:dyDescent="0.3"/>
    <row r="105" spans="1:8" ht="27" customHeight="1" x14ac:dyDescent="0.3"/>
    <row r="106" spans="1:8" ht="27" customHeight="1" x14ac:dyDescent="0.3"/>
    <row r="107" spans="1:8" ht="27" customHeight="1" x14ac:dyDescent="0.3"/>
  </sheetData>
  <mergeCells count="14">
    <mergeCell ref="C45:C52"/>
    <mergeCell ref="C21:C28"/>
    <mergeCell ref="C29:C36"/>
    <mergeCell ref="C85:C92"/>
    <mergeCell ref="C93:C100"/>
    <mergeCell ref="C53:C60"/>
    <mergeCell ref="C61:C68"/>
    <mergeCell ref="C69:C76"/>
    <mergeCell ref="C77:C84"/>
    <mergeCell ref="A1:H1"/>
    <mergeCell ref="D4:G4"/>
    <mergeCell ref="C5:C12"/>
    <mergeCell ref="C13:C20"/>
    <mergeCell ref="C37:C44"/>
  </mergeCells>
  <phoneticPr fontId="10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73" fitToHeight="5" orientation="portrait" r:id="rId1"/>
  <headerFooter alignWithMargins="0"/>
  <rowBreaks count="3" manualBreakCount="3">
    <brk id="4" max="16383" man="1"/>
    <brk id="36" max="16383" man="1"/>
    <brk id="68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view="pageBreakPreview" zoomScale="85" zoomScaleNormal="100" zoomScaleSheetLayoutView="85" workbookViewId="0">
      <selection activeCell="G14" sqref="G14"/>
    </sheetView>
  </sheetViews>
  <sheetFormatPr defaultRowHeight="16.5" x14ac:dyDescent="0.3"/>
  <cols>
    <col min="1" max="1" width="14.625" style="1" customWidth="1"/>
    <col min="2" max="2" width="7.625" style="5" customWidth="1"/>
    <col min="3" max="3" width="7.625" style="1" customWidth="1"/>
    <col min="4" max="4" width="5.625" style="2" customWidth="1"/>
    <col min="5" max="5" width="12.625" style="3" customWidth="1"/>
    <col min="6" max="6" width="5.625" style="2" customWidth="1"/>
    <col min="7" max="7" width="31.75" style="2" customWidth="1"/>
    <col min="8" max="8" width="49.375" style="1" customWidth="1"/>
    <col min="9" max="9" width="18.5" style="49" customWidth="1"/>
    <col min="10" max="16384" width="9" style="1"/>
  </cols>
  <sheetData>
    <row r="1" spans="1:9" ht="38.25" x14ac:dyDescent="0.3">
      <c r="A1" s="764" t="s">
        <v>822</v>
      </c>
      <c r="B1" s="764"/>
      <c r="C1" s="764"/>
      <c r="D1" s="764"/>
      <c r="E1" s="764"/>
      <c r="F1" s="764"/>
      <c r="G1" s="764"/>
      <c r="H1" s="764"/>
    </row>
    <row r="4" spans="1:9" s="5" customFormat="1" ht="30" customHeight="1" x14ac:dyDescent="0.3">
      <c r="A4" s="71" t="s">
        <v>52</v>
      </c>
      <c r="B4" s="72" t="s">
        <v>2</v>
      </c>
      <c r="C4" s="72" t="s">
        <v>3</v>
      </c>
      <c r="D4" s="765" t="s">
        <v>53</v>
      </c>
      <c r="E4" s="765"/>
      <c r="F4" s="765"/>
      <c r="G4" s="765"/>
      <c r="H4" s="73" t="s">
        <v>5</v>
      </c>
      <c r="I4" s="50"/>
    </row>
    <row r="5" spans="1:9" s="5" customFormat="1" ht="20.100000000000001" customHeight="1" x14ac:dyDescent="0.3">
      <c r="A5" s="76"/>
      <c r="B5" s="40">
        <v>1</v>
      </c>
      <c r="C5" s="766" t="s">
        <v>55</v>
      </c>
      <c r="D5" s="69" t="s">
        <v>30</v>
      </c>
      <c r="E5" s="38" t="s">
        <v>151</v>
      </c>
      <c r="F5" s="38"/>
      <c r="G5" s="38" t="s">
        <v>152</v>
      </c>
      <c r="H5" s="75" t="s">
        <v>754</v>
      </c>
      <c r="I5" s="50"/>
    </row>
    <row r="6" spans="1:9" s="5" customFormat="1" ht="20.100000000000001" customHeight="1" x14ac:dyDescent="0.3">
      <c r="A6" s="74"/>
      <c r="B6" s="40">
        <v>2</v>
      </c>
      <c r="C6" s="766"/>
      <c r="D6" s="69" t="s">
        <v>30</v>
      </c>
      <c r="E6" s="38" t="s">
        <v>151</v>
      </c>
      <c r="F6" s="38"/>
      <c r="G6" s="38" t="s">
        <v>134</v>
      </c>
      <c r="H6" s="75" t="s">
        <v>755</v>
      </c>
      <c r="I6" s="70" t="s">
        <v>169</v>
      </c>
    </row>
    <row r="7" spans="1:9" s="5" customFormat="1" ht="20.100000000000001" customHeight="1" x14ac:dyDescent="0.3">
      <c r="A7" s="74"/>
      <c r="B7" s="40">
        <v>3</v>
      </c>
      <c r="C7" s="766"/>
      <c r="D7" s="69" t="s">
        <v>30</v>
      </c>
      <c r="E7" s="38" t="s">
        <v>151</v>
      </c>
      <c r="F7" s="38"/>
      <c r="G7" s="38" t="s">
        <v>742</v>
      </c>
      <c r="H7" s="75" t="s">
        <v>756</v>
      </c>
      <c r="I7" s="70" t="s">
        <v>170</v>
      </c>
    </row>
    <row r="8" spans="1:9" s="5" customFormat="1" ht="20.100000000000001" customHeight="1" x14ac:dyDescent="0.3">
      <c r="A8" s="74"/>
      <c r="B8" s="40">
        <v>4</v>
      </c>
      <c r="C8" s="766"/>
      <c r="D8" s="69" t="s">
        <v>30</v>
      </c>
      <c r="E8" s="38" t="s">
        <v>151</v>
      </c>
      <c r="F8" s="38"/>
      <c r="G8" s="38" t="s">
        <v>743</v>
      </c>
      <c r="H8" s="75" t="s">
        <v>757</v>
      </c>
      <c r="I8" s="70" t="s">
        <v>137</v>
      </c>
    </row>
    <row r="9" spans="1:9" s="5" customFormat="1" ht="20.100000000000001" customHeight="1" x14ac:dyDescent="0.3">
      <c r="A9" s="76"/>
      <c r="B9" s="40">
        <v>5</v>
      </c>
      <c r="C9" s="766"/>
      <c r="D9" s="68" t="s">
        <v>30</v>
      </c>
      <c r="E9" s="96" t="s">
        <v>151</v>
      </c>
      <c r="F9" s="504"/>
      <c r="G9" s="96" t="s">
        <v>744</v>
      </c>
      <c r="H9" s="97" t="s">
        <v>200</v>
      </c>
      <c r="I9" s="70" t="s">
        <v>201</v>
      </c>
    </row>
    <row r="10" spans="1:9" s="5" customFormat="1" ht="20.100000000000001" customHeight="1" x14ac:dyDescent="0.3">
      <c r="A10" s="76"/>
      <c r="B10" s="40">
        <v>6</v>
      </c>
      <c r="C10" s="766"/>
      <c r="D10" s="459" t="s">
        <v>30</v>
      </c>
      <c r="E10" s="38" t="s">
        <v>151</v>
      </c>
      <c r="F10" s="21"/>
      <c r="G10" s="20" t="s">
        <v>745</v>
      </c>
      <c r="H10" s="77"/>
      <c r="I10" s="50"/>
    </row>
    <row r="11" spans="1:9" s="5" customFormat="1" ht="20.100000000000001" customHeight="1" x14ac:dyDescent="0.3">
      <c r="A11" s="76"/>
      <c r="B11" s="40">
        <v>7</v>
      </c>
      <c r="C11" s="766"/>
      <c r="D11" s="459" t="s">
        <v>30</v>
      </c>
      <c r="E11" s="38" t="s">
        <v>151</v>
      </c>
      <c r="F11" s="21"/>
      <c r="G11" s="20" t="s">
        <v>746</v>
      </c>
      <c r="H11" s="77"/>
      <c r="I11" s="50"/>
    </row>
    <row r="12" spans="1:9" s="5" customFormat="1" ht="20.100000000000001" customHeight="1" x14ac:dyDescent="0.3">
      <c r="A12" s="76"/>
      <c r="B12" s="40">
        <v>8</v>
      </c>
      <c r="C12" s="766"/>
      <c r="D12" s="459" t="s">
        <v>30</v>
      </c>
      <c r="E12" s="38" t="s">
        <v>151</v>
      </c>
      <c r="F12" s="21"/>
      <c r="G12" s="20" t="s">
        <v>747</v>
      </c>
      <c r="H12" s="77"/>
      <c r="I12" s="50"/>
    </row>
    <row r="13" spans="1:9" s="5" customFormat="1" ht="20.100000000000001" customHeight="1" x14ac:dyDescent="0.3">
      <c r="A13" s="76"/>
      <c r="B13" s="40">
        <v>9</v>
      </c>
      <c r="C13" s="766"/>
      <c r="D13" s="459" t="s">
        <v>30</v>
      </c>
      <c r="E13" s="38" t="s">
        <v>151</v>
      </c>
      <c r="F13" s="21"/>
      <c r="G13" s="20" t="s">
        <v>748</v>
      </c>
      <c r="H13" s="77"/>
      <c r="I13" s="50"/>
    </row>
    <row r="14" spans="1:9" s="5" customFormat="1" ht="20.100000000000001" customHeight="1" x14ac:dyDescent="0.3">
      <c r="A14" s="76"/>
      <c r="B14" s="40">
        <v>10</v>
      </c>
      <c r="C14" s="766"/>
      <c r="D14" s="459" t="s">
        <v>30</v>
      </c>
      <c r="E14" s="38" t="s">
        <v>151</v>
      </c>
      <c r="F14" s="21"/>
      <c r="G14" s="20" t="s">
        <v>749</v>
      </c>
      <c r="H14" s="77"/>
      <c r="I14" s="50"/>
    </row>
    <row r="15" spans="1:9" s="5" customFormat="1" ht="20.100000000000001" customHeight="1" x14ac:dyDescent="0.3">
      <c r="A15" s="76"/>
      <c r="B15" s="20">
        <v>11</v>
      </c>
      <c r="C15" s="766"/>
      <c r="D15" s="21"/>
      <c r="E15" s="22"/>
      <c r="F15" s="21"/>
      <c r="G15" s="20"/>
      <c r="H15" s="77"/>
      <c r="I15" s="50"/>
    </row>
    <row r="16" spans="1:9" s="5" customFormat="1" ht="20.100000000000001" customHeight="1" x14ac:dyDescent="0.3">
      <c r="A16" s="76"/>
      <c r="B16" s="20">
        <v>12</v>
      </c>
      <c r="C16" s="766"/>
      <c r="D16" s="21"/>
      <c r="E16" s="22"/>
      <c r="F16" s="21"/>
      <c r="G16" s="20"/>
      <c r="H16" s="77"/>
      <c r="I16" s="50"/>
    </row>
    <row r="17" spans="1:9" s="5" customFormat="1" ht="20.100000000000001" customHeight="1" x14ac:dyDescent="0.3">
      <c r="A17" s="76"/>
      <c r="B17" s="40">
        <v>13</v>
      </c>
      <c r="C17" s="766"/>
      <c r="D17" s="68" t="s">
        <v>30</v>
      </c>
      <c r="E17" s="96" t="s">
        <v>151</v>
      </c>
      <c r="F17" s="504"/>
      <c r="G17" s="40" t="s">
        <v>750</v>
      </c>
      <c r="H17" s="505" t="s">
        <v>712</v>
      </c>
      <c r="I17" s="50"/>
    </row>
    <row r="18" spans="1:9" s="5" customFormat="1" ht="20.100000000000001" customHeight="1" x14ac:dyDescent="0.3">
      <c r="A18" s="76"/>
      <c r="B18" s="40">
        <v>14</v>
      </c>
      <c r="C18" s="766"/>
      <c r="D18" s="503"/>
      <c r="E18" s="38"/>
      <c r="F18" s="21"/>
      <c r="G18" s="20"/>
      <c r="H18" s="77"/>
      <c r="I18" s="50"/>
    </row>
    <row r="19" spans="1:9" s="5" customFormat="1" ht="20.100000000000001" customHeight="1" x14ac:dyDescent="0.3">
      <c r="A19" s="76"/>
      <c r="B19" s="20">
        <v>15</v>
      </c>
      <c r="C19" s="766"/>
      <c r="D19" s="21"/>
      <c r="E19" s="22"/>
      <c r="F19" s="21"/>
      <c r="G19" s="20"/>
      <c r="H19" s="77"/>
      <c r="I19" s="50"/>
    </row>
    <row r="20" spans="1:9" s="5" customFormat="1" ht="20.100000000000001" customHeight="1" x14ac:dyDescent="0.3">
      <c r="A20" s="76"/>
      <c r="B20" s="40">
        <v>16</v>
      </c>
      <c r="C20" s="766"/>
      <c r="D20" s="34" t="s">
        <v>194</v>
      </c>
      <c r="E20" s="35" t="s">
        <v>195</v>
      </c>
      <c r="F20" s="21"/>
      <c r="G20" s="38" t="s">
        <v>752</v>
      </c>
      <c r="H20" s="31" t="s">
        <v>758</v>
      </c>
      <c r="I20" s="50"/>
    </row>
    <row r="21" spans="1:9" s="5" customFormat="1" ht="20.100000000000001" customHeight="1" x14ac:dyDescent="0.3">
      <c r="A21" s="76"/>
      <c r="B21" s="40">
        <v>17</v>
      </c>
      <c r="C21" s="766"/>
      <c r="D21" s="459" t="s">
        <v>30</v>
      </c>
      <c r="E21" s="38" t="s">
        <v>151</v>
      </c>
      <c r="F21" s="21"/>
      <c r="G21" s="38" t="s">
        <v>753</v>
      </c>
      <c r="H21" s="77" t="s">
        <v>759</v>
      </c>
      <c r="I21" s="50"/>
    </row>
    <row r="22" spans="1:9" s="5" customFormat="1" ht="20.100000000000001" customHeight="1" x14ac:dyDescent="0.3">
      <c r="A22" s="76"/>
      <c r="B22" s="20">
        <v>18</v>
      </c>
      <c r="C22" s="766"/>
      <c r="D22" s="516" t="s">
        <v>30</v>
      </c>
      <c r="E22" s="38" t="s">
        <v>151</v>
      </c>
      <c r="F22" s="21"/>
      <c r="G22" s="38" t="s">
        <v>854</v>
      </c>
      <c r="H22" s="77" t="s">
        <v>855</v>
      </c>
      <c r="I22" s="50" t="s">
        <v>856</v>
      </c>
    </row>
    <row r="23" spans="1:9" s="5" customFormat="1" ht="20.100000000000001" customHeight="1" x14ac:dyDescent="0.3">
      <c r="A23" s="76"/>
      <c r="B23" s="20">
        <v>19</v>
      </c>
      <c r="C23" s="766"/>
      <c r="D23" s="21"/>
      <c r="E23" s="22"/>
      <c r="F23" s="21"/>
      <c r="G23" s="20"/>
      <c r="H23" s="77"/>
      <c r="I23" s="50"/>
    </row>
    <row r="24" spans="1:9" s="5" customFormat="1" ht="20.100000000000001" customHeight="1" x14ac:dyDescent="0.3">
      <c r="A24" s="76"/>
      <c r="B24" s="20">
        <v>20</v>
      </c>
      <c r="C24" s="766"/>
      <c r="D24" s="68" t="s">
        <v>30</v>
      </c>
      <c r="E24" s="96" t="s">
        <v>151</v>
      </c>
      <c r="F24" s="504"/>
      <c r="G24" s="40" t="s">
        <v>751</v>
      </c>
      <c r="H24" s="505" t="s">
        <v>710</v>
      </c>
      <c r="I24" s="50"/>
    </row>
    <row r="25" spans="1:9" s="5" customFormat="1" ht="20.100000000000001" customHeight="1" x14ac:dyDescent="0.3">
      <c r="A25" s="76"/>
      <c r="B25" s="20"/>
      <c r="C25" s="766"/>
      <c r="D25" s="21"/>
      <c r="E25" s="22"/>
      <c r="F25" s="21"/>
      <c r="G25" s="20"/>
      <c r="H25" s="77"/>
      <c r="I25" s="50"/>
    </row>
    <row r="26" spans="1:9" s="5" customFormat="1" ht="20.100000000000001" customHeight="1" x14ac:dyDescent="0.3">
      <c r="A26" s="76"/>
      <c r="B26" s="20"/>
      <c r="C26" s="766"/>
      <c r="D26" s="21"/>
      <c r="E26" s="22"/>
      <c r="F26" s="21"/>
      <c r="G26" s="20"/>
      <c r="H26" s="77"/>
      <c r="I26" s="50"/>
    </row>
    <row r="27" spans="1:9" s="5" customFormat="1" ht="20.100000000000001" customHeight="1" x14ac:dyDescent="0.3">
      <c r="A27" s="76"/>
      <c r="B27" s="20"/>
      <c r="C27" s="766"/>
      <c r="D27" s="20"/>
      <c r="E27" s="4"/>
      <c r="F27" s="20"/>
      <c r="G27" s="20"/>
      <c r="H27" s="77"/>
      <c r="I27" s="50"/>
    </row>
    <row r="28" spans="1:9" s="5" customFormat="1" ht="20.100000000000001" customHeight="1" x14ac:dyDescent="0.3">
      <c r="A28" s="76"/>
      <c r="B28" s="20"/>
      <c r="C28" s="766"/>
      <c r="D28" s="20"/>
      <c r="E28" s="4"/>
      <c r="F28" s="20"/>
      <c r="G28" s="20"/>
      <c r="H28" s="77"/>
      <c r="I28" s="50"/>
    </row>
    <row r="29" spans="1:9" s="5" customFormat="1" ht="20.100000000000001" customHeight="1" x14ac:dyDescent="0.3">
      <c r="A29" s="76"/>
      <c r="B29" s="20"/>
      <c r="C29" s="766"/>
      <c r="D29" s="20"/>
      <c r="E29" s="4"/>
      <c r="F29" s="20"/>
      <c r="G29" s="20"/>
      <c r="H29" s="77"/>
      <c r="I29" s="50"/>
    </row>
    <row r="30" spans="1:9" s="5" customFormat="1" ht="20.100000000000001" customHeight="1" x14ac:dyDescent="0.3">
      <c r="A30" s="81"/>
      <c r="B30" s="82"/>
      <c r="C30" s="767"/>
      <c r="D30" s="82"/>
      <c r="E30" s="84"/>
      <c r="F30" s="82"/>
      <c r="G30" s="82"/>
      <c r="H30" s="85"/>
      <c r="I30" s="50"/>
    </row>
  </sheetData>
  <mergeCells count="3">
    <mergeCell ref="A1:H1"/>
    <mergeCell ref="D4:G4"/>
    <mergeCell ref="C5:C30"/>
  </mergeCells>
  <phoneticPr fontId="2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69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이름이 지정된 범위</vt:lpstr>
      </vt:variant>
      <vt:variant>
        <vt:i4>23</vt:i4>
      </vt:variant>
    </vt:vector>
  </HeadingPairs>
  <TitlesOfParts>
    <vt:vector size="44" baseType="lpstr">
      <vt:lpstr>개정이력</vt:lpstr>
      <vt:lpstr>본부통신실</vt:lpstr>
      <vt:lpstr>춘천SS(구)</vt:lpstr>
      <vt:lpstr>춘천SS(신)</vt:lpstr>
      <vt:lpstr>남춘천SS</vt:lpstr>
      <vt:lpstr>북춘천SS</vt:lpstr>
      <vt:lpstr>열병합</vt:lpstr>
      <vt:lpstr>서홍천SS</vt:lpstr>
      <vt:lpstr>화천SS</vt:lpstr>
      <vt:lpstr>철원SS</vt:lpstr>
      <vt:lpstr>양구SS</vt:lpstr>
      <vt:lpstr>인제SS</vt:lpstr>
      <vt:lpstr>춘천HP</vt:lpstr>
      <vt:lpstr>화천HP</vt:lpstr>
      <vt:lpstr>통합단말(춘천#1-DS1)</vt:lpstr>
      <vt:lpstr>통합단말(춘천#2-DS1)</vt:lpstr>
      <vt:lpstr>통합단말(춘천#3-DS1)_인제_양구</vt:lpstr>
      <vt:lpstr>통합단말(춘천COT-DS0)</vt:lpstr>
      <vt:lpstr>통합단말(춘천#1-DS0)</vt:lpstr>
      <vt:lpstr>통합단말(춘천#2-DS0)</vt:lpstr>
      <vt:lpstr>통합단말(춘천LIU-DS)</vt:lpstr>
      <vt:lpstr>남춘천SS!Print_Area</vt:lpstr>
      <vt:lpstr>본부통신실!Print_Area</vt:lpstr>
      <vt:lpstr>북춘천SS!Print_Area</vt:lpstr>
      <vt:lpstr>양구SS!Print_Area</vt:lpstr>
      <vt:lpstr>인제SS!Print_Area</vt:lpstr>
      <vt:lpstr>춘천HP!Print_Area</vt:lpstr>
      <vt:lpstr>'춘천SS(구)'!Print_Area</vt:lpstr>
      <vt:lpstr>'통합단말(춘천#1-DS1)'!Print_Area</vt:lpstr>
      <vt:lpstr>'통합단말(춘천#2-DS0)'!Print_Area</vt:lpstr>
      <vt:lpstr>'통합단말(춘천#2-DS1)'!Print_Area</vt:lpstr>
      <vt:lpstr>'통합단말(춘천#3-DS1)_인제_양구'!Print_Area</vt:lpstr>
      <vt:lpstr>'통합단말(춘천COT-DS0)'!Print_Area</vt:lpstr>
      <vt:lpstr>'통합단말(춘천LIU-DS)'!Print_Area</vt:lpstr>
      <vt:lpstr>화천HP!Print_Area</vt:lpstr>
      <vt:lpstr>화천SS!Print_Area</vt:lpstr>
      <vt:lpstr>'통합단말(춘천#1-DS0)'!Print_Titles</vt:lpstr>
      <vt:lpstr>'통합단말(춘천#1-DS1)'!Print_Titles</vt:lpstr>
      <vt:lpstr>'통합단말(춘천#2-DS0)'!Print_Titles</vt:lpstr>
      <vt:lpstr>'통합단말(춘천#2-DS1)'!Print_Titles</vt:lpstr>
      <vt:lpstr>'통합단말(춘천#3-DS1)_인제_양구'!Print_Titles</vt:lpstr>
      <vt:lpstr>'통합단말(춘천COT-DS0)'!Print_Titles</vt:lpstr>
      <vt:lpstr>'통합단말(춘천LIU-DS)'!Print_Titles</vt:lpstr>
      <vt:lpstr>화천HP!Print_Titles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PC</cp:lastModifiedBy>
  <cp:lastPrinted>2026-03-11T00:46:35Z</cp:lastPrinted>
  <dcterms:created xsi:type="dcterms:W3CDTF">2009-03-25T04:52:46Z</dcterms:created>
  <dcterms:modified xsi:type="dcterms:W3CDTF">2026-03-27T01:23:47Z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eyJub2RlMSI6eyJkc2QiOiIwMTAwMDAwMDAwMDAxNTY0IiwibG9nVGltZSI6IjIwMjUtMDYtMjZUMDE6MDM6NTNaIiwicElEIjoxLCJwcm9jZXNzSWQiOjEzMDkyLCJwcm9jZXNzTmFtZSI6IkVYQ0VMLkVYRSIsInRyYWNlSWQiOiJCRTY1MkUzRDQ2NjU0QTZBQkM1QUE3QzBFOEQ4QjVFMiIsInVzZXJDb2RlIjoiMjIxMDQzMDYifSwibm9</vt:lpwstr>
  </property>
</Properties>
</file>